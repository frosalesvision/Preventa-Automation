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ánRosalesEsquive\Desktop\AUTOMATIZACIONES_IA\Automation Preventa\Preventa-Automation\plugin-preventa\skills\armar-cotizacion\references\"/>
    </mc:Choice>
  </mc:AlternateContent>
  <xr:revisionPtr revIDLastSave="0" documentId="13_ncr:1_{E25453AC-CFA1-489F-980B-7262C8606732}" xr6:coauthVersionLast="47" xr6:coauthVersionMax="47" xr10:uidLastSave="{00000000-0000-0000-0000-000000000000}"/>
  <bookViews>
    <workbookView xWindow="4800" yWindow="2810" windowWidth="14400" windowHeight="7270" tabRatio="842" firstSheet="14" activeTab="14" xr2:uid="{5841A703-86EA-400C-9C69-723B1076F593}"/>
  </bookViews>
  <sheets>
    <sheet name="LEEME" sheetId="128" r:id="rId1"/>
    <sheet name="CCTV DISEÑO" sheetId="44" state="hidden" r:id="rId2"/>
    <sheet name="Evaluacion TIR-VAN" sheetId="59" state="hidden" r:id="rId3"/>
    <sheet name="Resumen por Servicio" sheetId="83" state="hidden" r:id="rId4"/>
    <sheet name="RESUMEN" sheetId="15" r:id="rId5"/>
    <sheet name="Resumen para oferta" sheetId="117" state="hidden" r:id="rId6"/>
    <sheet name="COTIZACIÓN " sheetId="119" r:id="rId7"/>
    <sheet name="COTIZACION (Financ)" sheetId="124" r:id="rId8"/>
    <sheet name="Equipos" sheetId="1" r:id="rId9"/>
    <sheet name="Productos 2" sheetId="9" r:id="rId10"/>
    <sheet name="Productos 3" sheetId="100" state="hidden" r:id="rId11"/>
    <sheet name="Productos 4" sheetId="101" state="hidden" r:id="rId12"/>
    <sheet name="Productos 5" sheetId="102" state="hidden" r:id="rId13"/>
    <sheet name="MATERIALES" sheetId="103" r:id="rId14"/>
    <sheet name="Financiamiento" sheetId="121" r:id="rId15"/>
    <sheet name="PTMO" sheetId="122" r:id="rId16"/>
    <sheet name="PRODUCTO G" sheetId="104" state="hidden" r:id="rId17"/>
    <sheet name="PRODUCTO H" sheetId="105" state="hidden" r:id="rId18"/>
    <sheet name="PRODUCTO I" sheetId="106" state="hidden" r:id="rId19"/>
    <sheet name="PRODUCTO J" sheetId="107" state="hidden" r:id="rId20"/>
    <sheet name="PRODUCTO K" sheetId="108" state="hidden" r:id="rId21"/>
    <sheet name="PRODUCTO L" sheetId="109" state="hidden" r:id="rId22"/>
    <sheet name="PRODUCTO M" sheetId="111" state="hidden" r:id="rId23"/>
    <sheet name="PRODUCTO N" sheetId="112" state="hidden" r:id="rId24"/>
    <sheet name="PRODUCTO O" sheetId="113" state="hidden" r:id="rId25"/>
    <sheet name="RESUMEN (OPEX)" sheetId="120" r:id="rId26"/>
    <sheet name="OPEX GV" sheetId="110" r:id="rId27"/>
    <sheet name="MANO DE OBRA " sheetId="118" r:id="rId28"/>
    <sheet name="Transporte" sheetId="116" r:id="rId29"/>
    <sheet name="OPEX Proyecto" sheetId="114" r:id="rId30"/>
    <sheet name="Datos del proyecto" sheetId="123" r:id="rId31"/>
    <sheet name="Guia de pestanas" sheetId="129" r:id="rId32"/>
    <sheet name="Guia de formulas" sheetId="130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_ANN10" localSheetId="6">'COTIZACIÓN '!#REF!</definedName>
    <definedName name="_ANN10" localSheetId="7">'COTIZACION (Financ)'!#REF!</definedName>
    <definedName name="_ANN10">#REF!</definedName>
    <definedName name="_ANN20" localSheetId="6">'COTIZACIÓN '!#REF!</definedName>
    <definedName name="_ANN20" localSheetId="7">'COTIZACION (Financ)'!#REF!</definedName>
    <definedName name="_ANN20">#REF!</definedName>
    <definedName name="a" localSheetId="6">'COTIZACIÓN '!#REF!</definedName>
    <definedName name="a" localSheetId="7">'COTIZACION (Financ)'!#REF!</definedName>
    <definedName name="a">#REF!</definedName>
    <definedName name="aa">#REF!</definedName>
    <definedName name="activo">'[1]B$E'!$D$48</definedName>
    <definedName name="activoc">'[1]B$E'!$D$11</definedName>
    <definedName name="activof">'[1]B$E'!$D$30</definedName>
    <definedName name="Años_préstamo" localSheetId="6">'[2]Ptmo P'!$D$7</definedName>
    <definedName name="Años_préstamo" localSheetId="7">'[2]Ptmo P'!$D$7</definedName>
    <definedName name="Años_préstamo" localSheetId="2">#REF!</definedName>
    <definedName name="Años_préstamo" localSheetId="27">'[2]Ptmo P'!$D$7</definedName>
    <definedName name="Años_préstamo" localSheetId="5">#REF!</definedName>
    <definedName name="Años_préstamo" localSheetId="28">#REF!</definedName>
    <definedName name="Años_préstamo">#REF!</definedName>
    <definedName name="Area" localSheetId="2">[3]!Tabla1[area]</definedName>
    <definedName name="b" localSheetId="6">'COTIZACIÓN '!#REF!</definedName>
    <definedName name="b" localSheetId="7">'COTIZACION (Financ)'!#REF!</definedName>
    <definedName name="b">#REF!</definedName>
    <definedName name="Beginning_Balance" localSheetId="6">-FV(Interest_Rate/12,'COTIZACIÓN '!Payment_Number-1,-'COTIZACIÓN '!Monthly_Payment,Loan_Amount)</definedName>
    <definedName name="Beginning_Balance" localSheetId="7">-FV([0]!Interest_Rate/12,'COTIZACION (Financ)'!Payment_Number-1,-'COTIZACION (Financ)'!Monthly_Payment,[0]!Loan_Amount)</definedName>
    <definedName name="Beginning_Balance">-FV(Interest_Rate/12,Payment_Number-1,-Monthly_Payment,Loan_Amount)</definedName>
    <definedName name="Cap_Base">[4]Performance!$D$24</definedName>
    <definedName name="Cap_kW">[5]Variables!$B$25</definedName>
    <definedName name="Capital" localSheetId="6">'[2]Ptmo P'!$G$18:$G$497</definedName>
    <definedName name="Capital" localSheetId="7">'[2]Ptmo P'!$G$18:$G$497</definedName>
    <definedName name="Capital" localSheetId="2">#REF!</definedName>
    <definedName name="Capital" localSheetId="27">'[2]Ptmo P'!$G$18:$G$497</definedName>
    <definedName name="Capital" localSheetId="5">#REF!</definedName>
    <definedName name="Capital" localSheetId="28">#REF!</definedName>
    <definedName name="Capital">#REF!</definedName>
    <definedName name="capsocial">'[1]B$E'!$H$44</definedName>
    <definedName name="CF_OM_Bz">'[6]O&amp;M'!#REF!</definedName>
    <definedName name="CF_OM_US">'[6]O&amp;M'!#REF!</definedName>
    <definedName name="Clientes">'[1]B$E'!$B$14</definedName>
    <definedName name="Cum_Cash_Flow">[6]CF!#REF!</definedName>
    <definedName name="Datos" localSheetId="6">'COTIZACIÓN '!#REF!</definedName>
    <definedName name="Datos" localSheetId="7">'COTIZACION (Financ)'!#REF!</definedName>
    <definedName name="Datos" localSheetId="2">#REF!</definedName>
    <definedName name="Datos" localSheetId="27">#REF!</definedName>
    <definedName name="Datos">#REF!</definedName>
    <definedName name="Demanda_Máxima_kW">[5]Variables!$B$7</definedName>
    <definedName name="Día_de_pago" localSheetId="6">#N/A</definedName>
    <definedName name="Día_de_pago" localSheetId="7">#N/A</definedName>
    <definedName name="Día_de_pago" localSheetId="2">#N/A</definedName>
    <definedName name="Día_de_pago" localSheetId="27">#N/A</definedName>
    <definedName name="Día_de_pago" localSheetId="13">DATE(YEAR([0]!Inicio_prestamo),MONTH([0]!Inicio_prestamo)+Payment_Number,DAY([0]!Inicio_prestamo))</definedName>
    <definedName name="Día_de_pago" localSheetId="26">DATE(YEAR([0]!Inicio_prestamo),MONTH([0]!Inicio_prestamo)+Payment_Number,DAY([0]!Inicio_prestamo))</definedName>
    <definedName name="Día_de_pago" localSheetId="29">DATE(YEAR([0]!Inicio_prestamo),MONTH([0]!Inicio_prestamo)+Payment_Number,DAY([0]!Inicio_prestamo))</definedName>
    <definedName name="Día_de_pago" localSheetId="16">DATE(YEAR([0]!Inicio_prestamo),MONTH([0]!Inicio_prestamo)+Payment_Number,DAY([0]!Inicio_prestamo))</definedName>
    <definedName name="Día_de_pago" localSheetId="17">DATE(YEAR([0]!Inicio_prestamo),MONTH([0]!Inicio_prestamo)+Payment_Number,DAY([0]!Inicio_prestamo))</definedName>
    <definedName name="Día_de_pago" localSheetId="18">DATE(YEAR([0]!Inicio_prestamo),MONTH([0]!Inicio_prestamo)+Payment_Number,DAY([0]!Inicio_prestamo))</definedName>
    <definedName name="Día_de_pago" localSheetId="19">DATE(YEAR([0]!Inicio_prestamo),MONTH([0]!Inicio_prestamo)+Payment_Number,DAY([0]!Inicio_prestamo))</definedName>
    <definedName name="Día_de_pago" localSheetId="20">DATE(YEAR([0]!Inicio_prestamo),MONTH([0]!Inicio_prestamo)+Payment_Number,DAY([0]!Inicio_prestamo))</definedName>
    <definedName name="Día_de_pago" localSheetId="21">DATE(YEAR([0]!Inicio_prestamo),MONTH([0]!Inicio_prestamo)+Payment_Number,DAY([0]!Inicio_prestamo))</definedName>
    <definedName name="Día_de_pago" localSheetId="22">DATE(YEAR([0]!Inicio_prestamo),MONTH([0]!Inicio_prestamo)+Payment_Number,DAY([0]!Inicio_prestamo))</definedName>
    <definedName name="Día_de_pago" localSheetId="23">DATE(YEAR([0]!Inicio_prestamo),MONTH([0]!Inicio_prestamo)+Payment_Number,DAY([0]!Inicio_prestamo))</definedName>
    <definedName name="Día_de_pago" localSheetId="24">DATE(YEAR([0]!Inicio_prestamo),MONTH([0]!Inicio_prestamo)+Payment_Number,DAY([0]!Inicio_prestamo))</definedName>
    <definedName name="Día_de_pago" localSheetId="10">DATE(YEAR([0]!Inicio_prestamo),MONTH([0]!Inicio_prestamo)+Payment_Number,DAY([0]!Inicio_prestamo))</definedName>
    <definedName name="Día_de_pago" localSheetId="11">DATE(YEAR([0]!Inicio_prestamo),MONTH([0]!Inicio_prestamo)+Payment_Number,DAY([0]!Inicio_prestamo))</definedName>
    <definedName name="Día_de_pago" localSheetId="12">DATE(YEAR([0]!Inicio_prestamo),MONTH([0]!Inicio_prestamo)+Payment_Number,DAY([0]!Inicio_prestamo))</definedName>
    <definedName name="Día_de_pago" localSheetId="5">#N/A</definedName>
    <definedName name="Día_de_pago" localSheetId="3">DATE(YEAR([0]!Inicio_prestamo),MONTH([0]!Inicio_prestamo)+Payment_Number,DAY([0]!Inicio_prestamo))</definedName>
    <definedName name="Día_de_pago" localSheetId="28">#N/A</definedName>
    <definedName name="Día_de_pago">DATE(YEAR([0]!Inicio_prestamo),MONTH([0]!Inicio_prestamo)+Payment_Number,DAY([0]!Inicio_prestamo))</definedName>
    <definedName name="DisminucionCOGS" localSheetId="2">[3]!Tabla4[disminucioncogs]</definedName>
    <definedName name="DisminucionVariables" localSheetId="2">[3]!Tabla8[disminucionvariables]</definedName>
    <definedName name="dolarant" localSheetId="6">'COTIZACIÓN '!#REF!</definedName>
    <definedName name="dolarant" localSheetId="7">'COTIZACION (Financ)'!#REF!</definedName>
    <definedName name="dolarant">#REF!</definedName>
    <definedName name="dollar">'[7]Integracion Lps'!$L$4</definedName>
    <definedName name="drate">[8]base!$C$43</definedName>
    <definedName name="Egresos_Totales">[6]CF!#REF!</definedName>
    <definedName name="Ending_Balance" localSheetId="6">-FV(Interest_Rate/12,'COTIZACIÓN '!Payment_Number,-'COTIZACIÓN '!Monthly_Payment,Loan_Amount)</definedName>
    <definedName name="Ending_Balance" localSheetId="7">-FV([0]!Interest_Rate/12,'COTIZACION (Financ)'!Payment_Number,-'COTIZACION (Financ)'!Monthly_Payment,[0]!Loan_Amount)</definedName>
    <definedName name="Ending_Balance">-FV(Interest_Rate/12,Payment_Number,-Monthly_Payment,Loan_Amount)</definedName>
    <definedName name="EQ" localSheetId="6">'[9]Finan.-Oper.'!#REF!</definedName>
    <definedName name="EQ" localSheetId="7">'[9]Finan.-Oper.'!#REF!</definedName>
    <definedName name="EQ">'[9]Finan.-Oper.'!#REF!</definedName>
    <definedName name="Equity" localSheetId="6">'[10]Finan.-Oper.'!#REF!</definedName>
    <definedName name="Equity" localSheetId="7">'[10]Finan.-Oper.'!#REF!</definedName>
    <definedName name="Equity">'[10]Finan.-Oper.'!#REF!</definedName>
    <definedName name="FCE">[5]Variables!$B$8</definedName>
    <definedName name="FCV">[5]Variables!$B$12</definedName>
    <definedName name="Fecha_de_pago" localSheetId="6">'COTIZACIÓN '!#REF!</definedName>
    <definedName name="Fecha_de_pago" localSheetId="7">'COTIZACION (Financ)'!#REF!</definedName>
    <definedName name="Fecha_de_pago" localSheetId="2">#REF!</definedName>
    <definedName name="Fecha_de_pago" localSheetId="27">#REF!</definedName>
    <definedName name="Fecha_de_pago">#REF!</definedName>
    <definedName name="Fijos" localSheetId="2">[3]!Tabla5[fijos]</definedName>
    <definedName name="Fila_de_encabezado" localSheetId="6">ROW('COTIZACIÓN '!#REF!)</definedName>
    <definedName name="Fila_de_encabezado" localSheetId="7">ROW('COTIZACION (Financ)'!#REF!)</definedName>
    <definedName name="Fila_de_encabezado" localSheetId="2">ROW(#REF!)</definedName>
    <definedName name="Fila_de_encabezado" localSheetId="27">ROW(#REF!)</definedName>
    <definedName name="Fila_de_encabezado" localSheetId="5">ROW(#REF!)</definedName>
    <definedName name="Fila_de_encabezado" localSheetId="28">ROW(#REF!)</definedName>
    <definedName name="Fila_de_encabezado">#REF!</definedName>
    <definedName name="Full_Print">#REF!</definedName>
    <definedName name="Header_Row">ROW('[11]Calculadora de préstamos'!$15:$15)</definedName>
    <definedName name="Header_Row_Back">ROW(#REF!)</definedName>
    <definedName name="Importe_del_préstamo" localSheetId="6">'[2]Ptmo P'!$D$5</definedName>
    <definedName name="Importe_del_préstamo" localSheetId="7">'[2]Ptmo P'!$D$5</definedName>
    <definedName name="Importe_del_préstamo" localSheetId="2">#REF!</definedName>
    <definedName name="Importe_del_préstamo" localSheetId="27">'[2]Ptmo P'!$D$5</definedName>
    <definedName name="Importe_del_préstamo" localSheetId="5">#REF!</definedName>
    <definedName name="Importe_del_préstamo" localSheetId="28">#REF!</definedName>
    <definedName name="Importe_del_préstamo">#REF!</definedName>
    <definedName name="Impresión_completa" localSheetId="6">'COTIZACIÓN '!#REF!</definedName>
    <definedName name="Impresión_completa" localSheetId="7">'COTIZACION (Financ)'!#REF!</definedName>
    <definedName name="Impresión_completa" localSheetId="2">[12]Amo_Prtmo!$A$1:$J$497</definedName>
    <definedName name="Impresión_completa" localSheetId="27">#REF!</definedName>
    <definedName name="Impresión_completa" localSheetId="5">[13]Amo_Prtmo!$A$1:$J$497</definedName>
    <definedName name="Impresión_completa" localSheetId="28">[14]Amo_Prtmo!$A$1:$J$497</definedName>
    <definedName name="Impresión_completa">#REF!</definedName>
    <definedName name="Incremento" localSheetId="2">[3]!Tabla3[incremento]</definedName>
    <definedName name="Inflacion_US" localSheetId="6">[6]CF!#REF!</definedName>
    <definedName name="Inflacion_US" localSheetId="7">[6]CF!#REF!</definedName>
    <definedName name="Inflacion_US">[6]CF!#REF!</definedName>
    <definedName name="ingresos">'[15]Resultados Lps'!$E$8</definedName>
    <definedName name="Inicio_prestamo" localSheetId="6">'[2]Ptmo P'!$D$9</definedName>
    <definedName name="Inicio_prestamo" localSheetId="7">'[2]Ptmo P'!$D$9</definedName>
    <definedName name="Inicio_prestamo" localSheetId="2">#REF!</definedName>
    <definedName name="Inicio_prestamo" localSheetId="27">'[2]Ptmo P'!$D$9</definedName>
    <definedName name="Inicio_prestamo" localSheetId="5">#REF!</definedName>
    <definedName name="Inicio_prestamo" localSheetId="28">#REF!</definedName>
    <definedName name="Inicio_prestamo">#REF!</definedName>
    <definedName name="Int" localSheetId="6">'[2]Ptmo P'!$H$18:$H$497</definedName>
    <definedName name="Int" localSheetId="7">'[2]Ptmo P'!$H$18:$H$497</definedName>
    <definedName name="Int" localSheetId="2">#REF!</definedName>
    <definedName name="Int" localSheetId="27">'[2]Ptmo P'!$H$18:$H$497</definedName>
    <definedName name="Int" localSheetId="5">#REF!</definedName>
    <definedName name="Int" localSheetId="28">#REF!</definedName>
    <definedName name="Int">#REF!</definedName>
    <definedName name="Int_01" localSheetId="6">'[2]Ptmo P'!$H$18:$H$29</definedName>
    <definedName name="Int_01" localSheetId="7">'[2]Ptmo P'!$H$18:$H$29</definedName>
    <definedName name="Int_01" localSheetId="2">#REF!</definedName>
    <definedName name="Int_01" localSheetId="27">'[2]Ptmo P'!$H$18:$H$29</definedName>
    <definedName name="Int_01" localSheetId="5">#REF!</definedName>
    <definedName name="Int_01" localSheetId="28">#REF!</definedName>
    <definedName name="Int_01">#REF!</definedName>
    <definedName name="Int_acum" localSheetId="6">'COTIZACIÓN '!#REF!</definedName>
    <definedName name="Int_acum" localSheetId="7">'COTIZACION (Financ)'!#REF!</definedName>
    <definedName name="Int_acum" localSheetId="2">#REF!</definedName>
    <definedName name="Int_acum" localSheetId="27">#REF!</definedName>
    <definedName name="Int_acum">#REF!</definedName>
    <definedName name="Interés_total" localSheetId="6">'COTIZACIÓN '!#REF!</definedName>
    <definedName name="Interés_total" localSheetId="7">'COTIZACION (Financ)'!#REF!</definedName>
    <definedName name="Interés_total" localSheetId="2">#REF!</definedName>
    <definedName name="Interés_total" localSheetId="27">#REF!</definedName>
    <definedName name="Interés_total" localSheetId="5">#REF!</definedName>
    <definedName name="Interés_total" localSheetId="28">#REF!</definedName>
    <definedName name="Interés_total">#REF!</definedName>
    <definedName name="Interest" localSheetId="6">-IPMT(Interest_Rate/12,'COTIZACIÓN '!Payment_Number,Number_of_Payments,Loan_Amount)</definedName>
    <definedName name="Interest" localSheetId="7">-IPMT([0]!Interest_Rate/12,'COTIZACION (Financ)'!Payment_Number,[0]!Number_of_Payments,[0]!Loan_Amount)</definedName>
    <definedName name="Interest">-IPMT(Interest_Rate/12,Payment_Number,Number_of_Payments,Loan_Amount)</definedName>
    <definedName name="Interest_Rate">'[11]Calculadora de préstamos'!$E$5</definedName>
    <definedName name="inventario">'[1]B$E'!$C$23</definedName>
    <definedName name="Inversión_Terminal" localSheetId="6">'COTIZACIÓN '!#REF!</definedName>
    <definedName name="Inversión_Terminal" localSheetId="7">'COTIZACION (Financ)'!#REF!</definedName>
    <definedName name="Inversión_Terminal">#REF!</definedName>
    <definedName name="Labor_Terminal" localSheetId="6">'COTIZACIÓN '!#REF!</definedName>
    <definedName name="Labor_Terminal" localSheetId="7">'COTIZACION (Financ)'!#REF!</definedName>
    <definedName name="Labor_Terminal">#REF!</definedName>
    <definedName name="Last_Row" localSheetId="6">IF('COTIZACIÓN '!Values_Entered,Header_Row+Number_of_Payments,Header_Row)</definedName>
    <definedName name="Last_Row" localSheetId="7">IF('COTIZACION (Financ)'!Values_Entered,[0]!Header_Row+[0]!Number_of_Payments,[0]!Header_Row)</definedName>
    <definedName name="Last_Row">IF(Values_Entered,Header_Row+Number_of_Payments,Header_Row)</definedName>
    <definedName name="Loan_Amount">'[11]Calculadora de préstamos'!$E$4</definedName>
    <definedName name="Loan_Not_Paid" localSheetId="6">IF('COTIZACIÓN '!Payment_Number&lt;=Number_of_Payments,1,0)</definedName>
    <definedName name="Loan_Not_Paid" localSheetId="7">IF('COTIZACION (Financ)'!Payment_Number&lt;=[0]!Number_of_Payments,1,0)</definedName>
    <definedName name="Loan_Not_Paid">IF(Payment_Number&lt;=Number_of_Payments,1,0)</definedName>
    <definedName name="Loan_Start">'[11]Calculadora de préstamos'!$E$7</definedName>
    <definedName name="Loan_Years">'[11]Calculadora de préstamos'!$E$6</definedName>
    <definedName name="MAX" localSheetId="6">'COTIZACIÓN '!#REF!</definedName>
    <definedName name="MAX" localSheetId="7">'COTIZACION (Financ)'!#REF!</definedName>
    <definedName name="MAX">#REF!</definedName>
    <definedName name="Modelo_Solver_Ints" localSheetId="6">'COTIZACIÓN '!#REF!</definedName>
    <definedName name="Modelo_Solver_Ints" localSheetId="7">'COTIZACION (Financ)'!#REF!</definedName>
    <definedName name="Modelo_Solver_Ints">#REF!</definedName>
    <definedName name="Monthly_Payment" localSheetId="6">-PMT(Interest_Rate/12,Number_of_Payments,Loan_Amount)</definedName>
    <definedName name="Monthly_Payment" localSheetId="7">-PMT([0]!Interest_Rate/12,[0]!Number_of_Payments,[0]!Loan_Amount)</definedName>
    <definedName name="Monthly_Payment">-PMT(Interest_Rate/12,Number_of_Payments,Loan_Amount)</definedName>
    <definedName name="MOU_sensitivity" localSheetId="6">'COTIZACIÓN '!#REF!</definedName>
    <definedName name="MOU_sensitivity" localSheetId="7">'COTIZACION (Financ)'!#REF!</definedName>
    <definedName name="MOU_sensitivity">#REF!</definedName>
    <definedName name="N_Boiler">[5]Variables!$B$15</definedName>
    <definedName name="N_Boiler_nueva">[5]Variables!$B$17</definedName>
    <definedName name="NI_2003" localSheetId="6">'COTIZACIÓN '!#REF!</definedName>
    <definedName name="NI_2003" localSheetId="7">'COTIZACION (Financ)'!#REF!</definedName>
    <definedName name="NI_2003">#REF!</definedName>
    <definedName name="NI_2004" localSheetId="6">'COTIZACIÓN '!#REF!</definedName>
    <definedName name="NI_2004" localSheetId="7">'COTIZACION (Financ)'!#REF!</definedName>
    <definedName name="NI_2004">#REF!</definedName>
    <definedName name="NI_2005" localSheetId="6">'COTIZACIÓN '!#REF!</definedName>
    <definedName name="NI_2005" localSheetId="7">'COTIZACION (Financ)'!#REF!</definedName>
    <definedName name="NI_2005">#REF!</definedName>
    <definedName name="NI_2006">#REF!</definedName>
    <definedName name="NI_2007">#REF!</definedName>
    <definedName name="NI_2008">#REF!</definedName>
    <definedName name="NI_2009">#REF!</definedName>
    <definedName name="NI_2010">#REF!</definedName>
    <definedName name="NI_2011">#REF!</definedName>
    <definedName name="NI_2012">#REF!</definedName>
    <definedName name="NI_2013">#REF!</definedName>
    <definedName name="NUEVO">'[16]FLUJO DE CAJA'!$C$210</definedName>
    <definedName name="Núm_de_pago" localSheetId="6">'[2]Ptmo P'!$A$18:$A$497</definedName>
    <definedName name="Núm_de_pago" localSheetId="7">'[2]Ptmo P'!$A$18:$A$497</definedName>
    <definedName name="Núm_de_pago" localSheetId="2">#REF!</definedName>
    <definedName name="Núm_de_pago" localSheetId="27">'[2]Ptmo P'!$A$18:$A$497</definedName>
    <definedName name="Núm_de_pago" localSheetId="5">#REF!</definedName>
    <definedName name="Núm_de_pago" localSheetId="28">#REF!</definedName>
    <definedName name="Núm_de_pago">#REF!</definedName>
    <definedName name="Núm_pagos_al_año" localSheetId="6">'[2]Ptmo P'!$D$8</definedName>
    <definedName name="Núm_pagos_al_año" localSheetId="7">'[2]Ptmo P'!$D$8</definedName>
    <definedName name="Núm_pagos_al_año" localSheetId="2">#REF!</definedName>
    <definedName name="Núm_pagos_al_año" localSheetId="27">'[2]Ptmo P'!$D$8</definedName>
    <definedName name="Núm_pagos_al_año" localSheetId="5">#REF!</definedName>
    <definedName name="Núm_pagos_al_año" localSheetId="28">#REF!</definedName>
    <definedName name="Núm_pagos_al_año">#REF!</definedName>
    <definedName name="Number_of_Payments">'[11]Calculadora de préstamos'!$E$10</definedName>
    <definedName name="Número_de_pagos" localSheetId="6">MATCH(0.01,'COTIZACIÓN '!Saldo_final,-1)+1</definedName>
    <definedName name="Número_de_pagos" localSheetId="7">MATCH(0.01,'COTIZACION (Financ)'!Saldo_final,-1)+1</definedName>
    <definedName name="Número_de_pagos" localSheetId="2">MATCH(0.01,'Evaluacion TIR-VAN'!Saldo_final,-1)+1</definedName>
    <definedName name="Número_de_pagos" localSheetId="27">MATCH(0.01,'MANO DE OBRA '!Saldo_final,-1)+1</definedName>
    <definedName name="Número_de_pagos" localSheetId="5">MATCH(0.01,'Resumen para oferta'!Saldo_final,-1)+1</definedName>
    <definedName name="Número_de_pagos" localSheetId="28">MATCH(0.01,Transporte!Saldo_final,-1)+1</definedName>
    <definedName name="Número_de_pagos">MATCH(0.01,Saldo_final,-1)+1</definedName>
    <definedName name="Operación_Terminal">#REF!</definedName>
    <definedName name="OPRES10">#REF!</definedName>
    <definedName name="OPRES20">#REF!</definedName>
    <definedName name="pago" localSheetId="6">#N/A</definedName>
    <definedName name="pago" localSheetId="7">#N/A</definedName>
    <definedName name="pago">#N/A</definedName>
    <definedName name="Pago_adicional" localSheetId="6">'[2]Ptmo P'!$E$18:$E$497</definedName>
    <definedName name="Pago_adicional" localSheetId="7">'[2]Ptmo P'!$E$18:$E$497</definedName>
    <definedName name="Pago_adicional" localSheetId="2">#REF!</definedName>
    <definedName name="Pago_adicional" localSheetId="27">'[2]Ptmo P'!$E$18:$E$497</definedName>
    <definedName name="Pago_adicional" localSheetId="5">#REF!</definedName>
    <definedName name="Pago_adicional" localSheetId="28">#REF!</definedName>
    <definedName name="Pago_adicional">#REF!</definedName>
    <definedName name="Pago_mensual_programado" localSheetId="6">'[2]Ptmo P'!$J$5</definedName>
    <definedName name="Pago_mensual_programado" localSheetId="7">'[2]Ptmo P'!$J$5</definedName>
    <definedName name="Pago_mensual_programado" localSheetId="2">#REF!</definedName>
    <definedName name="Pago_mensual_programado" localSheetId="27">'[2]Ptmo P'!$J$5</definedName>
    <definedName name="Pago_mensual_programado" localSheetId="5">#REF!</definedName>
    <definedName name="Pago_mensual_programado" localSheetId="28">#REF!</definedName>
    <definedName name="Pago_mensual_programado">#REF!</definedName>
    <definedName name="Pago_progr" localSheetId="6">'[2]Ptmo P'!$D$18:$D$497</definedName>
    <definedName name="Pago_progr" localSheetId="7">'[2]Ptmo P'!$D$18:$D$497</definedName>
    <definedName name="Pago_progr" localSheetId="2">#REF!</definedName>
    <definedName name="Pago_progr" localSheetId="27">'[2]Ptmo P'!$D$18:$D$497</definedName>
    <definedName name="Pago_progr" localSheetId="5">#REF!</definedName>
    <definedName name="Pago_progr" localSheetId="28">#REF!</definedName>
    <definedName name="Pago_progr">#REF!</definedName>
    <definedName name="Pago_total" localSheetId="6">'[2]Ptmo P'!$F$18:$F$497</definedName>
    <definedName name="Pago_total" localSheetId="7">'[2]Ptmo P'!$F$18:$F$497</definedName>
    <definedName name="Pago_total" localSheetId="2">#REF!</definedName>
    <definedName name="Pago_total" localSheetId="27">'[2]Ptmo P'!$F$18:$F$497</definedName>
    <definedName name="Pago_total" localSheetId="5">#REF!</definedName>
    <definedName name="Pago_total" localSheetId="28">#REF!</definedName>
    <definedName name="Pago_total">#REF!</definedName>
    <definedName name="Pagos_adicionales_programados" localSheetId="6">'[2]Ptmo P'!$D$10</definedName>
    <definedName name="Pagos_adicionales_programados" localSheetId="7">'[2]Ptmo P'!$D$10</definedName>
    <definedName name="Pagos_adicionales_programados" localSheetId="2">#REF!</definedName>
    <definedName name="Pagos_adicionales_programados" localSheetId="27">'[2]Ptmo P'!$D$10</definedName>
    <definedName name="Pagos_adicionales_programados" localSheetId="5">#REF!</definedName>
    <definedName name="Pagos_adicionales_programados" localSheetId="28">#REF!</definedName>
    <definedName name="Pagos_adicionales_programados">#REF!</definedName>
    <definedName name="pasivo">'[1]B$E'!$I$42</definedName>
    <definedName name="pasivoc">'[1]B$E'!$I$11</definedName>
    <definedName name="patrimonio">'[17]Balance U$$'!#REF!</definedName>
    <definedName name="Payment_Date" localSheetId="6">DATE(YEAR(Loan_Start),MONTH(Loan_Start)+'COTIZACIÓN '!Payment_Number,DAY(Loan_Start))</definedName>
    <definedName name="Payment_Date" localSheetId="7">DATE(YEAR([0]!Loan_Start),MONTH([0]!Loan_Start)+'COTIZACION (Financ)'!Payment_Number,DAY([0]!Loan_Start))</definedName>
    <definedName name="Payment_Date">DATE(YEAR(Loan_Start),MONTH(Loan_Start)+Payment_Number,DAY(Loan_Start))</definedName>
    <definedName name="Payment_Number" localSheetId="6">ROW()-Header_Row</definedName>
    <definedName name="Payment_Number" localSheetId="7">ROW()-[0]!Header_Row</definedName>
    <definedName name="Payment_Number">ROW()-Header_Row</definedName>
    <definedName name="Postprice_sens" localSheetId="6">'COTIZACIÓN '!#REF!</definedName>
    <definedName name="Postprice_sens" localSheetId="7">'COTIZACION (Financ)'!#REF!</definedName>
    <definedName name="Postprice_sens">#REF!</definedName>
    <definedName name="PrecioPromedioUSGC">'[18]Fuel-USCG'!$G$5</definedName>
    <definedName name="Premium_CIF" localSheetId="6">'COTIZACIÓN '!#REF!</definedName>
    <definedName name="Premium_CIF" localSheetId="7">'COTIZACION (Financ)'!#REF!</definedName>
    <definedName name="Premium_CIF">#REF!</definedName>
    <definedName name="Principal" localSheetId="6">-PPMT(Interest_Rate/12,'COTIZACIÓN '!Payment_Number,Number_of_Payments,Loan_Amount)</definedName>
    <definedName name="Principal" localSheetId="7">-PPMT([0]!Interest_Rate/12,'COTIZACION (Financ)'!Payment_Number,[0]!Number_of_Payments,[0]!Loan_Amount)</definedName>
    <definedName name="Principal">-PPMT(Interest_Rate/12,Payment_Number,Number_of_Payments,Loan_Amount)</definedName>
    <definedName name="_xlnm.Print_Area" localSheetId="6">'COTIZACIÓN '!$B$1:$J$92</definedName>
    <definedName name="_xlnm.Print_Area" localSheetId="7">'COTIZACION (Financ)'!$B$1:$J$92</definedName>
    <definedName name="Promedio">'[19]Integracion Lps'!$P$3</definedName>
    <definedName name="Restablecer_área_de_impresión" localSheetId="6">#N/A</definedName>
    <definedName name="Restablecer_área_de_impresión" localSheetId="7">#N/A</definedName>
    <definedName name="Restablecer_área_de_impresión" localSheetId="2">#N/A</definedName>
    <definedName name="Restablecer_área_de_impresión" localSheetId="27">#N/A</definedName>
    <definedName name="Restablecer_área_de_impresión" localSheetId="5">#N/A</definedName>
    <definedName name="Restablecer_área_de_impresión" localSheetId="28">#N/A</definedName>
    <definedName name="Restablecer_área_de_impresión">OFFSET(Impresión_completa,0,0,[0]!Última_fila)</definedName>
    <definedName name="Saldo_final" localSheetId="6">'[2]Ptmo P'!$I$18:$I$497</definedName>
    <definedName name="Saldo_final" localSheetId="7">'[2]Ptmo P'!$I$18:$I$497</definedName>
    <definedName name="Saldo_final" localSheetId="2">#REF!</definedName>
    <definedName name="Saldo_final" localSheetId="27">'[2]Ptmo P'!$I$18:$I$497</definedName>
    <definedName name="Saldo_final" localSheetId="5">#REF!</definedName>
    <definedName name="Saldo_final" localSheetId="28">#REF!</definedName>
    <definedName name="Saldo_final">#REF!</definedName>
    <definedName name="Saldo_inicial" localSheetId="6">'[2]Ptmo P'!$C$18:$C$497</definedName>
    <definedName name="Saldo_inicial" localSheetId="7">'[2]Ptmo P'!$C$18:$C$497</definedName>
    <definedName name="Saldo_inicial" localSheetId="2">#REF!</definedName>
    <definedName name="Saldo_inicial" localSheetId="27">'[2]Ptmo P'!$C$18:$C$497</definedName>
    <definedName name="Saldo_inicial" localSheetId="5">#REF!</definedName>
    <definedName name="Saldo_inicial" localSheetId="28">#REF!</definedName>
    <definedName name="Saldo_inicial">#REF!</definedName>
    <definedName name="Saldo_inicial1" localSheetId="6">'COTIZACIÓN '!#REF!</definedName>
    <definedName name="Saldo_inicial1" localSheetId="7">'COTIZACION (Financ)'!#REF!</definedName>
    <definedName name="Saldo_inicial1" localSheetId="2">#REF!</definedName>
    <definedName name="Saldo_inicial1" localSheetId="27">#REF!</definedName>
    <definedName name="Saldo_inicial1" localSheetId="5">#REF!</definedName>
    <definedName name="Saldo_inicial1" localSheetId="28">#REF!</definedName>
    <definedName name="Saldo_inicial1">#REF!</definedName>
    <definedName name="SOLVER_INTS" localSheetId="6">'COTIZACIÓN '!#REF!</definedName>
    <definedName name="SOLVER_INTS" localSheetId="7">'COTIZACION (Financ)'!#REF!</definedName>
    <definedName name="SOLVER_INTS">#REF!</definedName>
    <definedName name="Subs_sensitivity" localSheetId="6">'COTIZACIÓN '!#REF!</definedName>
    <definedName name="Subs_sensitivity" localSheetId="7">'COTIZACION (Financ)'!#REF!</definedName>
    <definedName name="Subs_sensitivity">#REF!</definedName>
    <definedName name="Tasa_de_interés" localSheetId="6">'[2]Ptmo P'!$D$6</definedName>
    <definedName name="Tasa_de_interés" localSheetId="7">'[2]Ptmo P'!$D$6</definedName>
    <definedName name="Tasa_de_interés" localSheetId="2">#REF!</definedName>
    <definedName name="Tasa_de_interés" localSheetId="27">'[2]Ptmo P'!$D$6</definedName>
    <definedName name="Tasa_de_interés" localSheetId="5">#REF!</definedName>
    <definedName name="Tasa_de_interés" localSheetId="28">#REF!</definedName>
    <definedName name="Tasa_de_interés">#REF!</definedName>
    <definedName name="Tasa_de_interés_programada" localSheetId="6">'COTIZACIÓN '!#REF!</definedName>
    <definedName name="Tasa_de_interés_programada" localSheetId="7">'COTIZACION (Financ)'!#REF!</definedName>
    <definedName name="Tasa_de_interés_programada" localSheetId="2">#REF!</definedName>
    <definedName name="Tasa_de_interés_programada" localSheetId="27">#REF!</definedName>
    <definedName name="Tasa_de_interés_programada">#REF!</definedName>
    <definedName name="Tasa_Descuento_VPN">'[4]FLUJO DE CAJA'!$C$258</definedName>
    <definedName name="TIR">[6]CF!#REF!</definedName>
    <definedName name="Total_Cost" localSheetId="6">'COTIZACIÓN '!#REF!</definedName>
    <definedName name="Total_Cost" localSheetId="7">'COTIZACION (Financ)'!#REF!</definedName>
    <definedName name="Total_Cost">#REF!</definedName>
    <definedName name="Total_Ingresos" localSheetId="6">[6]CF!#REF!</definedName>
    <definedName name="Total_Ingresos" localSheetId="7">[6]CF!#REF!</definedName>
    <definedName name="Total_Ingresos">[6]CF!#REF!</definedName>
    <definedName name="Total_Interest" localSheetId="6">'COTIZACIÓN '!#REF!</definedName>
    <definedName name="Total_Interest" localSheetId="7">'COTIZACION (Financ)'!#REF!</definedName>
    <definedName name="Total_Interest">#REF!</definedName>
    <definedName name="Última_fila" localSheetId="6">IF('COTIZACIÓN '!Valores_especificados,'COTIZACIÓN '!Fila_de_encabezado+'COTIZACIÓN '!Número_de_pagos,'COTIZACIÓN '!Fila_de_encabezado)</definedName>
    <definedName name="Última_fila" localSheetId="7">IF('COTIZACION (Financ)'!Valores_especificados,'COTIZACION (Financ)'!Fila_de_encabezado+'COTIZACION (Financ)'!Número_de_pagos,'COTIZACION (Financ)'!Fila_de_encabezado)</definedName>
    <definedName name="Última_fila" localSheetId="2">IF('Evaluacion TIR-VAN'!Valores_especificados,'Evaluacion TIR-VAN'!Fila_de_encabezado+'Evaluacion TIR-VAN'!Número_de_pagos,'Evaluacion TIR-VAN'!Fila_de_encabezado)</definedName>
    <definedName name="Última_fila" localSheetId="27">IF('MANO DE OBRA '!Valores_especificados,'MANO DE OBRA '!Fila_de_encabezado+'MANO DE OBRA '!Número_de_pagos,'MANO DE OBRA '!Fila_de_encabezado)</definedName>
    <definedName name="Última_fila" localSheetId="5">IF('Resumen para oferta'!Valores_especificados,'Resumen para oferta'!Fila_de_encabezado+'Resumen para oferta'!Número_de_pagos,'Resumen para oferta'!Fila_de_encabezado)</definedName>
    <definedName name="Última_fila" localSheetId="28">IF(Transporte!Valores_especificados,Transporte!Fila_de_encabezado+Transporte!Número_de_pagos,Transporte!Fila_de_encabezado)</definedName>
    <definedName name="Última_fila">#N/A</definedName>
    <definedName name="Un_Millón" localSheetId="6">[20]Capex!#REF!</definedName>
    <definedName name="Un_Millón" localSheetId="7">[20]Capex!#REF!</definedName>
    <definedName name="Un_Millón">[20]Capex!#REF!</definedName>
    <definedName name="US____kW" localSheetId="6">'COTIZACIÓN '!#REF!</definedName>
    <definedName name="US____kW" localSheetId="7">'COTIZACION (Financ)'!#REF!</definedName>
    <definedName name="US____kW">#REF!</definedName>
    <definedName name="Valores_especificados" localSheetId="6">#N/A</definedName>
    <definedName name="Valores_especificados" localSheetId="7">#N/A</definedName>
    <definedName name="Valores_especificados" localSheetId="2">IF('Evaluacion TIR-VAN'!Importe_del_préstamo*'Evaluacion TIR-VAN'!Tasa_de_interés*'Evaluacion TIR-VAN'!Años_préstamo*'Evaluacion TIR-VAN'!Inicio_prestamo&gt;0,1,0)</definedName>
    <definedName name="Valores_especificados" localSheetId="27">#N/A</definedName>
    <definedName name="Valores_especificados" localSheetId="5">IF('Resumen para oferta'!Importe_del_préstamo*'Resumen para oferta'!Tasa_de_interés*'Resumen para oferta'!Años_préstamo*'Resumen para oferta'!Inicio_prestamo&gt;0,1,0)</definedName>
    <definedName name="Valores_especificados" localSheetId="28">IF(Transporte!Importe_del_préstamo*Transporte!Tasa_de_interés*Transporte!Años_préstamo*Transporte!Inicio_prestamo&gt;0,1,0)</definedName>
    <definedName name="Valores_especificados">IF(Importe_del_préstamo*Tasa_de_interés*Años_préstamo*Inicio_prestamo&gt;0,1,0)</definedName>
    <definedName name="Values_Entered" localSheetId="6">IF(Loan_Amount*Interest_Rate*Loan_Years*Loan_Start&gt;0,1,0)</definedName>
    <definedName name="Values_Entered" localSheetId="7">IF([0]!Loan_Amount*[0]!Interest_Rate*[0]!Loan_Years*[0]!Loan_Start&gt;0,1,0)</definedName>
    <definedName name="Values_Entered">IF(Loan_Amount*Interest_Rate*Loan_Years*Loan_Start&gt;0,1,0)</definedName>
    <definedName name="valuevx">42.314159</definedName>
    <definedName name="VAN" localSheetId="6">'COTIZACIÓN '!#REF!</definedName>
    <definedName name="VAN" localSheetId="7">'COTIZACION (Financ)'!#REF!</definedName>
    <definedName name="VAN">#REF!</definedName>
    <definedName name="ventas">'[15]Resultados Lps'!$D$9</definedName>
    <definedName name="Volumen" localSheetId="2">[3]!Tabla2[volumen]</definedName>
    <definedName name="VPN" localSheetId="6">[6]CF!#REF!</definedName>
    <definedName name="VPN" localSheetId="7">[6]CF!#REF!</definedName>
    <definedName name="VPN">[6]CF!#REF!</definedName>
    <definedName name="WorkingCapital" localSheetId="2">[3]!Tabla7[workingcapital]</definedName>
    <definedName name="wrn.BoD." localSheetId="6" hidden="1">{#N/A,#N/A,FALSE,"Summary";#N/A,#N/A,FALSE,"GenAssum";#N/A,#N/A,FALSE,"P&amp;L";#N/A,#N/A,FALSE,"CF";#N/A,#N/A,FALSE,"BS"}</definedName>
    <definedName name="wrn.BoD." localSheetId="7" hidden="1">{#N/A,#N/A,FALSE,"Summary";#N/A,#N/A,FALSE,"GenAssum";#N/A,#N/A,FALSE,"P&amp;L";#N/A,#N/A,FALSE,"CF";#N/A,#N/A,FALSE,"BS"}</definedName>
    <definedName name="wrn.BoD." hidden="1">{#N/A,#N/A,FALSE,"Summary";#N/A,#N/A,FALSE,"GenAssum";#N/A,#N/A,FALSE,"P&amp;L";#N/A,#N/A,FALSE,"CF";#N/A,#N/A,FALSE,"BS"}</definedName>
    <definedName name="wrn.Complete." localSheetId="6" hidden="1">{#N/A,#N/A,FALSE,"Summary";#N/A,#N/A,FALSE,"GenAssum";#N/A,#N/A,FALSE,"MacroAssum";#N/A,#N/A,FALSE,"P&amp;L";#N/A,#N/A,FALSE,"CF";#N/A,#N/A,FALSE,"BS";#N/A,#N/A,FALSE,"Debt";#N/A,#N/A,FALSE,"Draw";#N/A,#N/A,FALSE,"WC";#N/A,#N/A,FALSE,"AeroRevData";#N/A,#N/A,FALSE,"AeroRevCalc";#N/A,#N/A,FALSE,"AirsideRevData";#N/A,#N/A,FALSE,"NonAeroRevCalc";#N/A,#N/A,FALSE,"AirsideRevCalc";#N/A,#N/A,FALSE,"NonAeroRevData";#N/A,#N/A,FALSE,"OpExData";#N/A,#N/A,FALSE,"OpExCalc";#N/A,#N/A,FALSE,"Detail CAPEX";#N/A,#N/A,FALSE,"CapEx";#N/A,#N/A,FALSE,"Deprec";#N/A,#N/A,FALSE,"Notes"}</definedName>
    <definedName name="wrn.Complete." localSheetId="7" hidden="1">{#N/A,#N/A,FALSE,"Summary";#N/A,#N/A,FALSE,"GenAssum";#N/A,#N/A,FALSE,"MacroAssum";#N/A,#N/A,FALSE,"P&amp;L";#N/A,#N/A,FALSE,"CF";#N/A,#N/A,FALSE,"BS";#N/A,#N/A,FALSE,"Debt";#N/A,#N/A,FALSE,"Draw";#N/A,#N/A,FALSE,"WC";#N/A,#N/A,FALSE,"AeroRevData";#N/A,#N/A,FALSE,"AeroRevCalc";#N/A,#N/A,FALSE,"AirsideRevData";#N/A,#N/A,FALSE,"NonAeroRevCalc";#N/A,#N/A,FALSE,"AirsideRevCalc";#N/A,#N/A,FALSE,"NonAeroRevData";#N/A,#N/A,FALSE,"OpExData";#N/A,#N/A,FALSE,"OpExCalc";#N/A,#N/A,FALSE,"Detail CAPEX";#N/A,#N/A,FALSE,"CapEx";#N/A,#N/A,FALSE,"Deprec";#N/A,#N/A,FALSE,"Notes"}</definedName>
    <definedName name="wrn.Complete." hidden="1">{#N/A,#N/A,FALSE,"Summary";#N/A,#N/A,FALSE,"GenAssum";#N/A,#N/A,FALSE,"MacroAssum";#N/A,#N/A,FALSE,"P&amp;L";#N/A,#N/A,FALSE,"CF";#N/A,#N/A,FALSE,"BS";#N/A,#N/A,FALSE,"Debt";#N/A,#N/A,FALSE,"Draw";#N/A,#N/A,FALSE,"WC";#N/A,#N/A,FALSE,"AeroRevData";#N/A,#N/A,FALSE,"AeroRevCalc";#N/A,#N/A,FALSE,"AirsideRevData";#N/A,#N/A,FALSE,"NonAeroRevCalc";#N/A,#N/A,FALSE,"AirsideRevCalc";#N/A,#N/A,FALSE,"NonAeroRevData";#N/A,#N/A,FALSE,"OpExData";#N/A,#N/A,FALSE,"OpExCalc";#N/A,#N/A,FALSE,"Detail CAPEX";#N/A,#N/A,FALSE,"CapEx";#N/A,#N/A,FALSE,"Deprec";#N/A,#N/A,FALSE,"Notes"}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18" l="1"/>
  <c r="K7" i="118"/>
  <c r="K6" i="118"/>
  <c r="C16" i="123"/>
  <c r="I71" i="124"/>
  <c r="I70" i="124"/>
  <c r="I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6" i="124"/>
  <c r="I55" i="124"/>
  <c r="I54" i="124"/>
  <c r="I53" i="124"/>
  <c r="I52" i="124"/>
  <c r="I51" i="124"/>
  <c r="I50" i="124"/>
  <c r="I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5" i="124"/>
  <c r="I34" i="124"/>
  <c r="I33" i="124"/>
  <c r="I32" i="124"/>
  <c r="I31" i="124"/>
  <c r="I30" i="124"/>
  <c r="I29" i="124"/>
  <c r="I28" i="124"/>
  <c r="I27" i="124"/>
  <c r="I26" i="124"/>
  <c r="I25" i="124"/>
  <c r="I24" i="124"/>
  <c r="I23" i="124"/>
  <c r="I22" i="124"/>
  <c r="C71" i="124"/>
  <c r="B71" i="124"/>
  <c r="C70" i="124"/>
  <c r="B70" i="124"/>
  <c r="C69" i="124"/>
  <c r="B69" i="124"/>
  <c r="C68" i="124"/>
  <c r="B68" i="124"/>
  <c r="C67" i="124"/>
  <c r="B67" i="124"/>
  <c r="C66" i="124"/>
  <c r="B66" i="124"/>
  <c r="C65" i="124"/>
  <c r="B65" i="124"/>
  <c r="C64" i="124"/>
  <c r="B64" i="124"/>
  <c r="C63" i="124"/>
  <c r="B63" i="124"/>
  <c r="C62" i="124"/>
  <c r="B62" i="124"/>
  <c r="C61" i="124"/>
  <c r="B61" i="124"/>
  <c r="C60" i="124"/>
  <c r="B60" i="124"/>
  <c r="C59" i="124"/>
  <c r="B59" i="124"/>
  <c r="C58" i="124"/>
  <c r="B58" i="124"/>
  <c r="C57" i="124"/>
  <c r="B57" i="124"/>
  <c r="C56" i="124"/>
  <c r="B56" i="124"/>
  <c r="C55" i="124"/>
  <c r="B55" i="124"/>
  <c r="C54" i="124"/>
  <c r="B54" i="124"/>
  <c r="C53" i="124"/>
  <c r="B53" i="124"/>
  <c r="C52" i="124"/>
  <c r="B52" i="124"/>
  <c r="C51" i="124"/>
  <c r="B51" i="124"/>
  <c r="C50" i="124"/>
  <c r="B50" i="124"/>
  <c r="C49" i="124"/>
  <c r="B49" i="124"/>
  <c r="C48" i="124"/>
  <c r="B48" i="124"/>
  <c r="C47" i="124"/>
  <c r="B47" i="124"/>
  <c r="C46" i="124"/>
  <c r="B46" i="124"/>
  <c r="C45" i="124"/>
  <c r="B45" i="124"/>
  <c r="C44" i="124"/>
  <c r="B44" i="124"/>
  <c r="C43" i="124"/>
  <c r="B43" i="124"/>
  <c r="C42" i="124"/>
  <c r="B42" i="124"/>
  <c r="C41" i="124"/>
  <c r="B41" i="124"/>
  <c r="C40" i="124"/>
  <c r="B40" i="124"/>
  <c r="C39" i="124"/>
  <c r="B39" i="124"/>
  <c r="C38" i="124"/>
  <c r="B38" i="124"/>
  <c r="C37" i="124"/>
  <c r="B37" i="124"/>
  <c r="C36" i="124"/>
  <c r="B36" i="124"/>
  <c r="C35" i="124"/>
  <c r="B35" i="124"/>
  <c r="C34" i="124"/>
  <c r="B34" i="124"/>
  <c r="C33" i="124"/>
  <c r="B33" i="124"/>
  <c r="C32" i="124"/>
  <c r="B32" i="124"/>
  <c r="C31" i="124"/>
  <c r="B31" i="124"/>
  <c r="C30" i="124"/>
  <c r="B30" i="124"/>
  <c r="C29" i="124"/>
  <c r="B29" i="124"/>
  <c r="C28" i="124"/>
  <c r="B28" i="124"/>
  <c r="C27" i="124"/>
  <c r="B27" i="124"/>
  <c r="C26" i="124"/>
  <c r="B26" i="124"/>
  <c r="C25" i="124"/>
  <c r="B25" i="124"/>
  <c r="C24" i="124"/>
  <c r="B24" i="124"/>
  <c r="C23" i="124"/>
  <c r="B23" i="124"/>
  <c r="C22" i="124"/>
  <c r="B22" i="124"/>
  <c r="J12" i="124"/>
  <c r="C837" i="121"/>
  <c r="C841" i="121" s="1"/>
  <c r="C820" i="121"/>
  <c r="C824" i="121" s="1"/>
  <c r="C803" i="121"/>
  <c r="C807" i="121" s="1"/>
  <c r="C786" i="121"/>
  <c r="C790" i="121" s="1"/>
  <c r="C769" i="121"/>
  <c r="C773" i="121" s="1"/>
  <c r="C752" i="121"/>
  <c r="C756" i="121" s="1"/>
  <c r="C735" i="121"/>
  <c r="C739" i="121" s="1"/>
  <c r="C718" i="121"/>
  <c r="C722" i="121" s="1"/>
  <c r="C701" i="121"/>
  <c r="C705" i="121" s="1"/>
  <c r="C684" i="121"/>
  <c r="C688" i="121" s="1"/>
  <c r="C667" i="121"/>
  <c r="C671" i="121" s="1"/>
  <c r="O650" i="121"/>
  <c r="O654" i="121" s="1"/>
  <c r="C650" i="121"/>
  <c r="C654" i="121" s="1"/>
  <c r="O633" i="121"/>
  <c r="O637" i="121" s="1"/>
  <c r="C633" i="121"/>
  <c r="C637" i="121" s="1"/>
  <c r="O616" i="121"/>
  <c r="O620" i="121" s="1"/>
  <c r="C616" i="121"/>
  <c r="C620" i="121" s="1"/>
  <c r="O599" i="121"/>
  <c r="O603" i="121" s="1"/>
  <c r="C599" i="121"/>
  <c r="C603" i="121" s="1"/>
  <c r="O582" i="121"/>
  <c r="O586" i="121" s="1"/>
  <c r="C582" i="121"/>
  <c r="C586" i="121" s="1"/>
  <c r="O565" i="121"/>
  <c r="O569" i="121" s="1"/>
  <c r="C565" i="121"/>
  <c r="C569" i="121" s="1"/>
  <c r="O548" i="121"/>
  <c r="O552" i="121" s="1"/>
  <c r="C548" i="121"/>
  <c r="C552" i="121" s="1"/>
  <c r="O531" i="121"/>
  <c r="O535" i="121" s="1"/>
  <c r="C531" i="121"/>
  <c r="C535" i="121" s="1"/>
  <c r="O514" i="121"/>
  <c r="O518" i="121" s="1"/>
  <c r="C514" i="121"/>
  <c r="C518" i="121" s="1"/>
  <c r="O497" i="121"/>
  <c r="O501" i="121" s="1"/>
  <c r="C497" i="121"/>
  <c r="C501" i="121" s="1"/>
  <c r="O480" i="121"/>
  <c r="O484" i="121" s="1"/>
  <c r="C480" i="121"/>
  <c r="C484" i="121" s="1"/>
  <c r="O463" i="121"/>
  <c r="O467" i="121" s="1"/>
  <c r="C463" i="121"/>
  <c r="C467" i="121" s="1"/>
  <c r="O446" i="121"/>
  <c r="O450" i="121" s="1"/>
  <c r="C446" i="121"/>
  <c r="C450" i="121" s="1"/>
  <c r="O429" i="121"/>
  <c r="O433" i="121" s="1"/>
  <c r="C429" i="121"/>
  <c r="C433" i="121" s="1"/>
  <c r="O412" i="121"/>
  <c r="O416" i="121" s="1"/>
  <c r="C412" i="121"/>
  <c r="C416" i="121" s="1"/>
  <c r="O395" i="121"/>
  <c r="O399" i="121" s="1"/>
  <c r="C395" i="121"/>
  <c r="C399" i="121" s="1"/>
  <c r="O378" i="121"/>
  <c r="O382" i="121" s="1"/>
  <c r="C378" i="121"/>
  <c r="C382" i="121" s="1"/>
  <c r="O361" i="121"/>
  <c r="O365" i="121" s="1"/>
  <c r="C361" i="121"/>
  <c r="C365" i="121" s="1"/>
  <c r="O344" i="121"/>
  <c r="O348" i="121" s="1"/>
  <c r="C344" i="121"/>
  <c r="C348" i="121" s="1"/>
  <c r="O327" i="121"/>
  <c r="O331" i="121" s="1"/>
  <c r="C327" i="121"/>
  <c r="C331" i="121" s="1"/>
  <c r="O310" i="121"/>
  <c r="O314" i="121" s="1"/>
  <c r="C310" i="121"/>
  <c r="C314" i="121" s="1"/>
  <c r="O293" i="121"/>
  <c r="O297" i="121" s="1"/>
  <c r="C293" i="121"/>
  <c r="C297" i="121" s="1"/>
  <c r="O276" i="121"/>
  <c r="O280" i="121" s="1"/>
  <c r="C276" i="121"/>
  <c r="C280" i="121" s="1"/>
  <c r="O259" i="121"/>
  <c r="O263" i="121" s="1"/>
  <c r="C259" i="121"/>
  <c r="C263" i="121" s="1"/>
  <c r="O242" i="121"/>
  <c r="O246" i="121" s="1"/>
  <c r="C242" i="121"/>
  <c r="C246" i="121" s="1"/>
  <c r="O225" i="121"/>
  <c r="O229" i="121" s="1"/>
  <c r="C225" i="121"/>
  <c r="C229" i="121" s="1"/>
  <c r="O208" i="121"/>
  <c r="O212" i="121" s="1"/>
  <c r="C208" i="121"/>
  <c r="C212" i="121" s="1"/>
  <c r="O191" i="121"/>
  <c r="O195" i="121" s="1"/>
  <c r="C191" i="121"/>
  <c r="C195" i="121" s="1"/>
  <c r="O174" i="121"/>
  <c r="O178" i="121" s="1"/>
  <c r="C174" i="121"/>
  <c r="C178" i="121" s="1"/>
  <c r="U157" i="121"/>
  <c r="U161" i="121" s="1"/>
  <c r="O157" i="121"/>
  <c r="O161" i="121" s="1"/>
  <c r="I157" i="121"/>
  <c r="I161" i="121" s="1"/>
  <c r="C157" i="121"/>
  <c r="C161" i="121" s="1"/>
  <c r="U140" i="121"/>
  <c r="U144" i="121" s="1"/>
  <c r="O140" i="121"/>
  <c r="O144" i="121" s="1"/>
  <c r="I140" i="121"/>
  <c r="I144" i="121" s="1"/>
  <c r="C140" i="121"/>
  <c r="C144" i="121" s="1"/>
  <c r="U123" i="121"/>
  <c r="U127" i="121" s="1"/>
  <c r="O123" i="121"/>
  <c r="O127" i="121" s="1"/>
  <c r="I123" i="121"/>
  <c r="I127" i="121" s="1"/>
  <c r="C123" i="121"/>
  <c r="C127" i="121" s="1"/>
  <c r="U106" i="121"/>
  <c r="U110" i="121" s="1"/>
  <c r="O106" i="121"/>
  <c r="O110" i="121" s="1"/>
  <c r="I106" i="121"/>
  <c r="I110" i="121" s="1"/>
  <c r="C106" i="121"/>
  <c r="C110" i="121" s="1"/>
  <c r="U89" i="121"/>
  <c r="U93" i="121" s="1"/>
  <c r="O89" i="121"/>
  <c r="O93" i="121" s="1"/>
  <c r="I89" i="121"/>
  <c r="I93" i="121" s="1"/>
  <c r="C89" i="121"/>
  <c r="C93" i="121" s="1"/>
  <c r="U72" i="121"/>
  <c r="U76" i="121" s="1"/>
  <c r="O72" i="121"/>
  <c r="O76" i="121" s="1"/>
  <c r="I72" i="121"/>
  <c r="I76" i="121" s="1"/>
  <c r="C72" i="121"/>
  <c r="C76" i="121" s="1"/>
  <c r="U55" i="121"/>
  <c r="U59" i="121" s="1"/>
  <c r="O55" i="121"/>
  <c r="O59" i="121" s="1"/>
  <c r="I55" i="121"/>
  <c r="I59" i="121" s="1"/>
  <c r="C55" i="121"/>
  <c r="C59" i="121" s="1"/>
  <c r="U38" i="121"/>
  <c r="U42" i="121" s="1"/>
  <c r="O38" i="121"/>
  <c r="O42" i="121" s="1"/>
  <c r="I38" i="121"/>
  <c r="I42" i="121" s="1"/>
  <c r="C38" i="121"/>
  <c r="C42" i="121" s="1"/>
  <c r="U21" i="121"/>
  <c r="U25" i="121" s="1"/>
  <c r="O21" i="121"/>
  <c r="O25" i="121" s="1"/>
  <c r="I21" i="121"/>
  <c r="I25" i="121" s="1"/>
  <c r="C21" i="121"/>
  <c r="C25" i="121" s="1"/>
  <c r="U4" i="121"/>
  <c r="U8" i="121" s="1"/>
  <c r="O4" i="121"/>
  <c r="O8" i="121" s="1"/>
  <c r="I4" i="121"/>
  <c r="I8" i="121" s="1"/>
  <c r="C4" i="121"/>
  <c r="C8" i="121" s="1"/>
  <c r="B33" i="123"/>
  <c r="B32" i="123"/>
  <c r="B31" i="123"/>
  <c r="B30" i="123"/>
  <c r="B29" i="123"/>
  <c r="B28" i="123"/>
  <c r="B27" i="123"/>
  <c r="B10" i="123"/>
  <c r="C843" i="121"/>
  <c r="C826" i="121"/>
  <c r="C809" i="121"/>
  <c r="C792" i="121"/>
  <c r="C775" i="121"/>
  <c r="C758" i="121"/>
  <c r="C741" i="121"/>
  <c r="C724" i="121"/>
  <c r="C707" i="121"/>
  <c r="C690" i="121"/>
  <c r="C673" i="121"/>
  <c r="C656" i="121"/>
  <c r="C639" i="121"/>
  <c r="C622" i="121"/>
  <c r="C605" i="121"/>
  <c r="C588" i="121"/>
  <c r="C571" i="121"/>
  <c r="C554" i="121"/>
  <c r="C537" i="121"/>
  <c r="C520" i="121"/>
  <c r="C503" i="121"/>
  <c r="C486" i="121"/>
  <c r="C469" i="121"/>
  <c r="C452" i="121"/>
  <c r="C435" i="121"/>
  <c r="C418" i="121"/>
  <c r="C401" i="121"/>
  <c r="C384" i="121"/>
  <c r="C367" i="121"/>
  <c r="C350" i="121"/>
  <c r="C333" i="121"/>
  <c r="C316" i="121"/>
  <c r="C299" i="121"/>
  <c r="C282" i="121"/>
  <c r="C265" i="121"/>
  <c r="C248" i="121"/>
  <c r="C71" i="119"/>
  <c r="B71" i="119"/>
  <c r="C70" i="119"/>
  <c r="B70" i="119"/>
  <c r="C69" i="119"/>
  <c r="B69" i="119"/>
  <c r="C68" i="119"/>
  <c r="B68" i="119"/>
  <c r="C67" i="119"/>
  <c r="B67" i="119"/>
  <c r="C66" i="119"/>
  <c r="B66" i="119"/>
  <c r="C65" i="119"/>
  <c r="B65" i="119"/>
  <c r="C64" i="119"/>
  <c r="B64" i="119"/>
  <c r="C63" i="119"/>
  <c r="B63" i="119"/>
  <c r="C62" i="119"/>
  <c r="B62" i="119"/>
  <c r="C61" i="119"/>
  <c r="B61" i="119"/>
  <c r="C60" i="119"/>
  <c r="B60" i="119"/>
  <c r="C59" i="119"/>
  <c r="B59" i="119"/>
  <c r="C58" i="119"/>
  <c r="B58" i="119"/>
  <c r="C57" i="119"/>
  <c r="B57" i="119"/>
  <c r="C56" i="119"/>
  <c r="B56" i="119"/>
  <c r="C55" i="119"/>
  <c r="B55" i="119"/>
  <c r="C54" i="119"/>
  <c r="B54" i="119"/>
  <c r="C53" i="119"/>
  <c r="B53" i="119"/>
  <c r="C52" i="119"/>
  <c r="B52" i="119"/>
  <c r="C51" i="119"/>
  <c r="B51" i="119"/>
  <c r="C50" i="119"/>
  <c r="B50" i="119"/>
  <c r="C49" i="119"/>
  <c r="B49" i="119"/>
  <c r="C48" i="119"/>
  <c r="B48" i="119"/>
  <c r="C47" i="119"/>
  <c r="B47" i="119"/>
  <c r="C46" i="119"/>
  <c r="B46" i="119"/>
  <c r="C45" i="119"/>
  <c r="B45" i="119"/>
  <c r="C44" i="119"/>
  <c r="B44" i="119"/>
  <c r="C43" i="119"/>
  <c r="B43" i="119"/>
  <c r="C42" i="119"/>
  <c r="B42" i="119"/>
  <c r="C41" i="119"/>
  <c r="B41" i="119"/>
  <c r="C40" i="119"/>
  <c r="B40" i="119"/>
  <c r="C39" i="119"/>
  <c r="B39" i="119"/>
  <c r="C38" i="119"/>
  <c r="B38" i="119"/>
  <c r="C37" i="119"/>
  <c r="B37" i="119"/>
  <c r="C36" i="119"/>
  <c r="B36" i="119"/>
  <c r="C35" i="119"/>
  <c r="B35" i="119"/>
  <c r="C34" i="119"/>
  <c r="B34" i="119"/>
  <c r="C33" i="119"/>
  <c r="B33" i="119"/>
  <c r="C32" i="119"/>
  <c r="B32" i="119"/>
  <c r="C31" i="119"/>
  <c r="B31" i="119"/>
  <c r="C30" i="119"/>
  <c r="B30" i="119"/>
  <c r="C29" i="119"/>
  <c r="B29" i="119"/>
  <c r="C28" i="119"/>
  <c r="B28" i="119"/>
  <c r="C27" i="119"/>
  <c r="B27" i="119"/>
  <c r="C26" i="119"/>
  <c r="B26" i="119"/>
  <c r="J54" i="1"/>
  <c r="G54" i="1"/>
  <c r="F54" i="1"/>
  <c r="J53" i="1"/>
  <c r="G53" i="1"/>
  <c r="F53" i="1"/>
  <c r="J52" i="1"/>
  <c r="G52" i="1"/>
  <c r="F52" i="1"/>
  <c r="J51" i="1"/>
  <c r="G51" i="1"/>
  <c r="F51" i="1"/>
  <c r="J50" i="1"/>
  <c r="G50" i="1"/>
  <c r="H50" i="1" s="1"/>
  <c r="F50" i="1"/>
  <c r="J49" i="1"/>
  <c r="G49" i="1"/>
  <c r="F49" i="1"/>
  <c r="J48" i="1"/>
  <c r="G48" i="1"/>
  <c r="F48" i="1"/>
  <c r="J47" i="1"/>
  <c r="G47" i="1"/>
  <c r="F47" i="1"/>
  <c r="J46" i="1"/>
  <c r="G46" i="1"/>
  <c r="H46" i="1" s="1"/>
  <c r="F46" i="1"/>
  <c r="J45" i="1"/>
  <c r="G45" i="1"/>
  <c r="H45" i="1" s="1"/>
  <c r="F45" i="1"/>
  <c r="J44" i="1"/>
  <c r="G44" i="1"/>
  <c r="F44" i="1"/>
  <c r="J43" i="1"/>
  <c r="G43" i="1"/>
  <c r="F43" i="1"/>
  <c r="J42" i="1"/>
  <c r="G42" i="1"/>
  <c r="F42" i="1"/>
  <c r="J41" i="1"/>
  <c r="G41" i="1"/>
  <c r="F41" i="1"/>
  <c r="J40" i="1"/>
  <c r="G40" i="1"/>
  <c r="F40" i="1"/>
  <c r="J39" i="1"/>
  <c r="G39" i="1"/>
  <c r="F39" i="1"/>
  <c r="J38" i="1"/>
  <c r="G38" i="1"/>
  <c r="H38" i="1" s="1"/>
  <c r="F38" i="1"/>
  <c r="J37" i="1"/>
  <c r="G37" i="1"/>
  <c r="F37" i="1"/>
  <c r="J36" i="1"/>
  <c r="G36" i="1"/>
  <c r="H36" i="1" s="1"/>
  <c r="F36" i="1"/>
  <c r="J35" i="1"/>
  <c r="G35" i="1"/>
  <c r="F35" i="1"/>
  <c r="J34" i="1"/>
  <c r="G34" i="1"/>
  <c r="H34" i="1" s="1"/>
  <c r="I34" i="1" s="1"/>
  <c r="F34" i="1"/>
  <c r="J33" i="1"/>
  <c r="G33" i="1"/>
  <c r="F33" i="1"/>
  <c r="J32" i="1"/>
  <c r="G32" i="1"/>
  <c r="F32" i="1"/>
  <c r="J31" i="1"/>
  <c r="G31" i="1"/>
  <c r="H31" i="1" s="1"/>
  <c r="F31" i="1"/>
  <c r="J30" i="1"/>
  <c r="G30" i="1"/>
  <c r="F30" i="1"/>
  <c r="J29" i="1"/>
  <c r="G29" i="1"/>
  <c r="F29" i="1"/>
  <c r="J28" i="1"/>
  <c r="G28" i="1"/>
  <c r="F28" i="1"/>
  <c r="J27" i="1"/>
  <c r="G27" i="1"/>
  <c r="F27" i="1"/>
  <c r="J26" i="1"/>
  <c r="G26" i="1"/>
  <c r="H26" i="1" s="1"/>
  <c r="F26" i="1"/>
  <c r="J25" i="1"/>
  <c r="G25" i="1"/>
  <c r="F25" i="1"/>
  <c r="J24" i="1"/>
  <c r="G24" i="1"/>
  <c r="F24" i="1"/>
  <c r="J23" i="1"/>
  <c r="G23" i="1"/>
  <c r="F23" i="1"/>
  <c r="J22" i="1"/>
  <c r="G22" i="1"/>
  <c r="H22" i="1" s="1"/>
  <c r="I22" i="1" s="1"/>
  <c r="F22" i="1"/>
  <c r="J21" i="1"/>
  <c r="G21" i="1"/>
  <c r="H21" i="1" s="1"/>
  <c r="F21" i="1"/>
  <c r="J20" i="1"/>
  <c r="G20" i="1"/>
  <c r="F20" i="1"/>
  <c r="J19" i="1"/>
  <c r="G19" i="1"/>
  <c r="F19" i="1"/>
  <c r="C27" i="83"/>
  <c r="C26" i="83"/>
  <c r="C25" i="83"/>
  <c r="C24" i="83"/>
  <c r="C23" i="83"/>
  <c r="C22" i="83"/>
  <c r="C21" i="83"/>
  <c r="C20" i="83"/>
  <c r="C19" i="83"/>
  <c r="C18" i="83"/>
  <c r="J7" i="122"/>
  <c r="D12" i="122"/>
  <c r="U163" i="121"/>
  <c r="U146" i="121"/>
  <c r="U129" i="121"/>
  <c r="U112" i="121"/>
  <c r="U95" i="121"/>
  <c r="U78" i="121"/>
  <c r="U61" i="121"/>
  <c r="U44" i="121"/>
  <c r="U27" i="121"/>
  <c r="U10" i="121"/>
  <c r="O656" i="121"/>
  <c r="O639" i="121"/>
  <c r="O622" i="121"/>
  <c r="O605" i="121"/>
  <c r="O588" i="121"/>
  <c r="O571" i="121"/>
  <c r="O554" i="121"/>
  <c r="O537" i="121"/>
  <c r="O520" i="121"/>
  <c r="O503" i="121"/>
  <c r="O486" i="121"/>
  <c r="O469" i="121"/>
  <c r="O452" i="121"/>
  <c r="O435" i="121"/>
  <c r="O418" i="121"/>
  <c r="O401" i="121"/>
  <c r="O384" i="121"/>
  <c r="O367" i="121"/>
  <c r="O350" i="121"/>
  <c r="O333" i="121"/>
  <c r="O316" i="121"/>
  <c r="O299" i="121"/>
  <c r="O282" i="121"/>
  <c r="O265" i="121"/>
  <c r="O248" i="121"/>
  <c r="O231" i="121"/>
  <c r="O214" i="121"/>
  <c r="O197" i="121"/>
  <c r="O180" i="121"/>
  <c r="O163" i="121"/>
  <c r="O146" i="121"/>
  <c r="O129" i="121"/>
  <c r="O112" i="121"/>
  <c r="O95" i="121"/>
  <c r="O78" i="121"/>
  <c r="O61" i="121"/>
  <c r="O44" i="121"/>
  <c r="O27" i="121"/>
  <c r="O10" i="121"/>
  <c r="I163" i="121"/>
  <c r="I146" i="121"/>
  <c r="I129" i="121"/>
  <c r="I112" i="121"/>
  <c r="I95" i="121"/>
  <c r="I78" i="121"/>
  <c r="I61" i="121"/>
  <c r="I44" i="121"/>
  <c r="I27" i="121"/>
  <c r="I10" i="121"/>
  <c r="C231" i="121"/>
  <c r="C214" i="121"/>
  <c r="C197" i="121"/>
  <c r="C180" i="121"/>
  <c r="C163" i="121"/>
  <c r="C146" i="121"/>
  <c r="C129" i="121"/>
  <c r="C112" i="121"/>
  <c r="C95" i="121"/>
  <c r="C78" i="121"/>
  <c r="C61" i="121"/>
  <c r="C44" i="121"/>
  <c r="C27" i="121"/>
  <c r="C10" i="121"/>
  <c r="M4" i="110"/>
  <c r="E10" i="120" s="1"/>
  <c r="E1" i="9"/>
  <c r="D36" i="120"/>
  <c r="D35" i="120"/>
  <c r="D34" i="120"/>
  <c r="E11" i="120"/>
  <c r="B11" i="120"/>
  <c r="B10" i="120"/>
  <c r="E9" i="120"/>
  <c r="B9" i="120"/>
  <c r="E8" i="120"/>
  <c r="B8" i="120"/>
  <c r="E7" i="120"/>
  <c r="B7" i="120"/>
  <c r="E6" i="120"/>
  <c r="B6" i="120"/>
  <c r="E5" i="120"/>
  <c r="B5" i="120"/>
  <c r="E4" i="120"/>
  <c r="F4" i="120" s="1"/>
  <c r="B4" i="120"/>
  <c r="I6" i="110"/>
  <c r="C18" i="15"/>
  <c r="J11" i="1"/>
  <c r="J12" i="1"/>
  <c r="J13" i="1"/>
  <c r="J14" i="1"/>
  <c r="J15" i="1"/>
  <c r="J16" i="1"/>
  <c r="J17" i="1"/>
  <c r="J18" i="1"/>
  <c r="J55" i="1"/>
  <c r="G7" i="1"/>
  <c r="G8" i="1"/>
  <c r="G9" i="1"/>
  <c r="G10" i="1"/>
  <c r="G11" i="1"/>
  <c r="H11" i="1" s="1"/>
  <c r="G12" i="1"/>
  <c r="H12" i="1" s="1"/>
  <c r="G13" i="1"/>
  <c r="H13" i="1" s="1"/>
  <c r="G14" i="1"/>
  <c r="G15" i="1"/>
  <c r="G16" i="1"/>
  <c r="G17" i="1"/>
  <c r="G18" i="1"/>
  <c r="G55" i="1"/>
  <c r="H55" i="1" s="1"/>
  <c r="F7" i="1"/>
  <c r="F8" i="1"/>
  <c r="F9" i="1"/>
  <c r="F10" i="1"/>
  <c r="F11" i="1"/>
  <c r="F12" i="1"/>
  <c r="F13" i="1"/>
  <c r="F14" i="1"/>
  <c r="F15" i="1"/>
  <c r="F16" i="1"/>
  <c r="F17" i="1"/>
  <c r="F18" i="1"/>
  <c r="F55" i="1"/>
  <c r="A19" i="122" l="1"/>
  <c r="A20" i="122"/>
  <c r="E20" i="122" s="1"/>
  <c r="A21" i="122"/>
  <c r="A22" i="122"/>
  <c r="B22" i="122" s="1"/>
  <c r="A23" i="122"/>
  <c r="B23" i="122" s="1"/>
  <c r="A24" i="122"/>
  <c r="A25" i="122"/>
  <c r="A26" i="122"/>
  <c r="A27" i="122"/>
  <c r="A28" i="122"/>
  <c r="B28" i="122" s="1"/>
  <c r="A29" i="122"/>
  <c r="A30" i="122"/>
  <c r="E30" i="122" s="1"/>
  <c r="A31" i="122"/>
  <c r="E31" i="122" s="1"/>
  <c r="A32" i="122"/>
  <c r="A33" i="122"/>
  <c r="A34" i="122"/>
  <c r="E34" i="122" s="1"/>
  <c r="A35" i="122"/>
  <c r="B35" i="122" s="1"/>
  <c r="A36" i="122"/>
  <c r="A37" i="122"/>
  <c r="E37" i="122" s="1"/>
  <c r="A38" i="122"/>
  <c r="A39" i="122"/>
  <c r="B39" i="122" s="1"/>
  <c r="A40" i="122"/>
  <c r="A41" i="122"/>
  <c r="A42" i="122"/>
  <c r="A43" i="122"/>
  <c r="B43" i="122" s="1"/>
  <c r="A44" i="122"/>
  <c r="A45" i="122"/>
  <c r="A46" i="122"/>
  <c r="A47" i="122"/>
  <c r="A48" i="122"/>
  <c r="E48" i="122" s="1"/>
  <c r="A49" i="122"/>
  <c r="A50" i="122"/>
  <c r="A51" i="122"/>
  <c r="A52" i="122"/>
  <c r="A53" i="122"/>
  <c r="E53" i="122" s="1"/>
  <c r="A54" i="122"/>
  <c r="A55" i="122"/>
  <c r="E55" i="122" s="1"/>
  <c r="A56" i="122"/>
  <c r="A57" i="122"/>
  <c r="A58" i="122"/>
  <c r="A59" i="122"/>
  <c r="E59" i="122" s="1"/>
  <c r="A60" i="122"/>
  <c r="A61" i="122"/>
  <c r="A62" i="122"/>
  <c r="A63" i="122"/>
  <c r="A64" i="122"/>
  <c r="A65" i="122"/>
  <c r="A66" i="122"/>
  <c r="E66" i="122" s="1"/>
  <c r="A67" i="122"/>
  <c r="A68" i="122"/>
  <c r="A69" i="122"/>
  <c r="H69" i="122" s="1"/>
  <c r="A70" i="122"/>
  <c r="A71" i="122"/>
  <c r="A72" i="122"/>
  <c r="A73" i="122"/>
  <c r="E73" i="122" s="1"/>
  <c r="A74" i="122"/>
  <c r="A75" i="122"/>
  <c r="A76" i="122"/>
  <c r="A77" i="122"/>
  <c r="A78" i="122"/>
  <c r="I78" i="122" s="1"/>
  <c r="A79" i="122"/>
  <c r="F79" i="122" s="1"/>
  <c r="A80" i="122"/>
  <c r="A81" i="122"/>
  <c r="A82" i="122"/>
  <c r="A83" i="122"/>
  <c r="A84" i="122"/>
  <c r="A85" i="122"/>
  <c r="A86" i="122"/>
  <c r="A87" i="122"/>
  <c r="H87" i="122" s="1"/>
  <c r="A88" i="122"/>
  <c r="A89" i="122"/>
  <c r="I89" i="122" s="1"/>
  <c r="A90" i="122"/>
  <c r="A91" i="122"/>
  <c r="A92" i="122"/>
  <c r="A93" i="122"/>
  <c r="A94" i="122"/>
  <c r="A95" i="122"/>
  <c r="J95" i="122" s="1"/>
  <c r="A96" i="122"/>
  <c r="A97" i="122"/>
  <c r="I97" i="122" s="1"/>
  <c r="A98" i="122"/>
  <c r="A99" i="122"/>
  <c r="A100" i="122"/>
  <c r="A101" i="122"/>
  <c r="A102" i="122"/>
  <c r="H102" i="122" s="1"/>
  <c r="A103" i="122"/>
  <c r="A104" i="122"/>
  <c r="A105" i="122"/>
  <c r="A106" i="122"/>
  <c r="A107" i="122"/>
  <c r="C107" i="122" s="1"/>
  <c r="A108" i="122"/>
  <c r="A109" i="122"/>
  <c r="B109" i="122" s="1"/>
  <c r="A110" i="122"/>
  <c r="A111" i="122"/>
  <c r="A112" i="122"/>
  <c r="A113" i="122"/>
  <c r="A114" i="122"/>
  <c r="A115" i="122"/>
  <c r="J115" i="122" s="1"/>
  <c r="A116" i="122"/>
  <c r="A117" i="122"/>
  <c r="J117" i="122" s="1"/>
  <c r="A118" i="122"/>
  <c r="B111" i="122"/>
  <c r="J114" i="122"/>
  <c r="J57" i="124"/>
  <c r="J45" i="124"/>
  <c r="J33" i="124"/>
  <c r="O216" i="121"/>
  <c r="O97" i="121"/>
  <c r="U131" i="121"/>
  <c r="O505" i="121"/>
  <c r="J69" i="124"/>
  <c r="J25" i="124"/>
  <c r="J37" i="124"/>
  <c r="J49" i="124"/>
  <c r="J61" i="124"/>
  <c r="C80" i="121"/>
  <c r="C84" i="121" s="1"/>
  <c r="C86" i="121" s="1"/>
  <c r="C199" i="121"/>
  <c r="C203" i="121" s="1"/>
  <c r="C205" i="121" s="1"/>
  <c r="C403" i="121"/>
  <c r="C407" i="121" s="1"/>
  <c r="C409" i="121" s="1"/>
  <c r="K34" i="1"/>
  <c r="L34" i="1" s="1"/>
  <c r="M34" i="1" s="1"/>
  <c r="O199" i="121"/>
  <c r="O301" i="121"/>
  <c r="J23" i="124"/>
  <c r="J35" i="124"/>
  <c r="J47" i="124"/>
  <c r="J59" i="124"/>
  <c r="J71" i="124"/>
  <c r="C97" i="121"/>
  <c r="C101" i="121" s="1"/>
  <c r="C103" i="121" s="1"/>
  <c r="J24" i="124"/>
  <c r="J36" i="124"/>
  <c r="J48" i="124"/>
  <c r="J60" i="124"/>
  <c r="I46" i="121"/>
  <c r="C182" i="121"/>
  <c r="J26" i="124"/>
  <c r="J38" i="124"/>
  <c r="J50" i="124"/>
  <c r="J62" i="124"/>
  <c r="O539" i="121"/>
  <c r="O543" i="121" s="1"/>
  <c r="O545" i="121" s="1"/>
  <c r="U165" i="121"/>
  <c r="U169" i="121" s="1"/>
  <c r="U171" i="121" s="1"/>
  <c r="J27" i="124"/>
  <c r="J39" i="124"/>
  <c r="J51" i="124"/>
  <c r="J63" i="124"/>
  <c r="J28" i="124"/>
  <c r="J40" i="124"/>
  <c r="J52" i="124"/>
  <c r="J64" i="124"/>
  <c r="J29" i="124"/>
  <c r="J41" i="124"/>
  <c r="J53" i="124"/>
  <c r="J65" i="124"/>
  <c r="J22" i="124"/>
  <c r="L74" i="124" s="1"/>
  <c r="J34" i="124"/>
  <c r="J46" i="124"/>
  <c r="J58" i="124"/>
  <c r="J70" i="124"/>
  <c r="J30" i="124"/>
  <c r="J42" i="124"/>
  <c r="J54" i="124"/>
  <c r="J66" i="124"/>
  <c r="U114" i="121"/>
  <c r="J31" i="124"/>
  <c r="J43" i="124"/>
  <c r="J55" i="124"/>
  <c r="J67" i="124"/>
  <c r="J32" i="124"/>
  <c r="J44" i="124"/>
  <c r="J56" i="124"/>
  <c r="J68" i="124"/>
  <c r="O488" i="121"/>
  <c r="Q488" i="121" s="1"/>
  <c r="B60" i="122"/>
  <c r="J96" i="122"/>
  <c r="B59" i="122"/>
  <c r="E61" i="122"/>
  <c r="O420" i="121"/>
  <c r="O424" i="121" s="1"/>
  <c r="O426" i="121" s="1"/>
  <c r="F75" i="122"/>
  <c r="B77" i="122"/>
  <c r="O12" i="121"/>
  <c r="Q12" i="121" s="1"/>
  <c r="U46" i="121"/>
  <c r="U50" i="121" s="1"/>
  <c r="U52" i="121" s="1"/>
  <c r="F91" i="122"/>
  <c r="O46" i="121"/>
  <c r="O50" i="121" s="1"/>
  <c r="O52" i="121" s="1"/>
  <c r="O318" i="121"/>
  <c r="O322" i="121" s="1"/>
  <c r="O324" i="121" s="1"/>
  <c r="J93" i="122"/>
  <c r="J113" i="122"/>
  <c r="B24" i="122"/>
  <c r="B26" i="122"/>
  <c r="J111" i="122"/>
  <c r="U80" i="121"/>
  <c r="W80" i="121" s="1"/>
  <c r="J5" i="122"/>
  <c r="O284" i="121"/>
  <c r="O288" i="121" s="1"/>
  <c r="O290" i="121" s="1"/>
  <c r="O624" i="121"/>
  <c r="Q624" i="121" s="1"/>
  <c r="O352" i="121"/>
  <c r="O356" i="121" s="1"/>
  <c r="O358" i="121" s="1"/>
  <c r="I165" i="121"/>
  <c r="U97" i="121"/>
  <c r="U101" i="121" s="1"/>
  <c r="U103" i="121" s="1"/>
  <c r="U63" i="121"/>
  <c r="W63" i="121" s="1"/>
  <c r="O556" i="121"/>
  <c r="O560" i="121" s="1"/>
  <c r="O562" i="121" s="1"/>
  <c r="C63" i="121"/>
  <c r="C67" i="121" s="1"/>
  <c r="C69" i="121" s="1"/>
  <c r="C165" i="121"/>
  <c r="C169" i="121" s="1"/>
  <c r="C171" i="121" s="1"/>
  <c r="I12" i="121"/>
  <c r="K12" i="121" s="1"/>
  <c r="O335" i="121"/>
  <c r="Q335" i="121" s="1"/>
  <c r="O658" i="121"/>
  <c r="Q658" i="121" s="1"/>
  <c r="O131" i="121"/>
  <c r="O135" i="121" s="1"/>
  <c r="O137" i="121" s="1"/>
  <c r="O522" i="121"/>
  <c r="Q522" i="121" s="1"/>
  <c r="C12" i="121"/>
  <c r="E12" i="121" s="1"/>
  <c r="C114" i="121"/>
  <c r="E114" i="121" s="1"/>
  <c r="C216" i="121"/>
  <c r="E216" i="121" s="1"/>
  <c r="I63" i="121"/>
  <c r="I67" i="121" s="1"/>
  <c r="I69" i="121" s="1"/>
  <c r="O233" i="121"/>
  <c r="O237" i="121" s="1"/>
  <c r="O239" i="121" s="1"/>
  <c r="B25" i="122"/>
  <c r="E41" i="122"/>
  <c r="I97" i="121"/>
  <c r="I101" i="121" s="1"/>
  <c r="I103" i="121" s="1"/>
  <c r="O29" i="121"/>
  <c r="Q29" i="121" s="1"/>
  <c r="O471" i="121"/>
  <c r="O475" i="121" s="1"/>
  <c r="O477" i="121" s="1"/>
  <c r="C29" i="121"/>
  <c r="E29" i="121" s="1"/>
  <c r="C131" i="121"/>
  <c r="E131" i="121" s="1"/>
  <c r="C233" i="121"/>
  <c r="C237" i="121" s="1"/>
  <c r="C239" i="121" s="1"/>
  <c r="O80" i="121"/>
  <c r="O84" i="121" s="1"/>
  <c r="O86" i="121" s="1"/>
  <c r="U29" i="121"/>
  <c r="U33" i="121" s="1"/>
  <c r="U35" i="121" s="1"/>
  <c r="J6" i="122"/>
  <c r="I80" i="121"/>
  <c r="O403" i="121"/>
  <c r="I148" i="121"/>
  <c r="O607" i="121"/>
  <c r="O182" i="121"/>
  <c r="U12" i="121"/>
  <c r="W12" i="121" s="1"/>
  <c r="C117" i="122"/>
  <c r="B117" i="122"/>
  <c r="E117" i="122"/>
  <c r="D117" i="122"/>
  <c r="I117" i="122"/>
  <c r="G117" i="122"/>
  <c r="H117" i="122"/>
  <c r="F117" i="122"/>
  <c r="I131" i="121"/>
  <c r="O250" i="121"/>
  <c r="O437" i="121"/>
  <c r="O641" i="121"/>
  <c r="O369" i="121"/>
  <c r="I114" i="121"/>
  <c r="O114" i="121"/>
  <c r="O454" i="121"/>
  <c r="O148" i="121"/>
  <c r="F35" i="120"/>
  <c r="U148" i="121"/>
  <c r="U152" i="121" s="1"/>
  <c r="U154" i="121" s="1"/>
  <c r="O63" i="121"/>
  <c r="O590" i="121"/>
  <c r="O267" i="121"/>
  <c r="I36" i="1"/>
  <c r="K36" i="1" s="1"/>
  <c r="L36" i="1" s="1"/>
  <c r="N36" i="1" s="1"/>
  <c r="O36" i="1" s="1"/>
  <c r="O573" i="121"/>
  <c r="I29" i="121"/>
  <c r="H48" i="1"/>
  <c r="I48" i="1" s="1"/>
  <c r="O386" i="121"/>
  <c r="O165" i="121"/>
  <c r="H33" i="1"/>
  <c r="I33" i="1" s="1"/>
  <c r="K22" i="1"/>
  <c r="L22" i="1" s="1"/>
  <c r="M22" i="1" s="1"/>
  <c r="C46" i="121"/>
  <c r="E46" i="121" s="1"/>
  <c r="C148" i="121"/>
  <c r="C152" i="121" s="1"/>
  <c r="C154" i="121" s="1"/>
  <c r="C420" i="121"/>
  <c r="C424" i="121" s="1"/>
  <c r="C426" i="121" s="1"/>
  <c r="C845" i="121"/>
  <c r="C849" i="121" s="1"/>
  <c r="C851" i="121" s="1"/>
  <c r="C828" i="121"/>
  <c r="C832" i="121" s="1"/>
  <c r="C834" i="121" s="1"/>
  <c r="C811" i="121"/>
  <c r="E811" i="121" s="1"/>
  <c r="C794" i="121"/>
  <c r="C777" i="121"/>
  <c r="C760" i="121"/>
  <c r="C743" i="121"/>
  <c r="C747" i="121" s="1"/>
  <c r="C749" i="121" s="1"/>
  <c r="C726" i="121"/>
  <c r="C730" i="121" s="1"/>
  <c r="C732" i="121" s="1"/>
  <c r="C709" i="121"/>
  <c r="C692" i="121"/>
  <c r="C675" i="121"/>
  <c r="C658" i="121"/>
  <c r="C662" i="121" s="1"/>
  <c r="C664" i="121" s="1"/>
  <c r="C641" i="121"/>
  <c r="C624" i="121"/>
  <c r="C607" i="121"/>
  <c r="C590" i="121"/>
  <c r="C594" i="121" s="1"/>
  <c r="C596" i="121" s="1"/>
  <c r="C573" i="121"/>
  <c r="C556" i="121"/>
  <c r="C560" i="121" s="1"/>
  <c r="C562" i="121" s="1"/>
  <c r="C539" i="121"/>
  <c r="C522" i="121"/>
  <c r="C526" i="121" s="1"/>
  <c r="C528" i="121" s="1"/>
  <c r="C505" i="121"/>
  <c r="C488" i="121"/>
  <c r="C471" i="121"/>
  <c r="C454" i="121"/>
  <c r="C437" i="121"/>
  <c r="C386" i="121"/>
  <c r="C369" i="121"/>
  <c r="C352" i="121"/>
  <c r="C335" i="121"/>
  <c r="C318" i="121"/>
  <c r="C301" i="121"/>
  <c r="C305" i="121" s="1"/>
  <c r="C307" i="121" s="1"/>
  <c r="C284" i="121"/>
  <c r="C267" i="121"/>
  <c r="C250" i="121"/>
  <c r="H32" i="1"/>
  <c r="I32" i="1" s="1"/>
  <c r="K32" i="1" s="1"/>
  <c r="I46" i="1"/>
  <c r="K46" i="1" s="1"/>
  <c r="H44" i="1"/>
  <c r="I44" i="1" s="1"/>
  <c r="I21" i="1"/>
  <c r="K21" i="1" s="1"/>
  <c r="H30" i="1"/>
  <c r="I30" i="1" s="1"/>
  <c r="K30" i="1" s="1"/>
  <c r="H19" i="1"/>
  <c r="I19" i="1" s="1"/>
  <c r="I45" i="1"/>
  <c r="K45" i="1" s="1"/>
  <c r="H42" i="1"/>
  <c r="I42" i="1" s="1"/>
  <c r="K42" i="1" s="1"/>
  <c r="H54" i="1"/>
  <c r="I54" i="1" s="1"/>
  <c r="I31" i="1"/>
  <c r="K31" i="1" s="1"/>
  <c r="H20" i="1"/>
  <c r="I20" i="1" s="1"/>
  <c r="H43" i="1"/>
  <c r="I43" i="1" s="1"/>
  <c r="H53" i="1"/>
  <c r="I53" i="1" s="1"/>
  <c r="K53" i="1" s="1"/>
  <c r="H28" i="1"/>
  <c r="H40" i="1"/>
  <c r="I40" i="1" s="1"/>
  <c r="H52" i="1"/>
  <c r="I52" i="1" s="1"/>
  <c r="H27" i="1"/>
  <c r="I27" i="1" s="1"/>
  <c r="K27" i="1" s="1"/>
  <c r="H39" i="1"/>
  <c r="I39" i="1" s="1"/>
  <c r="H51" i="1"/>
  <c r="I51" i="1" s="1"/>
  <c r="H25" i="1"/>
  <c r="I26" i="1"/>
  <c r="K26" i="1" s="1"/>
  <c r="H37" i="1"/>
  <c r="I38" i="1"/>
  <c r="K38" i="1" s="1"/>
  <c r="H49" i="1"/>
  <c r="I49" i="1" s="1"/>
  <c r="K49" i="1" s="1"/>
  <c r="I50" i="1"/>
  <c r="K50" i="1" s="1"/>
  <c r="H29" i="1"/>
  <c r="H41" i="1"/>
  <c r="H24" i="1"/>
  <c r="I24" i="1" s="1"/>
  <c r="H23" i="1"/>
  <c r="I23" i="1" s="1"/>
  <c r="H35" i="1"/>
  <c r="I35" i="1" s="1"/>
  <c r="H47" i="1"/>
  <c r="I47" i="1" s="1"/>
  <c r="E12" i="120"/>
  <c r="G4" i="120"/>
  <c r="I55" i="1"/>
  <c r="K55" i="1" s="1"/>
  <c r="I11" i="1"/>
  <c r="K11" i="1" s="1"/>
  <c r="H18" i="1"/>
  <c r="I18" i="1" s="1"/>
  <c r="K18" i="1" s="1"/>
  <c r="H10" i="1"/>
  <c r="H17" i="1"/>
  <c r="I17" i="1" s="1"/>
  <c r="K17" i="1" s="1"/>
  <c r="H9" i="1"/>
  <c r="H16" i="1"/>
  <c r="I16" i="1" s="1"/>
  <c r="H8" i="1"/>
  <c r="I8" i="1" s="1"/>
  <c r="H15" i="1"/>
  <c r="H7" i="1"/>
  <c r="I7" i="1" s="1"/>
  <c r="I13" i="1"/>
  <c r="K13" i="1" s="1"/>
  <c r="H14" i="1"/>
  <c r="I12" i="1"/>
  <c r="K12" i="1" s="1"/>
  <c r="D61" i="122" l="1"/>
  <c r="C93" i="122"/>
  <c r="I93" i="122"/>
  <c r="I96" i="122"/>
  <c r="E96" i="122"/>
  <c r="C96" i="122"/>
  <c r="B96" i="122"/>
  <c r="H96" i="122"/>
  <c r="H95" i="122"/>
  <c r="F95" i="122"/>
  <c r="D95" i="122"/>
  <c r="I95" i="122"/>
  <c r="E95" i="122"/>
  <c r="H113" i="122"/>
  <c r="F113" i="122"/>
  <c r="I113" i="122"/>
  <c r="Q216" i="121"/>
  <c r="O220" i="121"/>
  <c r="O222" i="121" s="1"/>
  <c r="O101" i="121"/>
  <c r="O103" i="121" s="1"/>
  <c r="Q97" i="121"/>
  <c r="Q199" i="121"/>
  <c r="O203" i="121"/>
  <c r="O205" i="121" s="1"/>
  <c r="O305" i="121"/>
  <c r="O307" i="121" s="1"/>
  <c r="Q301" i="121"/>
  <c r="K165" i="121"/>
  <c r="I169" i="121"/>
  <c r="I171" i="121" s="1"/>
  <c r="B42" i="122"/>
  <c r="E42" i="122"/>
  <c r="C105" i="122"/>
  <c r="G105" i="122"/>
  <c r="H105" i="122"/>
  <c r="E84" i="122"/>
  <c r="F84" i="122"/>
  <c r="D57" i="122"/>
  <c r="O509" i="121"/>
  <c r="O511" i="121" s="1"/>
  <c r="Q505" i="121"/>
  <c r="K46" i="121"/>
  <c r="I50" i="121"/>
  <c r="I52" i="121" s="1"/>
  <c r="E182" i="121"/>
  <c r="C186" i="121"/>
  <c r="C188" i="121" s="1"/>
  <c r="U135" i="121"/>
  <c r="U137" i="121" s="1"/>
  <c r="W131" i="121"/>
  <c r="U118" i="121"/>
  <c r="U120" i="121" s="1"/>
  <c r="W114" i="121"/>
  <c r="E199" i="121"/>
  <c r="G75" i="122"/>
  <c r="I75" i="122"/>
  <c r="E60" i="122"/>
  <c r="E80" i="121"/>
  <c r="H93" i="122"/>
  <c r="W97" i="121"/>
  <c r="F93" i="122"/>
  <c r="E93" i="122"/>
  <c r="B20" i="122"/>
  <c r="J75" i="122"/>
  <c r="G93" i="122"/>
  <c r="W165" i="121"/>
  <c r="B61" i="122"/>
  <c r="W29" i="121"/>
  <c r="U84" i="121"/>
  <c r="U86" i="121" s="1"/>
  <c r="F96" i="122"/>
  <c r="D42" i="122"/>
  <c r="F42" i="122" s="1"/>
  <c r="C115" i="122"/>
  <c r="B75" i="122"/>
  <c r="D113" i="122"/>
  <c r="B95" i="122"/>
  <c r="C79" i="122"/>
  <c r="B37" i="122"/>
  <c r="E97" i="121"/>
  <c r="H75" i="122"/>
  <c r="B93" i="122"/>
  <c r="E43" i="122"/>
  <c r="C95" i="122"/>
  <c r="I115" i="122"/>
  <c r="G96" i="122"/>
  <c r="E35" i="122"/>
  <c r="E403" i="121"/>
  <c r="C75" i="122"/>
  <c r="E113" i="122"/>
  <c r="K97" i="121"/>
  <c r="D30" i="122"/>
  <c r="F30" i="122" s="1"/>
  <c r="G113" i="122"/>
  <c r="B113" i="122"/>
  <c r="D93" i="122"/>
  <c r="D96" i="122"/>
  <c r="E87" i="122"/>
  <c r="C111" i="122"/>
  <c r="J87" i="122"/>
  <c r="E77" i="122"/>
  <c r="B87" i="122"/>
  <c r="D79" i="122"/>
  <c r="D24" i="122"/>
  <c r="D107" i="122"/>
  <c r="C87" i="122"/>
  <c r="E79" i="122"/>
  <c r="Q131" i="121"/>
  <c r="F107" i="122"/>
  <c r="C113" i="122"/>
  <c r="B34" i="122"/>
  <c r="G95" i="122"/>
  <c r="Q539" i="121"/>
  <c r="F115" i="122"/>
  <c r="D60" i="122"/>
  <c r="E111" i="122"/>
  <c r="Q420" i="121"/>
  <c r="D37" i="122"/>
  <c r="F37" i="122" s="1"/>
  <c r="O492" i="121"/>
  <c r="O494" i="121" s="1"/>
  <c r="E26" i="122"/>
  <c r="J74" i="124"/>
  <c r="J75" i="124" s="1"/>
  <c r="H111" i="122"/>
  <c r="E22" i="122"/>
  <c r="G111" i="122"/>
  <c r="D102" i="122"/>
  <c r="E24" i="122"/>
  <c r="D51" i="122"/>
  <c r="D111" i="122"/>
  <c r="I87" i="122"/>
  <c r="F111" i="122"/>
  <c r="I111" i="122"/>
  <c r="D69" i="122"/>
  <c r="G87" i="122"/>
  <c r="D22" i="122"/>
  <c r="F22" i="122" s="1"/>
  <c r="Q284" i="121"/>
  <c r="G84" i="122"/>
  <c r="H107" i="122"/>
  <c r="W46" i="121"/>
  <c r="G91" i="122"/>
  <c r="D115" i="122"/>
  <c r="J91" i="122"/>
  <c r="G77" i="122"/>
  <c r="B115" i="122"/>
  <c r="E91" i="122"/>
  <c r="D26" i="122"/>
  <c r="C89" i="122"/>
  <c r="D59" i="122"/>
  <c r="F59" i="122" s="1"/>
  <c r="I77" i="122"/>
  <c r="F69" i="122"/>
  <c r="D87" i="122"/>
  <c r="E115" i="122"/>
  <c r="E57" i="122"/>
  <c r="E75" i="122"/>
  <c r="D53" i="122"/>
  <c r="F53" i="122" s="1"/>
  <c r="D23" i="122"/>
  <c r="G97" i="122"/>
  <c r="E69" i="122"/>
  <c r="C77" i="122"/>
  <c r="H115" i="122"/>
  <c r="B57" i="122"/>
  <c r="I84" i="122"/>
  <c r="E23" i="122"/>
  <c r="J97" i="122"/>
  <c r="B69" i="122"/>
  <c r="D77" i="122"/>
  <c r="E51" i="122"/>
  <c r="D20" i="122"/>
  <c r="F20" i="122" s="1"/>
  <c r="G115" i="122"/>
  <c r="I69" i="122"/>
  <c r="G69" i="122"/>
  <c r="C69" i="122"/>
  <c r="F77" i="122"/>
  <c r="B51" i="122"/>
  <c r="D25" i="122"/>
  <c r="B107" i="122"/>
  <c r="J77" i="122"/>
  <c r="H77" i="122"/>
  <c r="D34" i="122"/>
  <c r="F34" i="122" s="1"/>
  <c r="D75" i="122"/>
  <c r="E25" i="122"/>
  <c r="B55" i="122"/>
  <c r="D27" i="122"/>
  <c r="D43" i="122"/>
  <c r="O16" i="121"/>
  <c r="O18" i="121" s="1"/>
  <c r="B27" i="122"/>
  <c r="D89" i="122"/>
  <c r="F102" i="122"/>
  <c r="Q46" i="121"/>
  <c r="J102" i="122"/>
  <c r="I109" i="122"/>
  <c r="F89" i="122"/>
  <c r="G102" i="122"/>
  <c r="H109" i="122"/>
  <c r="H89" i="122"/>
  <c r="D39" i="122"/>
  <c r="I102" i="122"/>
  <c r="D91" i="122"/>
  <c r="D29" i="122"/>
  <c r="G109" i="122"/>
  <c r="H78" i="122"/>
  <c r="C91" i="122"/>
  <c r="D19" i="122"/>
  <c r="I91" i="122"/>
  <c r="C97" i="122"/>
  <c r="C78" i="122"/>
  <c r="E27" i="122"/>
  <c r="B97" i="122"/>
  <c r="D28" i="122"/>
  <c r="H84" i="122"/>
  <c r="E78" i="122"/>
  <c r="F109" i="122"/>
  <c r="F97" i="122"/>
  <c r="D97" i="122"/>
  <c r="E28" i="122"/>
  <c r="D84" i="122"/>
  <c r="F78" i="122"/>
  <c r="C102" i="122"/>
  <c r="Q318" i="121"/>
  <c r="B91" i="122"/>
  <c r="C118" i="121"/>
  <c r="C120" i="121" s="1"/>
  <c r="E97" i="122"/>
  <c r="J84" i="122"/>
  <c r="G78" i="122"/>
  <c r="B102" i="122"/>
  <c r="E39" i="122"/>
  <c r="J69" i="122"/>
  <c r="D31" i="122"/>
  <c r="F31" i="122" s="1"/>
  <c r="E102" i="122"/>
  <c r="H91" i="122"/>
  <c r="H97" i="122"/>
  <c r="D48" i="122"/>
  <c r="F48" i="122" s="1"/>
  <c r="F61" i="122"/>
  <c r="B29" i="122"/>
  <c r="H73" i="122"/>
  <c r="B30" i="122"/>
  <c r="G73" i="122"/>
  <c r="I105" i="122"/>
  <c r="D66" i="122"/>
  <c r="F66" i="122" s="1"/>
  <c r="B89" i="122"/>
  <c r="B53" i="122"/>
  <c r="G79" i="122"/>
  <c r="J109" i="122"/>
  <c r="B48" i="122"/>
  <c r="F105" i="122"/>
  <c r="G71" i="122"/>
  <c r="J71" i="122"/>
  <c r="I71" i="122"/>
  <c r="E71" i="122"/>
  <c r="I73" i="122"/>
  <c r="J73" i="122"/>
  <c r="J105" i="122"/>
  <c r="Q352" i="121"/>
  <c r="B66" i="122"/>
  <c r="D73" i="122"/>
  <c r="E89" i="122"/>
  <c r="B84" i="122"/>
  <c r="C84" i="122"/>
  <c r="E19" i="122"/>
  <c r="E29" i="122"/>
  <c r="C71" i="122"/>
  <c r="B19" i="122"/>
  <c r="E105" i="122"/>
  <c r="E109" i="122"/>
  <c r="B78" i="122"/>
  <c r="J78" i="122"/>
  <c r="D78" i="122"/>
  <c r="B73" i="122"/>
  <c r="O628" i="121"/>
  <c r="O630" i="121" s="1"/>
  <c r="J79" i="122"/>
  <c r="E556" i="121"/>
  <c r="D71" i="122"/>
  <c r="C19" i="122"/>
  <c r="H19" i="122" s="1"/>
  <c r="J19" i="122" s="1"/>
  <c r="D105" i="122"/>
  <c r="B105" i="122"/>
  <c r="I79" i="122"/>
  <c r="O662" i="121"/>
  <c r="O664" i="121" s="1"/>
  <c r="C50" i="121"/>
  <c r="C52" i="121" s="1"/>
  <c r="F71" i="122"/>
  <c r="B79" i="122"/>
  <c r="D55" i="122"/>
  <c r="F55" i="122" s="1"/>
  <c r="G107" i="122"/>
  <c r="J107" i="122"/>
  <c r="I107" i="122"/>
  <c r="E107" i="122"/>
  <c r="F73" i="122"/>
  <c r="C73" i="122"/>
  <c r="H79" i="122"/>
  <c r="D109" i="122"/>
  <c r="C109" i="122"/>
  <c r="H71" i="122"/>
  <c r="B31" i="122"/>
  <c r="B71" i="122"/>
  <c r="J89" i="122"/>
  <c r="G89" i="122"/>
  <c r="D35" i="122"/>
  <c r="C815" i="121"/>
  <c r="C817" i="121" s="1"/>
  <c r="E726" i="121"/>
  <c r="E658" i="121"/>
  <c r="Q556" i="121"/>
  <c r="O526" i="121"/>
  <c r="O528" i="121" s="1"/>
  <c r="O339" i="121"/>
  <c r="O341" i="121" s="1"/>
  <c r="E233" i="121"/>
  <c r="W148" i="121"/>
  <c r="C135" i="121"/>
  <c r="C137" i="121" s="1"/>
  <c r="Q80" i="121"/>
  <c r="U67" i="121"/>
  <c r="U69" i="121" s="1"/>
  <c r="C33" i="121"/>
  <c r="C35" i="121" s="1"/>
  <c r="U16" i="121"/>
  <c r="U18" i="121" s="1"/>
  <c r="C16" i="121"/>
  <c r="C18" i="121" s="1"/>
  <c r="O33" i="121"/>
  <c r="O35" i="121" s="1"/>
  <c r="F114" i="122"/>
  <c r="G114" i="122"/>
  <c r="I16" i="121"/>
  <c r="I18" i="121" s="1"/>
  <c r="D41" i="122"/>
  <c r="F41" i="122" s="1"/>
  <c r="B41" i="122"/>
  <c r="I114" i="122"/>
  <c r="C220" i="121"/>
  <c r="C222" i="121" s="1"/>
  <c r="H114" i="122"/>
  <c r="K63" i="121"/>
  <c r="Q233" i="121"/>
  <c r="K51" i="1"/>
  <c r="L51" i="1" s="1"/>
  <c r="M51" i="1" s="1"/>
  <c r="E165" i="121"/>
  <c r="E63" i="121"/>
  <c r="K44" i="1"/>
  <c r="L44" i="1" s="1"/>
  <c r="N44" i="1" s="1"/>
  <c r="O44" i="1" s="1"/>
  <c r="F87" i="122"/>
  <c r="Q471" i="121"/>
  <c r="K20" i="1"/>
  <c r="L20" i="1" s="1"/>
  <c r="N20" i="1" s="1"/>
  <c r="O20" i="1" s="1"/>
  <c r="B114" i="122"/>
  <c r="C114" i="122"/>
  <c r="I28" i="1"/>
  <c r="K28" i="1" s="1"/>
  <c r="L28" i="1" s="1"/>
  <c r="M28" i="1" s="1"/>
  <c r="D114" i="122"/>
  <c r="E114" i="122"/>
  <c r="O169" i="121"/>
  <c r="O171" i="121" s="1"/>
  <c r="Q165" i="121"/>
  <c r="I118" i="121"/>
  <c r="I120" i="121" s="1"/>
  <c r="K114" i="121"/>
  <c r="E36" i="122"/>
  <c r="D36" i="122"/>
  <c r="B36" i="122"/>
  <c r="E58" i="122"/>
  <c r="D58" i="122"/>
  <c r="B58" i="122"/>
  <c r="J110" i="122"/>
  <c r="I110" i="122"/>
  <c r="C110" i="122"/>
  <c r="B110" i="122"/>
  <c r="H110" i="122"/>
  <c r="E110" i="122"/>
  <c r="G110" i="122"/>
  <c r="F110" i="122"/>
  <c r="D110" i="122"/>
  <c r="E54" i="122"/>
  <c r="B54" i="122"/>
  <c r="D54" i="122"/>
  <c r="B33" i="122"/>
  <c r="E33" i="122"/>
  <c r="D33" i="122"/>
  <c r="E64" i="122"/>
  <c r="D64" i="122"/>
  <c r="B64" i="122"/>
  <c r="E44" i="122"/>
  <c r="D44" i="122"/>
  <c r="B44" i="122"/>
  <c r="J116" i="122"/>
  <c r="I116" i="122"/>
  <c r="G116" i="122"/>
  <c r="C116" i="122"/>
  <c r="H116" i="122"/>
  <c r="E116" i="122"/>
  <c r="F116" i="122"/>
  <c r="D116" i="122"/>
  <c r="B116" i="122"/>
  <c r="B45" i="122"/>
  <c r="E45" i="122"/>
  <c r="D45" i="122"/>
  <c r="K48" i="1"/>
  <c r="O152" i="121"/>
  <c r="O154" i="121" s="1"/>
  <c r="Q148" i="121"/>
  <c r="K148" i="121"/>
  <c r="I152" i="121"/>
  <c r="I154" i="121" s="1"/>
  <c r="E32" i="122"/>
  <c r="D32" i="122"/>
  <c r="B32" i="122"/>
  <c r="O67" i="121"/>
  <c r="O69" i="121" s="1"/>
  <c r="Q63" i="121"/>
  <c r="Q182" i="121"/>
  <c r="O186" i="121"/>
  <c r="O188" i="121" s="1"/>
  <c r="E38" i="122"/>
  <c r="D38" i="122"/>
  <c r="B38" i="122"/>
  <c r="Q386" i="121"/>
  <c r="O390" i="121"/>
  <c r="O392" i="121" s="1"/>
  <c r="K33" i="1"/>
  <c r="L33" i="1" s="1"/>
  <c r="N33" i="1" s="1"/>
  <c r="O33" i="1" s="1"/>
  <c r="E70" i="122"/>
  <c r="D70" i="122"/>
  <c r="B70" i="122"/>
  <c r="H70" i="122"/>
  <c r="F70" i="122"/>
  <c r="C70" i="122"/>
  <c r="J70" i="122"/>
  <c r="G70" i="122"/>
  <c r="I70" i="122"/>
  <c r="E50" i="122"/>
  <c r="D50" i="122"/>
  <c r="B50" i="122"/>
  <c r="E40" i="122"/>
  <c r="D40" i="122"/>
  <c r="B40" i="122"/>
  <c r="O407" i="121"/>
  <c r="O409" i="121" s="1"/>
  <c r="Q403" i="121"/>
  <c r="E52" i="122"/>
  <c r="D52" i="122"/>
  <c r="B52" i="122"/>
  <c r="E76" i="122"/>
  <c r="D76" i="122"/>
  <c r="B76" i="122"/>
  <c r="H76" i="122"/>
  <c r="G76" i="122"/>
  <c r="J76" i="122"/>
  <c r="I76" i="122"/>
  <c r="C76" i="122"/>
  <c r="F76" i="122"/>
  <c r="Q454" i="121"/>
  <c r="O458" i="121"/>
  <c r="O460" i="121" s="1"/>
  <c r="J68" i="122"/>
  <c r="I68" i="122"/>
  <c r="H68" i="122"/>
  <c r="F68" i="122"/>
  <c r="E68" i="122"/>
  <c r="C68" i="122"/>
  <c r="B68" i="122"/>
  <c r="G68" i="122"/>
  <c r="D68" i="122"/>
  <c r="E94" i="122"/>
  <c r="D94" i="122"/>
  <c r="B94" i="122"/>
  <c r="H94" i="122"/>
  <c r="F94" i="122"/>
  <c r="C94" i="122"/>
  <c r="G94" i="122"/>
  <c r="J94" i="122"/>
  <c r="I94" i="122"/>
  <c r="O441" i="121"/>
  <c r="O443" i="121" s="1"/>
  <c r="Q437" i="121"/>
  <c r="K131" i="121"/>
  <c r="I135" i="121"/>
  <c r="I137" i="121" s="1"/>
  <c r="I108" i="122"/>
  <c r="G108" i="122"/>
  <c r="F108" i="122"/>
  <c r="E108" i="122"/>
  <c r="C108" i="122"/>
  <c r="B108" i="122"/>
  <c r="J108" i="122"/>
  <c r="H108" i="122"/>
  <c r="D108" i="122"/>
  <c r="E82" i="122"/>
  <c r="D82" i="122"/>
  <c r="B82" i="122"/>
  <c r="J82" i="122"/>
  <c r="I82" i="122"/>
  <c r="G82" i="122"/>
  <c r="H82" i="122"/>
  <c r="F82" i="122"/>
  <c r="C82" i="122"/>
  <c r="I90" i="122"/>
  <c r="G90" i="122"/>
  <c r="F90" i="122"/>
  <c r="E90" i="122"/>
  <c r="C90" i="122"/>
  <c r="B90" i="122"/>
  <c r="J90" i="122"/>
  <c r="H90" i="122"/>
  <c r="D90" i="122"/>
  <c r="N22" i="1"/>
  <c r="O22" i="1" s="1"/>
  <c r="H83" i="122"/>
  <c r="F83" i="122"/>
  <c r="D83" i="122"/>
  <c r="C83" i="122"/>
  <c r="I83" i="122"/>
  <c r="B83" i="122"/>
  <c r="J83" i="122"/>
  <c r="G83" i="122"/>
  <c r="E83" i="122"/>
  <c r="E100" i="122"/>
  <c r="D100" i="122"/>
  <c r="B100" i="122"/>
  <c r="J100" i="122"/>
  <c r="G100" i="122"/>
  <c r="I100" i="122"/>
  <c r="F100" i="122"/>
  <c r="C100" i="122"/>
  <c r="H100" i="122"/>
  <c r="J80" i="122"/>
  <c r="I80" i="122"/>
  <c r="C80" i="122"/>
  <c r="E80" i="122"/>
  <c r="D80" i="122"/>
  <c r="B80" i="122"/>
  <c r="G80" i="122"/>
  <c r="H80" i="122"/>
  <c r="F80" i="122"/>
  <c r="C81" i="122"/>
  <c r="B81" i="122"/>
  <c r="E81" i="122"/>
  <c r="D81" i="122"/>
  <c r="I81" i="122"/>
  <c r="J81" i="122"/>
  <c r="F81" i="122"/>
  <c r="G81" i="122"/>
  <c r="H81" i="122"/>
  <c r="J104" i="122"/>
  <c r="I104" i="122"/>
  <c r="H104" i="122"/>
  <c r="F104" i="122"/>
  <c r="D104" i="122"/>
  <c r="E104" i="122"/>
  <c r="G104" i="122"/>
  <c r="C104" i="122"/>
  <c r="B104" i="122"/>
  <c r="O373" i="121"/>
  <c r="O375" i="121" s="1"/>
  <c r="Q369" i="121"/>
  <c r="C99" i="122"/>
  <c r="B99" i="122"/>
  <c r="E99" i="122"/>
  <c r="D99" i="122"/>
  <c r="I99" i="122"/>
  <c r="J99" i="122"/>
  <c r="F99" i="122"/>
  <c r="G99" i="122"/>
  <c r="H99" i="122"/>
  <c r="H101" i="122"/>
  <c r="F101" i="122"/>
  <c r="D101" i="122"/>
  <c r="C101" i="122"/>
  <c r="I101" i="122"/>
  <c r="G101" i="122"/>
  <c r="E101" i="122"/>
  <c r="J101" i="122"/>
  <c r="B101" i="122"/>
  <c r="O645" i="121"/>
  <c r="O647" i="121" s="1"/>
  <c r="Q641" i="121"/>
  <c r="K40" i="1"/>
  <c r="L40" i="1" s="1"/>
  <c r="N40" i="1" s="1"/>
  <c r="O40" i="1" s="1"/>
  <c r="E420" i="121"/>
  <c r="J67" i="122"/>
  <c r="G67" i="122"/>
  <c r="H67" i="122"/>
  <c r="E67" i="122"/>
  <c r="D67" i="122"/>
  <c r="C67" i="122"/>
  <c r="B67" i="122"/>
  <c r="I67" i="122"/>
  <c r="F67" i="122"/>
  <c r="E106" i="122"/>
  <c r="D106" i="122"/>
  <c r="B106" i="122"/>
  <c r="H106" i="122"/>
  <c r="F106" i="122"/>
  <c r="C106" i="122"/>
  <c r="G106" i="122"/>
  <c r="J106" i="122"/>
  <c r="I106" i="122"/>
  <c r="J86" i="122"/>
  <c r="I86" i="122"/>
  <c r="H86" i="122"/>
  <c r="F86" i="122"/>
  <c r="D86" i="122"/>
  <c r="E86" i="122"/>
  <c r="B86" i="122"/>
  <c r="G86" i="122"/>
  <c r="C86" i="122"/>
  <c r="D47" i="122"/>
  <c r="B47" i="122"/>
  <c r="E47" i="122"/>
  <c r="B62" i="122"/>
  <c r="D62" i="122"/>
  <c r="E62" i="122"/>
  <c r="P36" i="1"/>
  <c r="I52" i="119"/>
  <c r="J52" i="119" s="1"/>
  <c r="J74" i="122"/>
  <c r="I74" i="122"/>
  <c r="C74" i="122"/>
  <c r="B74" i="122"/>
  <c r="H74" i="122"/>
  <c r="G74" i="122"/>
  <c r="F74" i="122"/>
  <c r="E74" i="122"/>
  <c r="D74" i="122"/>
  <c r="E148" i="121"/>
  <c r="I29" i="1"/>
  <c r="K29" i="1" s="1"/>
  <c r="L29" i="1" s="1"/>
  <c r="M29" i="1" s="1"/>
  <c r="K19" i="1"/>
  <c r="L19" i="1" s="1"/>
  <c r="M19" i="1" s="1"/>
  <c r="D65" i="122"/>
  <c r="E65" i="122"/>
  <c r="B65" i="122"/>
  <c r="B21" i="122"/>
  <c r="D21" i="122"/>
  <c r="E21" i="122"/>
  <c r="E112" i="122"/>
  <c r="D112" i="122"/>
  <c r="B112" i="122"/>
  <c r="H112" i="122"/>
  <c r="G112" i="122"/>
  <c r="F112" i="122"/>
  <c r="J112" i="122"/>
  <c r="I112" i="122"/>
  <c r="C112" i="122"/>
  <c r="J92" i="122"/>
  <c r="I92" i="122"/>
  <c r="C92" i="122"/>
  <c r="B92" i="122"/>
  <c r="H92" i="122"/>
  <c r="E92" i="122"/>
  <c r="G92" i="122"/>
  <c r="F92" i="122"/>
  <c r="D92" i="122"/>
  <c r="I72" i="122"/>
  <c r="G72" i="122"/>
  <c r="F72" i="122"/>
  <c r="E72" i="122"/>
  <c r="C72" i="122"/>
  <c r="B72" i="122"/>
  <c r="H72" i="122"/>
  <c r="D72" i="122"/>
  <c r="J72" i="122"/>
  <c r="O611" i="121"/>
  <c r="O613" i="121" s="1"/>
  <c r="Q607" i="121"/>
  <c r="B56" i="122"/>
  <c r="E56" i="122"/>
  <c r="D56" i="122"/>
  <c r="I84" i="121"/>
  <c r="I86" i="121" s="1"/>
  <c r="K80" i="121"/>
  <c r="J103" i="122"/>
  <c r="G103" i="122"/>
  <c r="H103" i="122"/>
  <c r="E103" i="122"/>
  <c r="F103" i="122"/>
  <c r="D103" i="122"/>
  <c r="C103" i="122"/>
  <c r="B103" i="122"/>
  <c r="I103" i="122"/>
  <c r="I33" i="121"/>
  <c r="I35" i="121" s="1"/>
  <c r="K29" i="121"/>
  <c r="E88" i="122"/>
  <c r="D88" i="122"/>
  <c r="B88" i="122"/>
  <c r="H88" i="122"/>
  <c r="F88" i="122"/>
  <c r="C88" i="122"/>
  <c r="J88" i="122"/>
  <c r="I88" i="122"/>
  <c r="G88" i="122"/>
  <c r="J85" i="122"/>
  <c r="G85" i="122"/>
  <c r="H85" i="122"/>
  <c r="E85" i="122"/>
  <c r="I85" i="122"/>
  <c r="C85" i="122"/>
  <c r="B85" i="122"/>
  <c r="F85" i="122"/>
  <c r="D85" i="122"/>
  <c r="E49" i="122"/>
  <c r="B49" i="122"/>
  <c r="D49" i="122"/>
  <c r="E46" i="122"/>
  <c r="D46" i="122"/>
  <c r="B46" i="122"/>
  <c r="E118" i="122"/>
  <c r="D118" i="122"/>
  <c r="B118" i="122"/>
  <c r="G118" i="122"/>
  <c r="J118" i="122"/>
  <c r="I118" i="122"/>
  <c r="H118" i="122"/>
  <c r="F118" i="122"/>
  <c r="C118" i="122"/>
  <c r="J98" i="122"/>
  <c r="I98" i="122"/>
  <c r="G98" i="122"/>
  <c r="C98" i="122"/>
  <c r="E98" i="122"/>
  <c r="F98" i="122"/>
  <c r="D98" i="122"/>
  <c r="B98" i="122"/>
  <c r="H98" i="122"/>
  <c r="B63" i="122"/>
  <c r="E63" i="122"/>
  <c r="D63" i="122"/>
  <c r="F63" i="122" s="1"/>
  <c r="O577" i="121"/>
  <c r="O579" i="121" s="1"/>
  <c r="Q573" i="121"/>
  <c r="O271" i="121"/>
  <c r="O273" i="121" s="1"/>
  <c r="Q267" i="121"/>
  <c r="Q590" i="121"/>
  <c r="O594" i="121"/>
  <c r="O596" i="121" s="1"/>
  <c r="O118" i="121"/>
  <c r="O120" i="121" s="1"/>
  <c r="Q114" i="121"/>
  <c r="Q250" i="121"/>
  <c r="O254" i="121"/>
  <c r="O256" i="121" s="1"/>
  <c r="E845" i="121"/>
  <c r="E828" i="121"/>
  <c r="C798" i="121"/>
  <c r="C800" i="121" s="1"/>
  <c r="E794" i="121"/>
  <c r="C781" i="121"/>
  <c r="C783" i="121" s="1"/>
  <c r="E777" i="121"/>
  <c r="C764" i="121"/>
  <c r="C766" i="121" s="1"/>
  <c r="E760" i="121"/>
  <c r="E743" i="121"/>
  <c r="C713" i="121"/>
  <c r="C715" i="121" s="1"/>
  <c r="E709" i="121"/>
  <c r="C696" i="121"/>
  <c r="C698" i="121" s="1"/>
  <c r="E692" i="121"/>
  <c r="C679" i="121"/>
  <c r="C681" i="121" s="1"/>
  <c r="E675" i="121"/>
  <c r="C645" i="121"/>
  <c r="C647" i="121" s="1"/>
  <c r="E641" i="121"/>
  <c r="C628" i="121"/>
  <c r="C630" i="121" s="1"/>
  <c r="E624" i="121"/>
  <c r="C611" i="121"/>
  <c r="C613" i="121" s="1"/>
  <c r="E607" i="121"/>
  <c r="E590" i="121"/>
  <c r="C577" i="121"/>
  <c r="C579" i="121" s="1"/>
  <c r="E573" i="121"/>
  <c r="C543" i="121"/>
  <c r="C545" i="121" s="1"/>
  <c r="E539" i="121"/>
  <c r="E522" i="121"/>
  <c r="C509" i="121"/>
  <c r="C511" i="121" s="1"/>
  <c r="E505" i="121"/>
  <c r="C492" i="121"/>
  <c r="C494" i="121" s="1"/>
  <c r="E488" i="121"/>
  <c r="C475" i="121"/>
  <c r="C477" i="121" s="1"/>
  <c r="E471" i="121"/>
  <c r="C458" i="121"/>
  <c r="C460" i="121" s="1"/>
  <c r="E454" i="121"/>
  <c r="C441" i="121"/>
  <c r="C443" i="121" s="1"/>
  <c r="E437" i="121"/>
  <c r="C390" i="121"/>
  <c r="C392" i="121" s="1"/>
  <c r="E386" i="121"/>
  <c r="C373" i="121"/>
  <c r="C375" i="121" s="1"/>
  <c r="E369" i="121"/>
  <c r="C356" i="121"/>
  <c r="C358" i="121" s="1"/>
  <c r="E352" i="121"/>
  <c r="C339" i="121"/>
  <c r="C341" i="121" s="1"/>
  <c r="E335" i="121"/>
  <c r="C322" i="121"/>
  <c r="C324" i="121" s="1"/>
  <c r="E318" i="121"/>
  <c r="E301" i="121"/>
  <c r="C288" i="121"/>
  <c r="C290" i="121" s="1"/>
  <c r="E284" i="121"/>
  <c r="C271" i="121"/>
  <c r="C273" i="121" s="1"/>
  <c r="E267" i="121"/>
  <c r="C254" i="121"/>
  <c r="C256" i="121" s="1"/>
  <c r="E250" i="121"/>
  <c r="L26" i="1"/>
  <c r="N26" i="1" s="1"/>
  <c r="O26" i="1" s="1"/>
  <c r="L32" i="1"/>
  <c r="M32" i="1" s="1"/>
  <c r="L53" i="1"/>
  <c r="N53" i="1" s="1"/>
  <c r="O53" i="1" s="1"/>
  <c r="L27" i="1"/>
  <c r="M27" i="1" s="1"/>
  <c r="L50" i="1"/>
  <c r="N50" i="1" s="1"/>
  <c r="O50" i="1" s="1"/>
  <c r="L49" i="1"/>
  <c r="N49" i="1" s="1"/>
  <c r="O49" i="1" s="1"/>
  <c r="L21" i="1"/>
  <c r="M21" i="1" s="1"/>
  <c r="M36" i="1"/>
  <c r="L46" i="1"/>
  <c r="M46" i="1" s="1"/>
  <c r="L42" i="1"/>
  <c r="N42" i="1" s="1"/>
  <c r="O42" i="1" s="1"/>
  <c r="K47" i="1"/>
  <c r="I41" i="1"/>
  <c r="K41" i="1" s="1"/>
  <c r="K54" i="1"/>
  <c r="K52" i="1"/>
  <c r="N34" i="1"/>
  <c r="O34" i="1" s="1"/>
  <c r="K24" i="1"/>
  <c r="L31" i="1"/>
  <c r="M31" i="1" s="1"/>
  <c r="L30" i="1"/>
  <c r="N30" i="1" s="1"/>
  <c r="O30" i="1" s="1"/>
  <c r="K35" i="1"/>
  <c r="L38" i="1"/>
  <c r="N38" i="1" s="1"/>
  <c r="O38" i="1" s="1"/>
  <c r="K39" i="1"/>
  <c r="K23" i="1"/>
  <c r="L45" i="1"/>
  <c r="N45" i="1" s="1"/>
  <c r="O45" i="1" s="1"/>
  <c r="K43" i="1"/>
  <c r="I37" i="1"/>
  <c r="K37" i="1" s="1"/>
  <c r="I25" i="1"/>
  <c r="K25" i="1" s="1"/>
  <c r="I9" i="1"/>
  <c r="J9" i="1"/>
  <c r="J8" i="1"/>
  <c r="K8" i="1" s="1"/>
  <c r="J7" i="1"/>
  <c r="K7" i="1" s="1"/>
  <c r="L7" i="1" s="1"/>
  <c r="N7" i="1" s="1"/>
  <c r="O7" i="1" s="1"/>
  <c r="P7" i="1" s="1"/>
  <c r="I15" i="1"/>
  <c r="K15" i="1" s="1"/>
  <c r="L15" i="1" s="1"/>
  <c r="M15" i="1" s="1"/>
  <c r="L13" i="1"/>
  <c r="M13" i="1" s="1"/>
  <c r="L18" i="1"/>
  <c r="M18" i="1" s="1"/>
  <c r="L17" i="1"/>
  <c r="M17" i="1" s="1"/>
  <c r="L55" i="1"/>
  <c r="M55" i="1" s="1"/>
  <c r="I14" i="1"/>
  <c r="K14" i="1" s="1"/>
  <c r="L12" i="1"/>
  <c r="M12" i="1" s="1"/>
  <c r="N12" i="1"/>
  <c r="O12" i="1" s="1"/>
  <c r="I10" i="1"/>
  <c r="J10" i="1" s="1"/>
  <c r="K16" i="1"/>
  <c r="L11" i="1"/>
  <c r="M11" i="1" s="1"/>
  <c r="F6" i="1"/>
  <c r="L48" i="1" l="1"/>
  <c r="M48" i="1" s="1"/>
  <c r="N48" i="1"/>
  <c r="O48" i="1" s="1"/>
  <c r="F24" i="122"/>
  <c r="F60" i="122"/>
  <c r="F57" i="122"/>
  <c r="F39" i="122"/>
  <c r="F49" i="122"/>
  <c r="F43" i="122"/>
  <c r="F26" i="122"/>
  <c r="F40" i="122"/>
  <c r="F25" i="122"/>
  <c r="F35" i="122"/>
  <c r="J76" i="124"/>
  <c r="F23" i="122"/>
  <c r="F29" i="122"/>
  <c r="F28" i="122"/>
  <c r="F51" i="122"/>
  <c r="F50" i="122"/>
  <c r="M42" i="1"/>
  <c r="F27" i="122"/>
  <c r="F19" i="122"/>
  <c r="G19" i="122" s="1"/>
  <c r="I19" i="122" s="1"/>
  <c r="C20" i="122" s="1"/>
  <c r="H20" i="122" s="1"/>
  <c r="F38" i="122"/>
  <c r="F33" i="122"/>
  <c r="F46" i="122"/>
  <c r="F56" i="122"/>
  <c r="F54" i="122"/>
  <c r="F45" i="122"/>
  <c r="N27" i="1"/>
  <c r="O27" i="1" s="1"/>
  <c r="I43" i="119" s="1"/>
  <c r="J43" i="119" s="1"/>
  <c r="M38" i="1"/>
  <c r="N51" i="1"/>
  <c r="O51" i="1" s="1"/>
  <c r="P51" i="1" s="1"/>
  <c r="F62" i="122"/>
  <c r="F65" i="122"/>
  <c r="F21" i="122"/>
  <c r="N21" i="1"/>
  <c r="O21" i="1" s="1"/>
  <c r="I37" i="119" s="1"/>
  <c r="J37" i="119" s="1"/>
  <c r="F47" i="122"/>
  <c r="F32" i="122"/>
  <c r="F64" i="122"/>
  <c r="F52" i="122"/>
  <c r="F58" i="122"/>
  <c r="N46" i="1"/>
  <c r="O46" i="1" s="1"/>
  <c r="I62" i="119" s="1"/>
  <c r="J62" i="119" s="1"/>
  <c r="M26" i="1"/>
  <c r="F44" i="122"/>
  <c r="F36" i="122"/>
  <c r="P33" i="1"/>
  <c r="I49" i="119"/>
  <c r="J49" i="119" s="1"/>
  <c r="P50" i="1"/>
  <c r="I66" i="119"/>
  <c r="J66" i="119" s="1"/>
  <c r="N31" i="1"/>
  <c r="O31" i="1" s="1"/>
  <c r="M50" i="1"/>
  <c r="P45" i="1"/>
  <c r="I61" i="119"/>
  <c r="J61" i="119" s="1"/>
  <c r="P42" i="1"/>
  <c r="I58" i="119"/>
  <c r="J58" i="119" s="1"/>
  <c r="P20" i="1"/>
  <c r="I36" i="119"/>
  <c r="J36" i="119" s="1"/>
  <c r="P34" i="1"/>
  <c r="I50" i="119"/>
  <c r="J50" i="119" s="1"/>
  <c r="P53" i="1"/>
  <c r="I69" i="119"/>
  <c r="J69" i="119" s="1"/>
  <c r="P40" i="1"/>
  <c r="I56" i="119"/>
  <c r="J56" i="119" s="1"/>
  <c r="P44" i="1"/>
  <c r="I60" i="119"/>
  <c r="J60" i="119" s="1"/>
  <c r="P38" i="1"/>
  <c r="I54" i="119"/>
  <c r="J54" i="119" s="1"/>
  <c r="P30" i="1"/>
  <c r="I46" i="119"/>
  <c r="J46" i="119" s="1"/>
  <c r="P49" i="1"/>
  <c r="I65" i="119"/>
  <c r="J65" i="119" s="1"/>
  <c r="P12" i="1"/>
  <c r="I28" i="119"/>
  <c r="J28" i="119" s="1"/>
  <c r="J8" i="122"/>
  <c r="P22" i="1"/>
  <c r="I38" i="119"/>
  <c r="J38" i="119" s="1"/>
  <c r="M33" i="1"/>
  <c r="M30" i="1"/>
  <c r="P26" i="1"/>
  <c r="I42" i="119"/>
  <c r="J42" i="119" s="1"/>
  <c r="L25" i="1"/>
  <c r="N25" i="1" s="1"/>
  <c r="O25" i="1" s="1"/>
  <c r="L37" i="1"/>
  <c r="N37" i="1" s="1"/>
  <c r="O37" i="1" s="1"/>
  <c r="L41" i="1"/>
  <c r="N41" i="1" s="1"/>
  <c r="O41" i="1" s="1"/>
  <c r="M44" i="1"/>
  <c r="M49" i="1"/>
  <c r="M53" i="1"/>
  <c r="L39" i="1"/>
  <c r="M39" i="1" s="1"/>
  <c r="N28" i="1"/>
  <c r="O28" i="1" s="1"/>
  <c r="N29" i="1"/>
  <c r="O29" i="1" s="1"/>
  <c r="L35" i="1"/>
  <c r="M35" i="1" s="1"/>
  <c r="L52" i="1"/>
  <c r="M52" i="1" s="1"/>
  <c r="N32" i="1"/>
  <c r="O32" i="1" s="1"/>
  <c r="L43" i="1"/>
  <c r="M43" i="1" s="1"/>
  <c r="N19" i="1"/>
  <c r="O19" i="1" s="1"/>
  <c r="M45" i="1"/>
  <c r="M40" i="1"/>
  <c r="L23" i="1"/>
  <c r="N23" i="1" s="1"/>
  <c r="O23" i="1" s="1"/>
  <c r="L47" i="1"/>
  <c r="M47" i="1" s="1"/>
  <c r="M20" i="1"/>
  <c r="L24" i="1"/>
  <c r="N24" i="1" s="1"/>
  <c r="O24" i="1" s="1"/>
  <c r="L54" i="1"/>
  <c r="N13" i="1"/>
  <c r="O13" i="1" s="1"/>
  <c r="K9" i="1"/>
  <c r="L9" i="1" s="1"/>
  <c r="M9" i="1" s="1"/>
  <c r="K10" i="1"/>
  <c r="L10" i="1" s="1"/>
  <c r="M10" i="1" s="1"/>
  <c r="N11" i="1"/>
  <c r="O11" i="1" s="1"/>
  <c r="N15" i="1"/>
  <c r="O15" i="1" s="1"/>
  <c r="N17" i="1"/>
  <c r="O17" i="1" s="1"/>
  <c r="L8" i="1"/>
  <c r="N8" i="1" s="1"/>
  <c r="O8" i="1" s="1"/>
  <c r="P8" i="1" s="1"/>
  <c r="M7" i="1"/>
  <c r="L14" i="1"/>
  <c r="N14" i="1" s="1"/>
  <c r="O14" i="1" s="1"/>
  <c r="I30" i="119" s="1"/>
  <c r="J30" i="119" s="1"/>
  <c r="N55" i="1"/>
  <c r="O55" i="1" s="1"/>
  <c r="N18" i="1"/>
  <c r="O18" i="1" s="1"/>
  <c r="L16" i="1"/>
  <c r="M16" i="1" s="1"/>
  <c r="B24" i="119"/>
  <c r="B25" i="119"/>
  <c r="C24" i="119"/>
  <c r="C25" i="119"/>
  <c r="B22" i="119"/>
  <c r="B23" i="119"/>
  <c r="C23" i="119"/>
  <c r="C22" i="119"/>
  <c r="K21" i="118"/>
  <c r="G5" i="118"/>
  <c r="D21" i="118"/>
  <c r="D12" i="118"/>
  <c r="K22" i="118"/>
  <c r="D37" i="118"/>
  <c r="D6" i="118"/>
  <c r="P48" i="1" l="1"/>
  <c r="I64" i="119"/>
  <c r="J64" i="119" s="1"/>
  <c r="N54" i="1"/>
  <c r="O54" i="1" s="1"/>
  <c r="M54" i="1"/>
  <c r="P27" i="1"/>
  <c r="N39" i="1"/>
  <c r="O39" i="1" s="1"/>
  <c r="I67" i="119"/>
  <c r="J67" i="119" s="1"/>
  <c r="P46" i="1"/>
  <c r="M14" i="1"/>
  <c r="P21" i="1"/>
  <c r="M41" i="1"/>
  <c r="P41" i="1"/>
  <c r="I57" i="119"/>
  <c r="J57" i="119" s="1"/>
  <c r="P54" i="1"/>
  <c r="I70" i="119"/>
  <c r="J70" i="119" s="1"/>
  <c r="P32" i="1"/>
  <c r="I48" i="119"/>
  <c r="J48" i="119" s="1"/>
  <c r="P55" i="1"/>
  <c r="I71" i="119"/>
  <c r="J71" i="119" s="1"/>
  <c r="P23" i="1"/>
  <c r="I39" i="119"/>
  <c r="J39" i="119" s="1"/>
  <c r="P17" i="1"/>
  <c r="I33" i="119"/>
  <c r="J33" i="119" s="1"/>
  <c r="P31" i="1"/>
  <c r="I47" i="119"/>
  <c r="J47" i="119" s="1"/>
  <c r="P15" i="1"/>
  <c r="I31" i="119"/>
  <c r="J31" i="119" s="1"/>
  <c r="G20" i="122"/>
  <c r="I20" i="122" s="1"/>
  <c r="C21" i="122" s="1"/>
  <c r="J20" i="122"/>
  <c r="P13" i="1"/>
  <c r="I29" i="119"/>
  <c r="J29" i="119" s="1"/>
  <c r="P18" i="1"/>
  <c r="I34" i="119"/>
  <c r="J34" i="119" s="1"/>
  <c r="P25" i="1"/>
  <c r="I41" i="119"/>
  <c r="J41" i="119" s="1"/>
  <c r="P24" i="1"/>
  <c r="I40" i="119"/>
  <c r="J40" i="119" s="1"/>
  <c r="P28" i="1"/>
  <c r="I44" i="119"/>
  <c r="J44" i="119" s="1"/>
  <c r="M23" i="1"/>
  <c r="P11" i="1"/>
  <c r="I27" i="119"/>
  <c r="J27" i="119" s="1"/>
  <c r="P29" i="1"/>
  <c r="I45" i="119"/>
  <c r="J45" i="119" s="1"/>
  <c r="P19" i="1"/>
  <c r="I35" i="119"/>
  <c r="J35" i="119" s="1"/>
  <c r="P37" i="1"/>
  <c r="I53" i="119"/>
  <c r="J53" i="119" s="1"/>
  <c r="N52" i="1"/>
  <c r="O52" i="1" s="1"/>
  <c r="N47" i="1"/>
  <c r="O47" i="1" s="1"/>
  <c r="N35" i="1"/>
  <c r="O35" i="1" s="1"/>
  <c r="M37" i="1"/>
  <c r="M24" i="1"/>
  <c r="N43" i="1"/>
  <c r="O43" i="1" s="1"/>
  <c r="M25" i="1"/>
  <c r="N9" i="1"/>
  <c r="O9" i="1" s="1"/>
  <c r="P9" i="1" s="1"/>
  <c r="M8" i="1"/>
  <c r="N16" i="1"/>
  <c r="O16" i="1" s="1"/>
  <c r="N10" i="1"/>
  <c r="O10" i="1" s="1"/>
  <c r="P14" i="1"/>
  <c r="J12" i="119"/>
  <c r="C18" i="117"/>
  <c r="C19" i="117"/>
  <c r="H18" i="117"/>
  <c r="H19" i="117"/>
  <c r="D15" i="118"/>
  <c r="E176" i="118"/>
  <c r="E175" i="118"/>
  <c r="E174" i="118"/>
  <c r="E173" i="118"/>
  <c r="E172" i="118"/>
  <c r="E166" i="118"/>
  <c r="E165" i="118"/>
  <c r="E164" i="118"/>
  <c r="E163" i="118"/>
  <c r="E162" i="118"/>
  <c r="E161" i="118"/>
  <c r="E160" i="118"/>
  <c r="D152" i="118"/>
  <c r="D151" i="118"/>
  <c r="D150" i="118"/>
  <c r="D149" i="118"/>
  <c r="D145" i="118"/>
  <c r="D144" i="118"/>
  <c r="D143" i="118"/>
  <c r="K142" i="118"/>
  <c r="D142" i="118"/>
  <c r="D136" i="118"/>
  <c r="D135" i="118"/>
  <c r="D134" i="118"/>
  <c r="D133" i="118"/>
  <c r="D129" i="118"/>
  <c r="G129" i="118" s="1"/>
  <c r="K128" i="118"/>
  <c r="D128" i="118"/>
  <c r="D127" i="118"/>
  <c r="K126" i="118"/>
  <c r="D126" i="118"/>
  <c r="D120" i="118"/>
  <c r="D119" i="118"/>
  <c r="D118" i="118"/>
  <c r="D117" i="118"/>
  <c r="D113" i="118"/>
  <c r="K112" i="118"/>
  <c r="D112" i="118"/>
  <c r="D111" i="118"/>
  <c r="K110" i="118"/>
  <c r="D110" i="118"/>
  <c r="D104" i="118"/>
  <c r="D103" i="118"/>
  <c r="D102" i="118"/>
  <c r="D101" i="118"/>
  <c r="K98" i="118"/>
  <c r="K99" i="118" s="1"/>
  <c r="D97" i="118"/>
  <c r="D96" i="118"/>
  <c r="D95" i="118"/>
  <c r="D94" i="118"/>
  <c r="E87" i="118"/>
  <c r="E86" i="118"/>
  <c r="E85" i="118"/>
  <c r="E84" i="118"/>
  <c r="E83" i="118"/>
  <c r="E77" i="118"/>
  <c r="E76" i="118"/>
  <c r="E75" i="118"/>
  <c r="E74" i="118"/>
  <c r="E73" i="118"/>
  <c r="E72" i="118"/>
  <c r="E71" i="118"/>
  <c r="D63" i="118"/>
  <c r="D62" i="118"/>
  <c r="D61" i="118"/>
  <c r="D60" i="118"/>
  <c r="D56" i="118"/>
  <c r="G56" i="118" s="1"/>
  <c r="K55" i="118"/>
  <c r="D55" i="118"/>
  <c r="K54" i="118"/>
  <c r="D54" i="118"/>
  <c r="N53" i="118"/>
  <c r="N54" i="118" s="1"/>
  <c r="K53" i="118"/>
  <c r="D53" i="118"/>
  <c r="G53" i="118" s="1"/>
  <c r="C48" i="118"/>
  <c r="D47" i="118"/>
  <c r="D46" i="118"/>
  <c r="D45" i="118"/>
  <c r="D44" i="118"/>
  <c r="D40" i="118"/>
  <c r="G40" i="118" s="1"/>
  <c r="L39" i="118"/>
  <c r="D39" i="118"/>
  <c r="L38" i="118"/>
  <c r="D38" i="118"/>
  <c r="G38" i="118" s="1"/>
  <c r="N37" i="118"/>
  <c r="N38" i="118" s="1"/>
  <c r="L37" i="118"/>
  <c r="G37" i="118"/>
  <c r="C32" i="118"/>
  <c r="D31" i="118"/>
  <c r="D30" i="118"/>
  <c r="D29" i="118"/>
  <c r="D28" i="118"/>
  <c r="D24" i="118"/>
  <c r="G24" i="118" s="1"/>
  <c r="K23" i="118"/>
  <c r="D23" i="118"/>
  <c r="D22" i="118"/>
  <c r="N21" i="118"/>
  <c r="N22" i="118" s="1"/>
  <c r="G21" i="118"/>
  <c r="C16" i="118"/>
  <c r="D14" i="118"/>
  <c r="D13" i="118"/>
  <c r="D8" i="118"/>
  <c r="G8" i="118" s="1"/>
  <c r="D7" i="118"/>
  <c r="G7" i="118" s="1"/>
  <c r="N5" i="118"/>
  <c r="N6" i="118" s="1"/>
  <c r="F7" i="103"/>
  <c r="F8" i="103"/>
  <c r="F9" i="103"/>
  <c r="F10" i="103"/>
  <c r="F11" i="103"/>
  <c r="F12" i="103"/>
  <c r="F13" i="103"/>
  <c r="F14" i="103"/>
  <c r="F15" i="103"/>
  <c r="F16" i="103"/>
  <c r="F17" i="103"/>
  <c r="F18" i="103"/>
  <c r="F19" i="103"/>
  <c r="F20" i="103"/>
  <c r="F21" i="103"/>
  <c r="F22" i="103"/>
  <c r="F23" i="103"/>
  <c r="F24" i="103"/>
  <c r="F25" i="103"/>
  <c r="F26" i="103"/>
  <c r="F27" i="103"/>
  <c r="F28" i="103"/>
  <c r="F29" i="103"/>
  <c r="H29" i="103" s="1"/>
  <c r="I29" i="103" s="1"/>
  <c r="F30" i="103"/>
  <c r="F31" i="103"/>
  <c r="F32" i="103"/>
  <c r="F33" i="103"/>
  <c r="F34" i="103"/>
  <c r="F35" i="103"/>
  <c r="F36" i="103"/>
  <c r="F38" i="103"/>
  <c r="F39" i="103"/>
  <c r="F40" i="103"/>
  <c r="F41" i="103"/>
  <c r="F42" i="103"/>
  <c r="F44" i="103"/>
  <c r="G6" i="1"/>
  <c r="H46" i="117"/>
  <c r="K49" i="117"/>
  <c r="P39" i="1" l="1"/>
  <c r="I55" i="119"/>
  <c r="J55" i="119" s="1"/>
  <c r="N24" i="118"/>
  <c r="N56" i="118"/>
  <c r="D16" i="118"/>
  <c r="P43" i="1"/>
  <c r="I59" i="119"/>
  <c r="J59" i="119" s="1"/>
  <c r="P35" i="1"/>
  <c r="I51" i="119"/>
  <c r="J51" i="119" s="1"/>
  <c r="H21" i="122"/>
  <c r="J21" i="122" s="1"/>
  <c r="P52" i="1"/>
  <c r="I68" i="119"/>
  <c r="J68" i="119" s="1"/>
  <c r="P10" i="1"/>
  <c r="I26" i="119"/>
  <c r="J26" i="119" s="1"/>
  <c r="P47" i="1"/>
  <c r="I63" i="119"/>
  <c r="J63" i="119" s="1"/>
  <c r="P16" i="1"/>
  <c r="I32" i="119"/>
  <c r="J32" i="119" s="1"/>
  <c r="J29" i="103"/>
  <c r="E178" i="118"/>
  <c r="F178" i="118" s="1"/>
  <c r="E168" i="118"/>
  <c r="F168" i="118" s="1"/>
  <c r="G145" i="118"/>
  <c r="G142" i="118"/>
  <c r="G128" i="118"/>
  <c r="G126" i="118"/>
  <c r="D121" i="118"/>
  <c r="G113" i="118"/>
  <c r="G112" i="118"/>
  <c r="G110" i="118"/>
  <c r="G97" i="118"/>
  <c r="G96" i="118"/>
  <c r="G94" i="118"/>
  <c r="E79" i="118"/>
  <c r="F79" i="118" s="1"/>
  <c r="D64" i="118"/>
  <c r="D48" i="118"/>
  <c r="D32" i="118"/>
  <c r="H6" i="1"/>
  <c r="J6" i="1" s="1"/>
  <c r="K57" i="118"/>
  <c r="L41" i="118"/>
  <c r="K25" i="118"/>
  <c r="G54" i="118"/>
  <c r="G55" i="118"/>
  <c r="G57" i="118" s="1"/>
  <c r="G39" i="118"/>
  <c r="G41" i="118" s="1"/>
  <c r="G22" i="118"/>
  <c r="G23" i="118"/>
  <c r="G6" i="118"/>
  <c r="G9" i="118" s="1"/>
  <c r="K111" i="118"/>
  <c r="K114" i="118" s="1"/>
  <c r="K115" i="118" s="1"/>
  <c r="E89" i="118"/>
  <c r="F89" i="118" s="1"/>
  <c r="G143" i="118"/>
  <c r="K143" i="118"/>
  <c r="K144" i="118"/>
  <c r="D105" i="118"/>
  <c r="G111" i="118"/>
  <c r="G144" i="118"/>
  <c r="G95" i="118"/>
  <c r="G127" i="118"/>
  <c r="D137" i="118"/>
  <c r="D153" i="118"/>
  <c r="H9" i="103"/>
  <c r="I9" i="103" s="1"/>
  <c r="K29" i="103" l="1"/>
  <c r="L29" i="103" s="1"/>
  <c r="M29" i="103"/>
  <c r="N29" i="103" s="1"/>
  <c r="O29" i="103" s="1"/>
  <c r="G21" i="122"/>
  <c r="I21" i="122" s="1"/>
  <c r="C22" i="122" s="1"/>
  <c r="I6" i="1"/>
  <c r="K6" i="1"/>
  <c r="K146" i="118"/>
  <c r="K147" i="118" s="1"/>
  <c r="G146" i="118"/>
  <c r="G147" i="118" s="1"/>
  <c r="G130" i="118"/>
  <c r="G131" i="118" s="1"/>
  <c r="G114" i="118"/>
  <c r="G115" i="118" s="1"/>
  <c r="G98" i="118"/>
  <c r="G99" i="118" s="1"/>
  <c r="G25" i="118"/>
  <c r="K127" i="118"/>
  <c r="K130" i="118" s="1"/>
  <c r="K131" i="118" s="1"/>
  <c r="J9" i="103"/>
  <c r="H22" i="122" l="1"/>
  <c r="I24" i="119"/>
  <c r="J24" i="119" s="1"/>
  <c r="L6" i="1"/>
  <c r="N6" i="1" s="1"/>
  <c r="O6" i="1" s="1"/>
  <c r="P6" i="1" s="1"/>
  <c r="K17" i="117"/>
  <c r="K9" i="103"/>
  <c r="L9" i="103" s="1"/>
  <c r="E9" i="103"/>
  <c r="E10" i="103"/>
  <c r="E11" i="103"/>
  <c r="M9" i="103" l="1"/>
  <c r="N9" i="103" s="1"/>
  <c r="O9" i="103" s="1"/>
  <c r="G22" i="122"/>
  <c r="I22" i="122" s="1"/>
  <c r="C23" i="122" s="1"/>
  <c r="J22" i="122"/>
  <c r="M6" i="1"/>
  <c r="I25" i="119"/>
  <c r="J25" i="119" s="1"/>
  <c r="H23" i="122" l="1"/>
  <c r="J23" i="122" s="1"/>
  <c r="C23" i="117"/>
  <c r="C24" i="117"/>
  <c r="C25" i="117"/>
  <c r="F8" i="117"/>
  <c r="F6" i="117"/>
  <c r="F5" i="117"/>
  <c r="F4" i="117"/>
  <c r="F3" i="117"/>
  <c r="F2" i="117"/>
  <c r="G23" i="122" l="1"/>
  <c r="I23" i="122" s="1"/>
  <c r="C24" i="122" s="1"/>
  <c r="F7" i="117"/>
  <c r="H24" i="122" l="1"/>
  <c r="F9" i="117"/>
  <c r="F10" i="117" s="1"/>
  <c r="G24" i="122" l="1"/>
  <c r="I24" i="122" s="1"/>
  <c r="C25" i="122" s="1"/>
  <c r="J24" i="122"/>
  <c r="C4" i="116"/>
  <c r="G3" i="116"/>
  <c r="I3" i="116" s="1"/>
  <c r="I5" i="118" s="1"/>
  <c r="K5" i="118" s="1"/>
  <c r="H25" i="122" l="1"/>
  <c r="G25" i="122" s="1"/>
  <c r="I25" i="122" s="1"/>
  <c r="C26" i="122" s="1"/>
  <c r="K9" i="118"/>
  <c r="D6" i="110" s="1"/>
  <c r="E44" i="110"/>
  <c r="D44" i="110"/>
  <c r="E43" i="110"/>
  <c r="D43" i="110"/>
  <c r="E42" i="110"/>
  <c r="D42" i="110"/>
  <c r="E41" i="110"/>
  <c r="D41" i="110"/>
  <c r="C38" i="110"/>
  <c r="H26" i="122" l="1"/>
  <c r="G26" i="122" s="1"/>
  <c r="I26" i="122" s="1"/>
  <c r="C27" i="122" s="1"/>
  <c r="J25" i="122"/>
  <c r="D45" i="110"/>
  <c r="A33" i="110" s="1"/>
  <c r="B33" i="110" s="1"/>
  <c r="B35" i="110" s="1"/>
  <c r="E45" i="110"/>
  <c r="A31" i="110" s="1"/>
  <c r="B31" i="110" s="1"/>
  <c r="B36" i="110" s="1"/>
  <c r="C33" i="110" l="1"/>
  <c r="H27" i="122"/>
  <c r="G27" i="122" s="1"/>
  <c r="I27" i="122" s="1"/>
  <c r="C28" i="122" s="1"/>
  <c r="C31" i="110"/>
  <c r="J26" i="122"/>
  <c r="E10" i="15"/>
  <c r="H28" i="122" l="1"/>
  <c r="G28" i="122" s="1"/>
  <c r="I28" i="122" s="1"/>
  <c r="C29" i="122" s="1"/>
  <c r="J27" i="122"/>
  <c r="H29" i="122" l="1"/>
  <c r="G29" i="122" s="1"/>
  <c r="I29" i="122" s="1"/>
  <c r="C30" i="122" s="1"/>
  <c r="J28" i="122"/>
  <c r="J29" i="122" l="1"/>
  <c r="H30" i="122"/>
  <c r="G30" i="122" s="1"/>
  <c r="I30" i="122" s="1"/>
  <c r="C31" i="122" s="1"/>
  <c r="H31" i="122" l="1"/>
  <c r="G31" i="122" s="1"/>
  <c r="I31" i="122" s="1"/>
  <c r="C32" i="122" s="1"/>
  <c r="J30" i="122"/>
  <c r="J31" i="122" l="1"/>
  <c r="H32" i="122"/>
  <c r="G32" i="122" s="1"/>
  <c r="I32" i="122" s="1"/>
  <c r="C33" i="122" s="1"/>
  <c r="F21" i="102"/>
  <c r="G21" i="102" s="1"/>
  <c r="E21" i="102"/>
  <c r="F20" i="102"/>
  <c r="E20" i="102"/>
  <c r="F19" i="102"/>
  <c r="G19" i="102" s="1"/>
  <c r="E19" i="102"/>
  <c r="E18" i="102"/>
  <c r="F18" i="102"/>
  <c r="G18" i="102" s="1"/>
  <c r="J32" i="122" l="1"/>
  <c r="H33" i="122"/>
  <c r="G33" i="122" s="1"/>
  <c r="I33" i="122" s="1"/>
  <c r="C34" i="122" s="1"/>
  <c r="H21" i="102"/>
  <c r="I21" i="102" s="1"/>
  <c r="J21" i="102" s="1"/>
  <c r="H19" i="102"/>
  <c r="G20" i="102"/>
  <c r="H20" i="102" s="1"/>
  <c r="H18" i="102"/>
  <c r="J33" i="122" l="1"/>
  <c r="H34" i="122"/>
  <c r="G34" i="122" s="1"/>
  <c r="I34" i="122" s="1"/>
  <c r="C35" i="122" s="1"/>
  <c r="I19" i="102"/>
  <c r="J19" i="102" s="1"/>
  <c r="K21" i="102"/>
  <c r="L21" i="102" s="1"/>
  <c r="I20" i="102"/>
  <c r="J20" i="102" s="1"/>
  <c r="I18" i="102"/>
  <c r="J18" i="102" s="1"/>
  <c r="J34" i="122" l="1"/>
  <c r="H35" i="122"/>
  <c r="G35" i="122" s="1"/>
  <c r="I35" i="122" s="1"/>
  <c r="C36" i="122" s="1"/>
  <c r="M21" i="102"/>
  <c r="K19" i="102"/>
  <c r="L19" i="102" s="1"/>
  <c r="K20" i="102"/>
  <c r="L20" i="102" s="1"/>
  <c r="K18" i="102"/>
  <c r="L18" i="102" s="1"/>
  <c r="J35" i="122" l="1"/>
  <c r="H36" i="122"/>
  <c r="G36" i="122" s="1"/>
  <c r="I36" i="122" s="1"/>
  <c r="C37" i="122" s="1"/>
  <c r="M20" i="102"/>
  <c r="N20" i="102" s="1"/>
  <c r="O20" i="102" s="1"/>
  <c r="N21" i="102"/>
  <c r="O21" i="102" s="1"/>
  <c r="M19" i="102"/>
  <c r="M18" i="102"/>
  <c r="E13" i="102"/>
  <c r="F13" i="102"/>
  <c r="G13" i="102" s="1"/>
  <c r="J36" i="122" l="1"/>
  <c r="H37" i="122"/>
  <c r="G37" i="122" s="1"/>
  <c r="I37" i="122" s="1"/>
  <c r="C38" i="122" s="1"/>
  <c r="N18" i="102"/>
  <c r="O18" i="102" s="1"/>
  <c r="N19" i="102"/>
  <c r="O19" i="102" s="1"/>
  <c r="I13" i="102"/>
  <c r="H13" i="102"/>
  <c r="H38" i="122" l="1"/>
  <c r="G38" i="122" s="1"/>
  <c r="I38" i="122" s="1"/>
  <c r="C39" i="122" s="1"/>
  <c r="J37" i="122"/>
  <c r="J13" i="102"/>
  <c r="K13" i="102" s="1"/>
  <c r="L13" i="102" s="1"/>
  <c r="J38" i="122" l="1"/>
  <c r="H39" i="122"/>
  <c r="G39" i="122" s="1"/>
  <c r="I39" i="122" s="1"/>
  <c r="C40" i="122" s="1"/>
  <c r="M13" i="102"/>
  <c r="F15" i="110"/>
  <c r="G15" i="110" s="1"/>
  <c r="E15" i="110"/>
  <c r="F14" i="110"/>
  <c r="E14" i="110"/>
  <c r="F13" i="110"/>
  <c r="G13" i="110" s="1"/>
  <c r="E13" i="110"/>
  <c r="F12" i="110"/>
  <c r="G12" i="110" s="1"/>
  <c r="E12" i="110"/>
  <c r="F11" i="110"/>
  <c r="E11" i="110"/>
  <c r="F10" i="110"/>
  <c r="E10" i="110"/>
  <c r="F9" i="110"/>
  <c r="E9" i="110"/>
  <c r="F8" i="110"/>
  <c r="E8" i="110"/>
  <c r="F7" i="110"/>
  <c r="G7" i="110" s="1"/>
  <c r="E7" i="110"/>
  <c r="F6" i="110"/>
  <c r="G6" i="110" s="1"/>
  <c r="E6" i="110"/>
  <c r="E1" i="110"/>
  <c r="H40" i="122" l="1"/>
  <c r="G40" i="122" s="1"/>
  <c r="I40" i="122" s="1"/>
  <c r="C41" i="122" s="1"/>
  <c r="J39" i="122"/>
  <c r="I7" i="110"/>
  <c r="N13" i="102"/>
  <c r="O13" i="102" s="1"/>
  <c r="G11" i="110"/>
  <c r="H11" i="110" s="1"/>
  <c r="E17" i="110"/>
  <c r="E22" i="110" s="1"/>
  <c r="H6" i="110"/>
  <c r="G14" i="110"/>
  <c r="H7" i="110"/>
  <c r="H12" i="110"/>
  <c r="I12" i="110" s="1"/>
  <c r="G10" i="110"/>
  <c r="H15" i="110"/>
  <c r="H13" i="110"/>
  <c r="I13" i="110" s="1"/>
  <c r="G8" i="110"/>
  <c r="G9" i="110"/>
  <c r="H9" i="110" s="1"/>
  <c r="J40" i="122" l="1"/>
  <c r="H41" i="122"/>
  <c r="G41" i="122" s="1"/>
  <c r="I41" i="122" s="1"/>
  <c r="C42" i="122" s="1"/>
  <c r="H8" i="110"/>
  <c r="I8" i="110"/>
  <c r="I11" i="110"/>
  <c r="J11" i="110" s="1"/>
  <c r="J12" i="110"/>
  <c r="K12" i="110" s="1"/>
  <c r="L12" i="110" s="1"/>
  <c r="J13" i="110"/>
  <c r="K13" i="110" s="1"/>
  <c r="L13" i="110" s="1"/>
  <c r="J7" i="110"/>
  <c r="I9" i="110"/>
  <c r="J9" i="110" s="1"/>
  <c r="H10" i="110"/>
  <c r="I10" i="110"/>
  <c r="H14" i="110"/>
  <c r="I14" i="110"/>
  <c r="I15" i="110"/>
  <c r="J15" i="110" s="1"/>
  <c r="J6" i="110"/>
  <c r="J41" i="122" l="1"/>
  <c r="H42" i="122"/>
  <c r="G42" i="122" s="1"/>
  <c r="I42" i="122" s="1"/>
  <c r="C43" i="122" s="1"/>
  <c r="J8" i="110"/>
  <c r="K8" i="110" s="1"/>
  <c r="L8" i="110" s="1"/>
  <c r="K11" i="110"/>
  <c r="L11" i="110" s="1"/>
  <c r="K15" i="110"/>
  <c r="L15" i="110" s="1"/>
  <c r="M13" i="110"/>
  <c r="N13" i="110" s="1"/>
  <c r="O13" i="110" s="1"/>
  <c r="J14" i="110"/>
  <c r="M12" i="110"/>
  <c r="N12" i="110" s="1"/>
  <c r="O12" i="110" s="1"/>
  <c r="K7" i="110"/>
  <c r="L7" i="110" s="1"/>
  <c r="J10" i="110"/>
  <c r="K6" i="110"/>
  <c r="M6" i="110" s="1"/>
  <c r="N6" i="110" s="1"/>
  <c r="O6" i="110" s="1"/>
  <c r="K9" i="110"/>
  <c r="L9" i="110" s="1"/>
  <c r="J42" i="122" l="1"/>
  <c r="H43" i="122"/>
  <c r="G43" i="122" s="1"/>
  <c r="I43" i="122" s="1"/>
  <c r="C44" i="122" s="1"/>
  <c r="M7" i="110"/>
  <c r="N7" i="110" s="1"/>
  <c r="O7" i="110" s="1"/>
  <c r="M8" i="110"/>
  <c r="N8" i="110" s="1"/>
  <c r="O8" i="110" s="1"/>
  <c r="M9" i="110"/>
  <c r="N9" i="110" s="1"/>
  <c r="O9" i="110" s="1"/>
  <c r="L6" i="110"/>
  <c r="M15" i="110"/>
  <c r="N15" i="110" s="1"/>
  <c r="O15" i="110" s="1"/>
  <c r="K10" i="110"/>
  <c r="L10" i="110" s="1"/>
  <c r="K14" i="110"/>
  <c r="L14" i="110" s="1"/>
  <c r="M11" i="110"/>
  <c r="N11" i="110" s="1"/>
  <c r="O11" i="110" s="1"/>
  <c r="H44" i="122" l="1"/>
  <c r="G44" i="122" s="1"/>
  <c r="I44" i="122" s="1"/>
  <c r="C45" i="122" s="1"/>
  <c r="J43" i="122"/>
  <c r="L17" i="110"/>
  <c r="C10" i="120" s="1"/>
  <c r="M10" i="110"/>
  <c r="N10" i="110" s="1"/>
  <c r="O10" i="110" s="1"/>
  <c r="M14" i="110"/>
  <c r="N14" i="110" s="1"/>
  <c r="O14" i="110" s="1"/>
  <c r="D35" i="15"/>
  <c r="D36" i="15"/>
  <c r="D34" i="15"/>
  <c r="F35" i="15" l="1"/>
  <c r="J44" i="122"/>
  <c r="H45" i="122"/>
  <c r="G45" i="122" s="1"/>
  <c r="I45" i="122" s="1"/>
  <c r="C46" i="122" s="1"/>
  <c r="O17" i="110"/>
  <c r="F10" i="120"/>
  <c r="F10" i="114"/>
  <c r="E10" i="114"/>
  <c r="F11" i="114"/>
  <c r="G11" i="114" s="1"/>
  <c r="E11" i="114"/>
  <c r="F9" i="114"/>
  <c r="E9" i="114"/>
  <c r="F12" i="114"/>
  <c r="G12" i="114" s="1"/>
  <c r="E12" i="114"/>
  <c r="E14" i="114"/>
  <c r="F14" i="114"/>
  <c r="H46" i="122" l="1"/>
  <c r="G46" i="122" s="1"/>
  <c r="I46" i="122" s="1"/>
  <c r="C47" i="122" s="1"/>
  <c r="J45" i="122"/>
  <c r="K29" i="117"/>
  <c r="O18" i="110"/>
  <c r="G10" i="120"/>
  <c r="G10" i="114"/>
  <c r="H10" i="114" s="1"/>
  <c r="G9" i="114"/>
  <c r="H9" i="114" s="1"/>
  <c r="H11" i="114"/>
  <c r="H12" i="114"/>
  <c r="G14" i="114"/>
  <c r="J46" i="122" l="1"/>
  <c r="H47" i="122"/>
  <c r="G47" i="122" s="1"/>
  <c r="I47" i="122" s="1"/>
  <c r="C48" i="122" s="1"/>
  <c r="I9" i="114"/>
  <c r="J9" i="114" s="1"/>
  <c r="I11" i="114"/>
  <c r="J11" i="114" s="1"/>
  <c r="I12" i="114"/>
  <c r="J12" i="114" s="1"/>
  <c r="H14" i="114"/>
  <c r="I14" i="114" s="1"/>
  <c r="J14" i="114" s="1"/>
  <c r="I10" i="114"/>
  <c r="J10" i="114" s="1"/>
  <c r="J47" i="122" l="1"/>
  <c r="H48" i="122"/>
  <c r="G48" i="122" s="1"/>
  <c r="I48" i="122" s="1"/>
  <c r="C49" i="122" s="1"/>
  <c r="K12" i="114"/>
  <c r="L12" i="114" s="1"/>
  <c r="K11" i="114"/>
  <c r="L11" i="114" s="1"/>
  <c r="K10" i="114"/>
  <c r="L10" i="114" s="1"/>
  <c r="K9" i="114"/>
  <c r="L9" i="114" s="1"/>
  <c r="K14" i="114"/>
  <c r="L14" i="114" s="1"/>
  <c r="J48" i="122" l="1"/>
  <c r="H49" i="122"/>
  <c r="G49" i="122" s="1"/>
  <c r="I49" i="122" s="1"/>
  <c r="C50" i="122" s="1"/>
  <c r="M14" i="114"/>
  <c r="N14" i="114" s="1"/>
  <c r="O14" i="114" s="1"/>
  <c r="M12" i="114"/>
  <c r="N12" i="114" s="1"/>
  <c r="O12" i="114" s="1"/>
  <c r="M11" i="114"/>
  <c r="N11" i="114" s="1"/>
  <c r="O11" i="114" s="1"/>
  <c r="M10" i="114"/>
  <c r="N10" i="114" s="1"/>
  <c r="O10" i="114" s="1"/>
  <c r="M9" i="114"/>
  <c r="N9" i="114" s="1"/>
  <c r="O9" i="114" s="1"/>
  <c r="F7" i="100"/>
  <c r="F8" i="100"/>
  <c r="F9" i="100"/>
  <c r="G9" i="100" s="1"/>
  <c r="F10" i="100"/>
  <c r="F11" i="100"/>
  <c r="F12" i="100"/>
  <c r="F14" i="100"/>
  <c r="G14" i="100" s="1"/>
  <c r="H14" i="100" s="1"/>
  <c r="F15" i="100"/>
  <c r="G15" i="100" s="1"/>
  <c r="F16" i="100"/>
  <c r="F17" i="100"/>
  <c r="F18" i="100"/>
  <c r="G18" i="100" s="1"/>
  <c r="F20" i="100"/>
  <c r="F6" i="101"/>
  <c r="F7" i="101"/>
  <c r="F8" i="101"/>
  <c r="G8" i="101" s="1"/>
  <c r="F9" i="101"/>
  <c r="F10" i="101"/>
  <c r="G10" i="101" s="1"/>
  <c r="H10" i="101" s="1"/>
  <c r="F11" i="101"/>
  <c r="F13" i="101"/>
  <c r="G13" i="101" s="1"/>
  <c r="F14" i="101"/>
  <c r="G14" i="101" s="1"/>
  <c r="F15" i="101"/>
  <c r="F16" i="101"/>
  <c r="F17" i="101"/>
  <c r="G17" i="101" s="1"/>
  <c r="H17" i="101" s="1"/>
  <c r="F19" i="101"/>
  <c r="G11" i="103"/>
  <c r="G15" i="103"/>
  <c r="G23" i="103"/>
  <c r="G27" i="103"/>
  <c r="G33" i="103"/>
  <c r="G35" i="103"/>
  <c r="G36" i="103"/>
  <c r="G39" i="103"/>
  <c r="G40" i="103"/>
  <c r="G42" i="103"/>
  <c r="F7" i="104"/>
  <c r="F8" i="104"/>
  <c r="F9" i="104"/>
  <c r="G9" i="104" s="1"/>
  <c r="F10" i="104"/>
  <c r="F11" i="104"/>
  <c r="F12" i="104"/>
  <c r="F13" i="104"/>
  <c r="F14" i="104"/>
  <c r="G14" i="104" s="1"/>
  <c r="H14" i="104" s="1"/>
  <c r="F15" i="104"/>
  <c r="G15" i="104" s="1"/>
  <c r="F16" i="104"/>
  <c r="F17" i="104"/>
  <c r="F18" i="104"/>
  <c r="G18" i="104" s="1"/>
  <c r="F19" i="104"/>
  <c r="F20" i="104"/>
  <c r="F7" i="105"/>
  <c r="G7" i="105" s="1"/>
  <c r="H7" i="105" s="1"/>
  <c r="F8" i="105"/>
  <c r="F9" i="105"/>
  <c r="G9" i="105" s="1"/>
  <c r="F10" i="105"/>
  <c r="F11" i="105"/>
  <c r="G11" i="105" s="1"/>
  <c r="F12" i="105"/>
  <c r="F13" i="105"/>
  <c r="F14" i="105"/>
  <c r="F15" i="105"/>
  <c r="G15" i="105" s="1"/>
  <c r="F16" i="105"/>
  <c r="G16" i="105" s="1"/>
  <c r="H16" i="105" s="1"/>
  <c r="F17" i="105"/>
  <c r="F18" i="105"/>
  <c r="G18" i="105" s="1"/>
  <c r="F19" i="105"/>
  <c r="F20" i="105"/>
  <c r="F7" i="106"/>
  <c r="G7" i="106" s="1"/>
  <c r="F8" i="106"/>
  <c r="G8" i="106" s="1"/>
  <c r="F9" i="106"/>
  <c r="G9" i="106" s="1"/>
  <c r="F10" i="106"/>
  <c r="F11" i="106"/>
  <c r="F12" i="106"/>
  <c r="F13" i="106"/>
  <c r="F14" i="106"/>
  <c r="F15" i="106"/>
  <c r="G15" i="106" s="1"/>
  <c r="F16" i="106"/>
  <c r="F17" i="106"/>
  <c r="G17" i="106" s="1"/>
  <c r="F18" i="106"/>
  <c r="G18" i="106" s="1"/>
  <c r="F19" i="106"/>
  <c r="F20" i="106"/>
  <c r="F7" i="107"/>
  <c r="F8" i="107"/>
  <c r="F9" i="107"/>
  <c r="G9" i="107" s="1"/>
  <c r="F10" i="107"/>
  <c r="F11" i="107"/>
  <c r="G11" i="107" s="1"/>
  <c r="H11" i="107" s="1"/>
  <c r="F12" i="107"/>
  <c r="F13" i="107"/>
  <c r="F14" i="107"/>
  <c r="G14" i="107" s="1"/>
  <c r="F15" i="107"/>
  <c r="G15" i="107" s="1"/>
  <c r="F16" i="107"/>
  <c r="F17" i="107"/>
  <c r="F18" i="107"/>
  <c r="G18" i="107" s="1"/>
  <c r="F19" i="107"/>
  <c r="F20" i="107"/>
  <c r="F7" i="108"/>
  <c r="G7" i="108" s="1"/>
  <c r="F8" i="108"/>
  <c r="F9" i="108"/>
  <c r="G9" i="108" s="1"/>
  <c r="F10" i="108"/>
  <c r="F11" i="108"/>
  <c r="G11" i="108" s="1"/>
  <c r="F12" i="108"/>
  <c r="F13" i="108"/>
  <c r="F14" i="108"/>
  <c r="G14" i="108" s="1"/>
  <c r="F15" i="108"/>
  <c r="G15" i="108" s="1"/>
  <c r="H15" i="108" s="1"/>
  <c r="F16" i="108"/>
  <c r="G16" i="108" s="1"/>
  <c r="F17" i="108"/>
  <c r="F18" i="108"/>
  <c r="G18" i="108" s="1"/>
  <c r="F19" i="108"/>
  <c r="F20" i="108"/>
  <c r="F7" i="109"/>
  <c r="F8" i="109"/>
  <c r="G8" i="109" s="1"/>
  <c r="F9" i="109"/>
  <c r="G9" i="109" s="1"/>
  <c r="F10" i="109"/>
  <c r="F11" i="109"/>
  <c r="F12" i="109"/>
  <c r="F13" i="109"/>
  <c r="F14" i="109"/>
  <c r="G14" i="109" s="1"/>
  <c r="H14" i="109" s="1"/>
  <c r="F15" i="109"/>
  <c r="G15" i="109" s="1"/>
  <c r="F16" i="109"/>
  <c r="F17" i="109"/>
  <c r="G17" i="109" s="1"/>
  <c r="F18" i="109"/>
  <c r="G18" i="109" s="1"/>
  <c r="H18" i="109" s="1"/>
  <c r="F19" i="109"/>
  <c r="F20" i="109"/>
  <c r="F7" i="111"/>
  <c r="G7" i="111" s="1"/>
  <c r="F8" i="111"/>
  <c r="G8" i="111" s="1"/>
  <c r="H8" i="111" s="1"/>
  <c r="F9" i="111"/>
  <c r="G9" i="111" s="1"/>
  <c r="F10" i="111"/>
  <c r="F11" i="111"/>
  <c r="F12" i="111"/>
  <c r="F13" i="111"/>
  <c r="F14" i="111"/>
  <c r="F15" i="111"/>
  <c r="G15" i="111" s="1"/>
  <c r="H15" i="111" s="1"/>
  <c r="F16" i="111"/>
  <c r="G16" i="111" s="1"/>
  <c r="F17" i="111"/>
  <c r="G17" i="111" s="1"/>
  <c r="H17" i="111" s="1"/>
  <c r="F18" i="111"/>
  <c r="G18" i="111" s="1"/>
  <c r="F19" i="111"/>
  <c r="F20" i="111"/>
  <c r="F7" i="112"/>
  <c r="G7" i="112" s="1"/>
  <c r="F8" i="112"/>
  <c r="F9" i="112"/>
  <c r="G9" i="112" s="1"/>
  <c r="H9" i="112" s="1"/>
  <c r="F10" i="112"/>
  <c r="F11" i="112"/>
  <c r="F12" i="112"/>
  <c r="F13" i="112"/>
  <c r="F14" i="112"/>
  <c r="G14" i="112" s="1"/>
  <c r="H14" i="112" s="1"/>
  <c r="F15" i="112"/>
  <c r="G15" i="112" s="1"/>
  <c r="F16" i="112"/>
  <c r="F17" i="112"/>
  <c r="F18" i="112"/>
  <c r="G18" i="112" s="1"/>
  <c r="H18" i="112" s="1"/>
  <c r="F19" i="112"/>
  <c r="F20" i="112"/>
  <c r="F7" i="113"/>
  <c r="G7" i="113" s="1"/>
  <c r="F8" i="113"/>
  <c r="G8" i="113" s="1"/>
  <c r="F9" i="113"/>
  <c r="G9" i="113" s="1"/>
  <c r="F10" i="113"/>
  <c r="F11" i="113"/>
  <c r="G11" i="113" s="1"/>
  <c r="H11" i="113" s="1"/>
  <c r="F12" i="113"/>
  <c r="F13" i="113"/>
  <c r="F14" i="113"/>
  <c r="F15" i="113"/>
  <c r="G15" i="113" s="1"/>
  <c r="F16" i="113"/>
  <c r="G16" i="113" s="1"/>
  <c r="F17" i="113"/>
  <c r="G17" i="113" s="1"/>
  <c r="F18" i="113"/>
  <c r="G18" i="113" s="1"/>
  <c r="F19" i="113"/>
  <c r="F20" i="113"/>
  <c r="F6" i="114"/>
  <c r="G6" i="114" s="1"/>
  <c r="F7" i="114"/>
  <c r="F8" i="114"/>
  <c r="F13" i="114"/>
  <c r="F16" i="114"/>
  <c r="F17" i="114"/>
  <c r="G17" i="114" s="1"/>
  <c r="F18" i="114"/>
  <c r="F19" i="114"/>
  <c r="G19" i="114" s="1"/>
  <c r="F20" i="114"/>
  <c r="G20" i="114" s="1"/>
  <c r="H20" i="114" s="1"/>
  <c r="F22" i="114"/>
  <c r="I7" i="113"/>
  <c r="I8" i="113"/>
  <c r="I9" i="113"/>
  <c r="I10" i="113"/>
  <c r="I11" i="113"/>
  <c r="I12" i="113"/>
  <c r="I13" i="113"/>
  <c r="I14" i="113"/>
  <c r="I15" i="113"/>
  <c r="I16" i="113"/>
  <c r="I17" i="113"/>
  <c r="I18" i="113"/>
  <c r="I19" i="113"/>
  <c r="I20" i="113"/>
  <c r="I6" i="113"/>
  <c r="I7" i="112"/>
  <c r="I8" i="112"/>
  <c r="I9" i="112"/>
  <c r="I10" i="112"/>
  <c r="I11" i="112"/>
  <c r="I12" i="112"/>
  <c r="I13" i="112"/>
  <c r="I14" i="112"/>
  <c r="I15" i="112"/>
  <c r="I16" i="112"/>
  <c r="I17" i="112"/>
  <c r="I18" i="112"/>
  <c r="I19" i="112"/>
  <c r="I20" i="112"/>
  <c r="I6" i="112"/>
  <c r="I7" i="111"/>
  <c r="I8" i="111"/>
  <c r="I9" i="111"/>
  <c r="I10" i="111"/>
  <c r="I11" i="111"/>
  <c r="I12" i="111"/>
  <c r="I13" i="111"/>
  <c r="I14" i="111"/>
  <c r="I15" i="111"/>
  <c r="I16" i="111"/>
  <c r="I17" i="111"/>
  <c r="I18" i="111"/>
  <c r="I19" i="111"/>
  <c r="I20" i="111"/>
  <c r="I6" i="111"/>
  <c r="I7" i="109"/>
  <c r="I8" i="109"/>
  <c r="I9" i="109"/>
  <c r="I10" i="109"/>
  <c r="I11" i="109"/>
  <c r="I12" i="109"/>
  <c r="I13" i="109"/>
  <c r="I14" i="109"/>
  <c r="I15" i="109"/>
  <c r="I16" i="109"/>
  <c r="I17" i="109"/>
  <c r="I18" i="109"/>
  <c r="I19" i="109"/>
  <c r="I20" i="109"/>
  <c r="I6" i="109"/>
  <c r="I7" i="108"/>
  <c r="I8" i="108"/>
  <c r="I9" i="108"/>
  <c r="I10" i="108"/>
  <c r="I11" i="108"/>
  <c r="I12" i="108"/>
  <c r="I13" i="108"/>
  <c r="I14" i="108"/>
  <c r="I15" i="108"/>
  <c r="I16" i="108"/>
  <c r="I17" i="108"/>
  <c r="I18" i="108"/>
  <c r="I19" i="108"/>
  <c r="I20" i="108"/>
  <c r="I6" i="108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6" i="107"/>
  <c r="I7" i="106"/>
  <c r="I8" i="106"/>
  <c r="I9" i="106"/>
  <c r="I10" i="106"/>
  <c r="I11" i="106"/>
  <c r="I12" i="106"/>
  <c r="I13" i="106"/>
  <c r="I14" i="106"/>
  <c r="I15" i="106"/>
  <c r="I16" i="106"/>
  <c r="I17" i="106"/>
  <c r="I18" i="106"/>
  <c r="I19" i="106"/>
  <c r="I20" i="106"/>
  <c r="I6" i="106"/>
  <c r="I7" i="105"/>
  <c r="I8" i="105"/>
  <c r="I9" i="105"/>
  <c r="I10" i="105"/>
  <c r="I11" i="105"/>
  <c r="I12" i="105"/>
  <c r="I13" i="105"/>
  <c r="I14" i="105"/>
  <c r="I15" i="105"/>
  <c r="I16" i="105"/>
  <c r="I17" i="105"/>
  <c r="I18" i="105"/>
  <c r="I19" i="105"/>
  <c r="I20" i="105"/>
  <c r="I6" i="105"/>
  <c r="I7" i="104"/>
  <c r="I8" i="104"/>
  <c r="I9" i="104"/>
  <c r="I10" i="104"/>
  <c r="I11" i="104"/>
  <c r="I12" i="104"/>
  <c r="I13" i="104"/>
  <c r="I14" i="104"/>
  <c r="I15" i="104"/>
  <c r="I16" i="104"/>
  <c r="I17" i="104"/>
  <c r="I18" i="104"/>
  <c r="I19" i="104"/>
  <c r="I20" i="104"/>
  <c r="I6" i="104"/>
  <c r="I10" i="101"/>
  <c r="F7" i="9"/>
  <c r="F8" i="9"/>
  <c r="F9" i="9"/>
  <c r="F10" i="9"/>
  <c r="G10" i="9" s="1"/>
  <c r="F11" i="9"/>
  <c r="G11" i="9" s="1"/>
  <c r="F12" i="9"/>
  <c r="G12" i="9" s="1"/>
  <c r="F13" i="9"/>
  <c r="F14" i="9"/>
  <c r="G14" i="9" s="1"/>
  <c r="F15" i="9"/>
  <c r="F7" i="102"/>
  <c r="G7" i="102" s="1"/>
  <c r="H7" i="102" s="1"/>
  <c r="I7" i="102" s="1"/>
  <c r="F8" i="102"/>
  <c r="F9" i="102"/>
  <c r="F10" i="102"/>
  <c r="F11" i="102"/>
  <c r="F14" i="102"/>
  <c r="G14" i="102" s="1"/>
  <c r="F15" i="102"/>
  <c r="G15" i="102" s="1"/>
  <c r="H15" i="102" s="1"/>
  <c r="F16" i="102"/>
  <c r="G16" i="102" s="1"/>
  <c r="F17" i="102"/>
  <c r="G17" i="102" s="1"/>
  <c r="H17" i="102" s="1"/>
  <c r="F23" i="102"/>
  <c r="E6" i="102"/>
  <c r="E7" i="102"/>
  <c r="E8" i="102"/>
  <c r="E33" i="103"/>
  <c r="E32" i="103"/>
  <c r="E31" i="103"/>
  <c r="E30" i="103"/>
  <c r="E29" i="103"/>
  <c r="E28" i="103"/>
  <c r="E27" i="103"/>
  <c r="G26" i="103"/>
  <c r="E26" i="103"/>
  <c r="E25" i="103"/>
  <c r="E24" i="103"/>
  <c r="E23" i="103"/>
  <c r="E16" i="103"/>
  <c r="E15" i="103"/>
  <c r="E14" i="103"/>
  <c r="E13" i="103"/>
  <c r="E12" i="103"/>
  <c r="G10" i="103"/>
  <c r="E7" i="103"/>
  <c r="F6" i="103"/>
  <c r="H6" i="103" s="1"/>
  <c r="E6" i="103"/>
  <c r="E12" i="9"/>
  <c r="E11" i="9"/>
  <c r="E10" i="9"/>
  <c r="E9" i="9"/>
  <c r="E14" i="9"/>
  <c r="E13" i="9"/>
  <c r="E11" i="15"/>
  <c r="E9" i="15"/>
  <c r="E8" i="15"/>
  <c r="E7" i="15"/>
  <c r="E6" i="15"/>
  <c r="E5" i="15"/>
  <c r="B11" i="15"/>
  <c r="B10" i="15"/>
  <c r="E22" i="114"/>
  <c r="E20" i="114"/>
  <c r="E19" i="114"/>
  <c r="E18" i="114"/>
  <c r="E17" i="114"/>
  <c r="E16" i="114"/>
  <c r="E13" i="114"/>
  <c r="E8" i="114"/>
  <c r="E7" i="114"/>
  <c r="E6" i="114"/>
  <c r="E1" i="114"/>
  <c r="E20" i="113"/>
  <c r="E18" i="113"/>
  <c r="E17" i="113"/>
  <c r="E16" i="113"/>
  <c r="E15" i="113"/>
  <c r="E14" i="113"/>
  <c r="E12" i="113"/>
  <c r="E11" i="113"/>
  <c r="E10" i="113"/>
  <c r="E9" i="113"/>
  <c r="E8" i="113"/>
  <c r="E7" i="113"/>
  <c r="F6" i="113"/>
  <c r="H6" i="113" s="1"/>
  <c r="E6" i="113"/>
  <c r="E1" i="113"/>
  <c r="E20" i="112"/>
  <c r="E18" i="112"/>
  <c r="E17" i="112"/>
  <c r="E16" i="112"/>
  <c r="E15" i="112"/>
  <c r="E14" i="112"/>
  <c r="E12" i="112"/>
  <c r="E11" i="112"/>
  <c r="E10" i="112"/>
  <c r="E9" i="112"/>
  <c r="E8" i="112"/>
  <c r="E7" i="112"/>
  <c r="F6" i="112"/>
  <c r="H6" i="112" s="1"/>
  <c r="E6" i="112"/>
  <c r="E1" i="112"/>
  <c r="E20" i="111"/>
  <c r="E18" i="111"/>
  <c r="E17" i="111"/>
  <c r="E16" i="111"/>
  <c r="E15" i="111"/>
  <c r="E14" i="111"/>
  <c r="E12" i="111"/>
  <c r="E11" i="111"/>
  <c r="E10" i="111"/>
  <c r="E9" i="111"/>
  <c r="E8" i="111"/>
  <c r="E7" i="111"/>
  <c r="F6" i="111"/>
  <c r="H6" i="111" s="1"/>
  <c r="E6" i="111"/>
  <c r="E1" i="111"/>
  <c r="E20" i="109"/>
  <c r="E18" i="109"/>
  <c r="E17" i="109"/>
  <c r="E16" i="109"/>
  <c r="E15" i="109"/>
  <c r="E14" i="109"/>
  <c r="E12" i="109"/>
  <c r="E11" i="109"/>
  <c r="E10" i="109"/>
  <c r="E9" i="109"/>
  <c r="E8" i="109"/>
  <c r="E7" i="109"/>
  <c r="F6" i="109"/>
  <c r="H6" i="109" s="1"/>
  <c r="E6" i="109"/>
  <c r="E1" i="109"/>
  <c r="E20" i="108"/>
  <c r="E18" i="108"/>
  <c r="E17" i="108"/>
  <c r="E16" i="108"/>
  <c r="E15" i="108"/>
  <c r="E14" i="108"/>
  <c r="E12" i="108"/>
  <c r="E11" i="108"/>
  <c r="E10" i="108"/>
  <c r="E9" i="108"/>
  <c r="E8" i="108"/>
  <c r="E7" i="108"/>
  <c r="F6" i="108"/>
  <c r="H6" i="108" s="1"/>
  <c r="E6" i="108"/>
  <c r="E1" i="108"/>
  <c r="E20" i="107"/>
  <c r="E18" i="107"/>
  <c r="E17" i="107"/>
  <c r="E16" i="107"/>
  <c r="E15" i="107"/>
  <c r="E14" i="107"/>
  <c r="E12" i="107"/>
  <c r="E11" i="107"/>
  <c r="E10" i="107"/>
  <c r="E9" i="107"/>
  <c r="E8" i="107"/>
  <c r="E7" i="107"/>
  <c r="F6" i="107"/>
  <c r="H6" i="107" s="1"/>
  <c r="E6" i="107"/>
  <c r="E1" i="107"/>
  <c r="E20" i="106"/>
  <c r="E18" i="106"/>
  <c r="E17" i="106"/>
  <c r="E16" i="106"/>
  <c r="E15" i="106"/>
  <c r="E14" i="106"/>
  <c r="E12" i="106"/>
  <c r="E11" i="106"/>
  <c r="E10" i="106"/>
  <c r="E9" i="106"/>
  <c r="E8" i="106"/>
  <c r="E7" i="106"/>
  <c r="F6" i="106"/>
  <c r="H6" i="106" s="1"/>
  <c r="E6" i="106"/>
  <c r="E1" i="106"/>
  <c r="E20" i="105"/>
  <c r="E18" i="105"/>
  <c r="E17" i="105"/>
  <c r="E16" i="105"/>
  <c r="E15" i="105"/>
  <c r="E14" i="105"/>
  <c r="E12" i="105"/>
  <c r="E11" i="105"/>
  <c r="E10" i="105"/>
  <c r="E9" i="105"/>
  <c r="E8" i="105"/>
  <c r="E7" i="105"/>
  <c r="F6" i="105"/>
  <c r="H6" i="105" s="1"/>
  <c r="E6" i="105"/>
  <c r="E1" i="105"/>
  <c r="E20" i="104"/>
  <c r="E18" i="104"/>
  <c r="E17" i="104"/>
  <c r="E16" i="104"/>
  <c r="E15" i="104"/>
  <c r="E14" i="104"/>
  <c r="E12" i="104"/>
  <c r="E11" i="104"/>
  <c r="E10" i="104"/>
  <c r="E9" i="104"/>
  <c r="E8" i="104"/>
  <c r="E7" i="104"/>
  <c r="F6" i="104"/>
  <c r="H6" i="104" s="1"/>
  <c r="E6" i="104"/>
  <c r="E1" i="104"/>
  <c r="B9" i="15"/>
  <c r="B8" i="15"/>
  <c r="E44" i="103"/>
  <c r="E42" i="103"/>
  <c r="E41" i="103"/>
  <c r="E40" i="103"/>
  <c r="E39" i="103"/>
  <c r="E38" i="103"/>
  <c r="E35" i="103"/>
  <c r="E34" i="103"/>
  <c r="E23" i="102"/>
  <c r="E17" i="102"/>
  <c r="E16" i="102"/>
  <c r="E15" i="102"/>
  <c r="E14" i="102"/>
  <c r="E11" i="102"/>
  <c r="E10" i="102"/>
  <c r="E9" i="102"/>
  <c r="F6" i="102"/>
  <c r="E1" i="102"/>
  <c r="E4" i="15"/>
  <c r="B7" i="15"/>
  <c r="E19" i="101"/>
  <c r="E17" i="101"/>
  <c r="E16" i="101"/>
  <c r="E15" i="101"/>
  <c r="E14" i="101"/>
  <c r="E13" i="101"/>
  <c r="E11" i="101"/>
  <c r="E10" i="101"/>
  <c r="E9" i="101"/>
  <c r="E8" i="101"/>
  <c r="E7" i="101"/>
  <c r="E6" i="101"/>
  <c r="E1" i="101"/>
  <c r="B6" i="15"/>
  <c r="E20" i="100"/>
  <c r="E18" i="100"/>
  <c r="E17" i="100"/>
  <c r="E16" i="100"/>
  <c r="E15" i="100"/>
  <c r="E14" i="100"/>
  <c r="E12" i="100"/>
  <c r="E11" i="100"/>
  <c r="E10" i="100"/>
  <c r="E9" i="100"/>
  <c r="E8" i="100"/>
  <c r="E7" i="100"/>
  <c r="F6" i="100"/>
  <c r="H6" i="100" s="1"/>
  <c r="E6" i="100"/>
  <c r="E1" i="100"/>
  <c r="F6" i="9"/>
  <c r="H6" i="9" s="1"/>
  <c r="J15" i="111" l="1"/>
  <c r="L15" i="111" s="1"/>
  <c r="J6" i="113"/>
  <c r="J49" i="122"/>
  <c r="H50" i="122"/>
  <c r="G50" i="122" s="1"/>
  <c r="I50" i="122" s="1"/>
  <c r="C51" i="122" s="1"/>
  <c r="E22" i="106"/>
  <c r="E12" i="15"/>
  <c r="I20" i="114"/>
  <c r="J20" i="114" s="1"/>
  <c r="G18" i="114"/>
  <c r="H18" i="114" s="1"/>
  <c r="I18" i="114" s="1"/>
  <c r="H42" i="103"/>
  <c r="I42" i="103" s="1"/>
  <c r="J42" i="103" s="1"/>
  <c r="H40" i="103"/>
  <c r="I40" i="103" s="1"/>
  <c r="J40" i="103" s="1"/>
  <c r="H39" i="103"/>
  <c r="I39" i="103" s="1"/>
  <c r="J39" i="103" s="1"/>
  <c r="H36" i="103"/>
  <c r="I36" i="103" s="1"/>
  <c r="H35" i="103"/>
  <c r="H33" i="103"/>
  <c r="H27" i="103"/>
  <c r="I27" i="103" s="1"/>
  <c r="H26" i="103"/>
  <c r="I26" i="103"/>
  <c r="H23" i="103"/>
  <c r="I23" i="103" s="1"/>
  <c r="J23" i="103" s="1"/>
  <c r="H15" i="103"/>
  <c r="I15" i="103" s="1"/>
  <c r="J15" i="103" s="1"/>
  <c r="H11" i="103"/>
  <c r="I11" i="103" s="1"/>
  <c r="H10" i="103"/>
  <c r="I10" i="103" s="1"/>
  <c r="J10" i="103" s="1"/>
  <c r="I6" i="103"/>
  <c r="J6" i="103" s="1"/>
  <c r="I17" i="101"/>
  <c r="J17" i="101" s="1"/>
  <c r="I17" i="102"/>
  <c r="J17" i="102" s="1"/>
  <c r="I15" i="102"/>
  <c r="J15" i="102" s="1"/>
  <c r="E22" i="104"/>
  <c r="E22" i="107"/>
  <c r="E22" i="108"/>
  <c r="E22" i="105"/>
  <c r="E22" i="113"/>
  <c r="E22" i="109"/>
  <c r="E22" i="111"/>
  <c r="E22" i="112"/>
  <c r="H11" i="108"/>
  <c r="J11" i="108" s="1"/>
  <c r="M11" i="108" s="1"/>
  <c r="N11" i="108" s="1"/>
  <c r="O11" i="108" s="1"/>
  <c r="E46" i="103"/>
  <c r="E24" i="114"/>
  <c r="E21" i="101"/>
  <c r="I14" i="100"/>
  <c r="J14" i="100" s="1"/>
  <c r="G14" i="111"/>
  <c r="H14" i="111" s="1"/>
  <c r="J14" i="111" s="1"/>
  <c r="H8" i="113"/>
  <c r="J8" i="113" s="1"/>
  <c r="J14" i="109"/>
  <c r="M14" i="109" s="1"/>
  <c r="N14" i="109" s="1"/>
  <c r="O14" i="109" s="1"/>
  <c r="I6" i="100"/>
  <c r="I6" i="9"/>
  <c r="J6" i="9" s="1"/>
  <c r="G31" i="103"/>
  <c r="G28" i="103"/>
  <c r="G30" i="103"/>
  <c r="G12" i="103"/>
  <c r="G25" i="103"/>
  <c r="G13" i="103"/>
  <c r="G7" i="103"/>
  <c r="G16" i="103"/>
  <c r="G24" i="103"/>
  <c r="G14" i="103"/>
  <c r="G32" i="103"/>
  <c r="H11" i="9"/>
  <c r="I11" i="9" s="1"/>
  <c r="H12" i="9"/>
  <c r="I12" i="9" s="1"/>
  <c r="H10" i="9"/>
  <c r="I10" i="9" s="1"/>
  <c r="G9" i="9"/>
  <c r="H9" i="9" s="1"/>
  <c r="I9" i="9" s="1"/>
  <c r="H14" i="9"/>
  <c r="I14" i="9" s="1"/>
  <c r="G13" i="9"/>
  <c r="H13" i="9" s="1"/>
  <c r="H17" i="114"/>
  <c r="H6" i="114"/>
  <c r="I6" i="114" s="1"/>
  <c r="G22" i="114"/>
  <c r="H22" i="114" s="1"/>
  <c r="G13" i="114"/>
  <c r="G7" i="114"/>
  <c r="H7" i="114" s="1"/>
  <c r="G16" i="114"/>
  <c r="G8" i="114"/>
  <c r="H19" i="114"/>
  <c r="I19" i="114" s="1"/>
  <c r="H17" i="113"/>
  <c r="H15" i="113"/>
  <c r="J15" i="113" s="1"/>
  <c r="H9" i="113"/>
  <c r="J11" i="113"/>
  <c r="G12" i="113"/>
  <c r="H18" i="113"/>
  <c r="J18" i="113" s="1"/>
  <c r="H7" i="113"/>
  <c r="J7" i="113" s="1"/>
  <c r="G10" i="113"/>
  <c r="H10" i="113" s="1"/>
  <c r="H16" i="113"/>
  <c r="J16" i="113" s="1"/>
  <c r="G20" i="113"/>
  <c r="G14" i="113"/>
  <c r="H14" i="113" s="1"/>
  <c r="J18" i="112"/>
  <c r="H15" i="112"/>
  <c r="J6" i="112"/>
  <c r="J9" i="112"/>
  <c r="G16" i="112"/>
  <c r="H16" i="112" s="1"/>
  <c r="H7" i="112"/>
  <c r="G10" i="112"/>
  <c r="H10" i="112" s="1"/>
  <c r="G20" i="112"/>
  <c r="H20" i="112" s="1"/>
  <c r="G8" i="112"/>
  <c r="G17" i="112"/>
  <c r="G11" i="112"/>
  <c r="H11" i="112" s="1"/>
  <c r="J14" i="112"/>
  <c r="G12" i="112"/>
  <c r="H12" i="112" s="1"/>
  <c r="J17" i="111"/>
  <c r="J8" i="111"/>
  <c r="J6" i="111"/>
  <c r="H9" i="111"/>
  <c r="J9" i="111" s="1"/>
  <c r="G12" i="111"/>
  <c r="H12" i="111" s="1"/>
  <c r="H18" i="111"/>
  <c r="H7" i="111"/>
  <c r="J7" i="111" s="1"/>
  <c r="G10" i="111"/>
  <c r="H10" i="111" s="1"/>
  <c r="H16" i="111"/>
  <c r="G20" i="111"/>
  <c r="H20" i="111" s="1"/>
  <c r="G11" i="111"/>
  <c r="H11" i="111" s="1"/>
  <c r="H15" i="109"/>
  <c r="J15" i="109" s="1"/>
  <c r="J6" i="109"/>
  <c r="H9" i="109"/>
  <c r="J9" i="109" s="1"/>
  <c r="G7" i="109"/>
  <c r="G16" i="109"/>
  <c r="J18" i="109"/>
  <c r="G12" i="109"/>
  <c r="G10" i="109"/>
  <c r="H10" i="109" s="1"/>
  <c r="G20" i="109"/>
  <c r="H8" i="109"/>
  <c r="G11" i="109"/>
  <c r="H17" i="109"/>
  <c r="J6" i="108"/>
  <c r="H9" i="108"/>
  <c r="G12" i="108"/>
  <c r="H12" i="108" s="1"/>
  <c r="H18" i="108"/>
  <c r="J18" i="108" s="1"/>
  <c r="J15" i="108"/>
  <c r="H7" i="108"/>
  <c r="G10" i="108"/>
  <c r="H16" i="108"/>
  <c r="J16" i="108" s="1"/>
  <c r="G20" i="108"/>
  <c r="H20" i="108" s="1"/>
  <c r="G8" i="108"/>
  <c r="H14" i="108"/>
  <c r="G17" i="108"/>
  <c r="H15" i="107"/>
  <c r="J15" i="107" s="1"/>
  <c r="J11" i="107"/>
  <c r="H18" i="107"/>
  <c r="J6" i="107"/>
  <c r="G7" i="107"/>
  <c r="H7" i="107" s="1"/>
  <c r="G16" i="107"/>
  <c r="G10" i="107"/>
  <c r="H10" i="107" s="1"/>
  <c r="G20" i="107"/>
  <c r="H20" i="107" s="1"/>
  <c r="G8" i="107"/>
  <c r="H14" i="107"/>
  <c r="G17" i="107"/>
  <c r="H17" i="107" s="1"/>
  <c r="H9" i="107"/>
  <c r="G12" i="107"/>
  <c r="H12" i="107" s="1"/>
  <c r="J12" i="107" s="1"/>
  <c r="H15" i="106"/>
  <c r="J15" i="106" s="1"/>
  <c r="H9" i="106"/>
  <c r="G12" i="106"/>
  <c r="H12" i="106" s="1"/>
  <c r="J6" i="106"/>
  <c r="G16" i="106"/>
  <c r="H16" i="106" s="1"/>
  <c r="G14" i="106"/>
  <c r="H14" i="106" s="1"/>
  <c r="H18" i="106"/>
  <c r="G10" i="106"/>
  <c r="H10" i="106" s="1"/>
  <c r="J10" i="106" s="1"/>
  <c r="H7" i="106"/>
  <c r="G20" i="106"/>
  <c r="H8" i="106"/>
  <c r="G11" i="106"/>
  <c r="H17" i="106"/>
  <c r="J6" i="105"/>
  <c r="J7" i="105"/>
  <c r="H15" i="105"/>
  <c r="H11" i="105"/>
  <c r="J11" i="105" s="1"/>
  <c r="J16" i="105"/>
  <c r="H9" i="105"/>
  <c r="J9" i="105" s="1"/>
  <c r="G12" i="105"/>
  <c r="H12" i="105" s="1"/>
  <c r="H18" i="105"/>
  <c r="G10" i="105"/>
  <c r="H10" i="105" s="1"/>
  <c r="G20" i="105"/>
  <c r="G14" i="105"/>
  <c r="H14" i="105" s="1"/>
  <c r="G8" i="105"/>
  <c r="G17" i="105"/>
  <c r="H17" i="105" s="1"/>
  <c r="H15" i="104"/>
  <c r="J15" i="104" s="1"/>
  <c r="H9" i="104"/>
  <c r="J9" i="104" s="1"/>
  <c r="G12" i="104"/>
  <c r="H18" i="104"/>
  <c r="J18" i="104" s="1"/>
  <c r="J6" i="104"/>
  <c r="G7" i="104"/>
  <c r="H7" i="104" s="1"/>
  <c r="G16" i="104"/>
  <c r="G10" i="104"/>
  <c r="H10" i="104" s="1"/>
  <c r="G20" i="104"/>
  <c r="G8" i="104"/>
  <c r="H8" i="104" s="1"/>
  <c r="G11" i="104"/>
  <c r="H11" i="104" s="1"/>
  <c r="J14" i="104"/>
  <c r="G17" i="104"/>
  <c r="G34" i="103"/>
  <c r="G44" i="103"/>
  <c r="G38" i="103"/>
  <c r="G41" i="103"/>
  <c r="E25" i="102"/>
  <c r="H16" i="102"/>
  <c r="H14" i="102"/>
  <c r="I14" i="102" s="1"/>
  <c r="G23" i="102"/>
  <c r="H6" i="102"/>
  <c r="I6" i="102" s="1"/>
  <c r="G11" i="102"/>
  <c r="G9" i="102"/>
  <c r="J7" i="102"/>
  <c r="G8" i="102"/>
  <c r="G10" i="102"/>
  <c r="H14" i="101"/>
  <c r="I14" i="101" s="1"/>
  <c r="J10" i="101"/>
  <c r="H8" i="101"/>
  <c r="I8" i="101" s="1"/>
  <c r="G11" i="101"/>
  <c r="G6" i="101"/>
  <c r="G15" i="101"/>
  <c r="G9" i="101"/>
  <c r="G19" i="101"/>
  <c r="G7" i="101"/>
  <c r="H13" i="101"/>
  <c r="I13" i="101" s="1"/>
  <c r="G16" i="101"/>
  <c r="H16" i="101" s="1"/>
  <c r="E22" i="100"/>
  <c r="H15" i="100"/>
  <c r="H9" i="100"/>
  <c r="I9" i="100" s="1"/>
  <c r="G12" i="100"/>
  <c r="G16" i="100"/>
  <c r="H18" i="100"/>
  <c r="I18" i="100" s="1"/>
  <c r="G7" i="100"/>
  <c r="G10" i="100"/>
  <c r="G20" i="100"/>
  <c r="G8" i="100"/>
  <c r="G17" i="100"/>
  <c r="G11" i="100"/>
  <c r="H11" i="100" s="1"/>
  <c r="L6" i="113" l="1"/>
  <c r="K6" i="113"/>
  <c r="M6" i="113" s="1"/>
  <c r="N6" i="113" s="1"/>
  <c r="O6" i="113" s="1"/>
  <c r="M15" i="111"/>
  <c r="N15" i="111" s="1"/>
  <c r="O15" i="111" s="1"/>
  <c r="K15" i="111"/>
  <c r="J50" i="122"/>
  <c r="K14" i="109"/>
  <c r="J26" i="103"/>
  <c r="K26" i="103" s="1"/>
  <c r="L26" i="103" s="1"/>
  <c r="H51" i="122"/>
  <c r="G51" i="122" s="1"/>
  <c r="I51" i="122" s="1"/>
  <c r="C52" i="122" s="1"/>
  <c r="J27" i="103"/>
  <c r="K27" i="103" s="1"/>
  <c r="M27" i="103" s="1"/>
  <c r="I35" i="103"/>
  <c r="J35" i="103" s="1"/>
  <c r="J36" i="103"/>
  <c r="K36" i="103" s="1"/>
  <c r="L36" i="103" s="1"/>
  <c r="I7" i="114"/>
  <c r="J7" i="114" s="1"/>
  <c r="I17" i="114"/>
  <c r="J17" i="114" s="1"/>
  <c r="H8" i="114"/>
  <c r="I8" i="114" s="1"/>
  <c r="J8" i="114" s="1"/>
  <c r="H13" i="114"/>
  <c r="I22" i="114"/>
  <c r="J22" i="114" s="1"/>
  <c r="H44" i="103"/>
  <c r="I44" i="103" s="1"/>
  <c r="K42" i="103"/>
  <c r="L42" i="103" s="1"/>
  <c r="M42" i="103"/>
  <c r="H41" i="103"/>
  <c r="I41" i="103" s="1"/>
  <c r="K40" i="103"/>
  <c r="L40" i="103" s="1"/>
  <c r="K39" i="103"/>
  <c r="L39" i="103" s="1"/>
  <c r="H38" i="103"/>
  <c r="H34" i="103"/>
  <c r="I34" i="103" s="1"/>
  <c r="I33" i="103"/>
  <c r="J33" i="103" s="1"/>
  <c r="H32" i="103"/>
  <c r="I32" i="103" s="1"/>
  <c r="H31" i="103"/>
  <c r="I31" i="103" s="1"/>
  <c r="H30" i="103"/>
  <c r="I30" i="103" s="1"/>
  <c r="J30" i="103" s="1"/>
  <c r="H28" i="103"/>
  <c r="I28" i="103" s="1"/>
  <c r="J28" i="103" s="1"/>
  <c r="H25" i="103"/>
  <c r="I25" i="103" s="1"/>
  <c r="H24" i="103"/>
  <c r="I24" i="103" s="1"/>
  <c r="J24" i="103" s="1"/>
  <c r="K23" i="103"/>
  <c r="M23" i="103" s="1"/>
  <c r="H16" i="103"/>
  <c r="I16" i="103" s="1"/>
  <c r="K15" i="103"/>
  <c r="M15" i="103" s="1"/>
  <c r="H14" i="103"/>
  <c r="I14" i="103" s="1"/>
  <c r="H13" i="103"/>
  <c r="I13" i="103" s="1"/>
  <c r="H12" i="103"/>
  <c r="I12" i="103" s="1"/>
  <c r="J11" i="103"/>
  <c r="K10" i="103"/>
  <c r="L10" i="103" s="1"/>
  <c r="H7" i="103"/>
  <c r="I7" i="103" s="1"/>
  <c r="J7" i="103" s="1"/>
  <c r="H19" i="101"/>
  <c r="I19" i="101"/>
  <c r="H9" i="101"/>
  <c r="I9" i="101"/>
  <c r="I16" i="101"/>
  <c r="J16" i="101" s="1"/>
  <c r="H8" i="100"/>
  <c r="I8" i="100"/>
  <c r="J8" i="100" s="1"/>
  <c r="H7" i="100"/>
  <c r="I7" i="100"/>
  <c r="I11" i="100"/>
  <c r="J11" i="100" s="1"/>
  <c r="I15" i="100"/>
  <c r="J15" i="100" s="1"/>
  <c r="I13" i="9"/>
  <c r="J13" i="9" s="1"/>
  <c r="J11" i="9"/>
  <c r="K11" i="9" s="1"/>
  <c r="L11" i="9" s="1"/>
  <c r="I16" i="102"/>
  <c r="J16" i="102" s="1"/>
  <c r="K8" i="113"/>
  <c r="M8" i="113"/>
  <c r="N8" i="113" s="1"/>
  <c r="O8" i="113" s="1"/>
  <c r="L8" i="113"/>
  <c r="K11" i="108"/>
  <c r="L11" i="108"/>
  <c r="H6" i="101"/>
  <c r="I6" i="101" s="1"/>
  <c r="J7" i="104"/>
  <c r="M7" i="104" s="1"/>
  <c r="N7" i="104" s="1"/>
  <c r="O7" i="104" s="1"/>
  <c r="H16" i="114"/>
  <c r="L14" i="109"/>
  <c r="K6" i="103"/>
  <c r="M6" i="103" s="1"/>
  <c r="N6" i="103" s="1"/>
  <c r="O6" i="103" s="1"/>
  <c r="J12" i="9"/>
  <c r="J9" i="9"/>
  <c r="J10" i="9"/>
  <c r="J14" i="9"/>
  <c r="K6" i="9"/>
  <c r="M6" i="9" s="1"/>
  <c r="N6" i="9" s="1"/>
  <c r="K20" i="114"/>
  <c r="L20" i="114" s="1"/>
  <c r="J19" i="114"/>
  <c r="J18" i="114"/>
  <c r="J6" i="114"/>
  <c r="M18" i="113"/>
  <c r="N18" i="113" s="1"/>
  <c r="O18" i="113" s="1"/>
  <c r="L18" i="113"/>
  <c r="K18" i="113"/>
  <c r="L16" i="113"/>
  <c r="K16" i="113"/>
  <c r="M16" i="113"/>
  <c r="N16" i="113" s="1"/>
  <c r="O16" i="113" s="1"/>
  <c r="J17" i="113"/>
  <c r="M15" i="113"/>
  <c r="N15" i="113" s="1"/>
  <c r="O15" i="113" s="1"/>
  <c r="L15" i="113"/>
  <c r="K15" i="113"/>
  <c r="L7" i="113"/>
  <c r="K7" i="113"/>
  <c r="M7" i="113"/>
  <c r="N7" i="113" s="1"/>
  <c r="O7" i="113" s="1"/>
  <c r="J9" i="113"/>
  <c r="H20" i="113"/>
  <c r="M11" i="113"/>
  <c r="N11" i="113" s="1"/>
  <c r="O11" i="113" s="1"/>
  <c r="K11" i="113"/>
  <c r="L11" i="113"/>
  <c r="H12" i="113"/>
  <c r="J12" i="113" s="1"/>
  <c r="J14" i="113"/>
  <c r="J10" i="113"/>
  <c r="L14" i="112"/>
  <c r="K14" i="112"/>
  <c r="M14" i="112"/>
  <c r="N14" i="112" s="1"/>
  <c r="O14" i="112" s="1"/>
  <c r="K9" i="112"/>
  <c r="M9" i="112"/>
  <c r="N9" i="112" s="1"/>
  <c r="O9" i="112" s="1"/>
  <c r="L9" i="112"/>
  <c r="L6" i="112"/>
  <c r="K6" i="112"/>
  <c r="M6" i="112" s="1"/>
  <c r="N6" i="112" s="1"/>
  <c r="O6" i="112" s="1"/>
  <c r="J16" i="112"/>
  <c r="J10" i="112"/>
  <c r="K18" i="112"/>
  <c r="M18" i="112"/>
  <c r="N18" i="112" s="1"/>
  <c r="O18" i="112" s="1"/>
  <c r="L18" i="112"/>
  <c r="H17" i="112"/>
  <c r="J17" i="112" s="1"/>
  <c r="J11" i="112"/>
  <c r="J7" i="112"/>
  <c r="J15" i="112"/>
  <c r="J12" i="112"/>
  <c r="J20" i="112"/>
  <c r="H8" i="112"/>
  <c r="J8" i="112" s="1"/>
  <c r="L7" i="111"/>
  <c r="K7" i="111"/>
  <c r="M7" i="111"/>
  <c r="N7" i="111" s="1"/>
  <c r="O7" i="111" s="1"/>
  <c r="M8" i="111"/>
  <c r="N8" i="111" s="1"/>
  <c r="O8" i="111" s="1"/>
  <c r="L8" i="111"/>
  <c r="K8" i="111"/>
  <c r="J11" i="111"/>
  <c r="M9" i="111"/>
  <c r="N9" i="111" s="1"/>
  <c r="O9" i="111" s="1"/>
  <c r="L9" i="111"/>
  <c r="K9" i="111"/>
  <c r="J18" i="111"/>
  <c r="M17" i="111"/>
  <c r="N17" i="111" s="1"/>
  <c r="O17" i="111" s="1"/>
  <c r="L17" i="111"/>
  <c r="K17" i="111"/>
  <c r="L6" i="111"/>
  <c r="K6" i="111"/>
  <c r="M6" i="111" s="1"/>
  <c r="N6" i="111" s="1"/>
  <c r="O6" i="111" s="1"/>
  <c r="J16" i="111"/>
  <c r="M14" i="111"/>
  <c r="N14" i="111" s="1"/>
  <c r="O14" i="111" s="1"/>
  <c r="L14" i="111"/>
  <c r="K14" i="111"/>
  <c r="J20" i="111"/>
  <c r="J10" i="111"/>
  <c r="J12" i="111"/>
  <c r="M18" i="109"/>
  <c r="N18" i="109" s="1"/>
  <c r="O18" i="109" s="1"/>
  <c r="L18" i="109"/>
  <c r="K18" i="109"/>
  <c r="M15" i="109"/>
  <c r="N15" i="109" s="1"/>
  <c r="O15" i="109" s="1"/>
  <c r="L15" i="109"/>
  <c r="K15" i="109"/>
  <c r="H12" i="109"/>
  <c r="J12" i="109" s="1"/>
  <c r="H16" i="109"/>
  <c r="J8" i="109"/>
  <c r="L6" i="109"/>
  <c r="K6" i="109"/>
  <c r="M6" i="109" s="1"/>
  <c r="N6" i="109" s="1"/>
  <c r="O6" i="109" s="1"/>
  <c r="J17" i="109"/>
  <c r="H20" i="109"/>
  <c r="J10" i="109"/>
  <c r="H11" i="109"/>
  <c r="L9" i="109"/>
  <c r="M9" i="109"/>
  <c r="N9" i="109" s="1"/>
  <c r="O9" i="109" s="1"/>
  <c r="K9" i="109"/>
  <c r="H7" i="109"/>
  <c r="M18" i="108"/>
  <c r="N18" i="108" s="1"/>
  <c r="O18" i="108" s="1"/>
  <c r="L18" i="108"/>
  <c r="K18" i="108"/>
  <c r="L16" i="108"/>
  <c r="K16" i="108"/>
  <c r="M16" i="108"/>
  <c r="N16" i="108" s="1"/>
  <c r="O16" i="108" s="1"/>
  <c r="J20" i="108"/>
  <c r="M15" i="108"/>
  <c r="N15" i="108" s="1"/>
  <c r="O15" i="108" s="1"/>
  <c r="L15" i="108"/>
  <c r="K15" i="108"/>
  <c r="H10" i="108"/>
  <c r="J7" i="108"/>
  <c r="J14" i="108"/>
  <c r="H8" i="108"/>
  <c r="J8" i="108" s="1"/>
  <c r="J9" i="108"/>
  <c r="L6" i="108"/>
  <c r="K6" i="108"/>
  <c r="M6" i="108" s="1"/>
  <c r="N6" i="108" s="1"/>
  <c r="O6" i="108" s="1"/>
  <c r="J12" i="108"/>
  <c r="H17" i="108"/>
  <c r="J17" i="108" s="1"/>
  <c r="M11" i="107"/>
  <c r="N11" i="107" s="1"/>
  <c r="O11" i="107" s="1"/>
  <c r="L11" i="107"/>
  <c r="K11" i="107"/>
  <c r="M12" i="107"/>
  <c r="N12" i="107" s="1"/>
  <c r="O12" i="107" s="1"/>
  <c r="L12" i="107"/>
  <c r="K12" i="107"/>
  <c r="J14" i="107"/>
  <c r="L15" i="107"/>
  <c r="M15" i="107"/>
  <c r="N15" i="107" s="1"/>
  <c r="O15" i="107" s="1"/>
  <c r="K15" i="107"/>
  <c r="J18" i="107"/>
  <c r="J10" i="107"/>
  <c r="J7" i="107"/>
  <c r="H8" i="107"/>
  <c r="J20" i="107"/>
  <c r="H16" i="107"/>
  <c r="J9" i="107"/>
  <c r="J17" i="107"/>
  <c r="L6" i="107"/>
  <c r="K6" i="107"/>
  <c r="M6" i="107" s="1"/>
  <c r="N6" i="107" s="1"/>
  <c r="O6" i="107" s="1"/>
  <c r="J12" i="106"/>
  <c r="M15" i="106"/>
  <c r="N15" i="106" s="1"/>
  <c r="O15" i="106" s="1"/>
  <c r="L15" i="106"/>
  <c r="K15" i="106"/>
  <c r="J9" i="106"/>
  <c r="K10" i="106"/>
  <c r="M10" i="106"/>
  <c r="N10" i="106" s="1"/>
  <c r="O10" i="106" s="1"/>
  <c r="L10" i="106"/>
  <c r="H20" i="106"/>
  <c r="J20" i="106" s="1"/>
  <c r="J18" i="106"/>
  <c r="K6" i="106"/>
  <c r="M6" i="106" s="1"/>
  <c r="N6" i="106" s="1"/>
  <c r="O6" i="106" s="1"/>
  <c r="L6" i="106"/>
  <c r="J17" i="106"/>
  <c r="J14" i="106"/>
  <c r="J7" i="106"/>
  <c r="J16" i="106"/>
  <c r="J8" i="106"/>
  <c r="H11" i="106"/>
  <c r="J11" i="106" s="1"/>
  <c r="M9" i="105"/>
  <c r="N9" i="105" s="1"/>
  <c r="O9" i="105" s="1"/>
  <c r="L9" i="105"/>
  <c r="K9" i="105"/>
  <c r="J14" i="105"/>
  <c r="J15" i="105"/>
  <c r="M11" i="105"/>
  <c r="N11" i="105" s="1"/>
  <c r="O11" i="105" s="1"/>
  <c r="L11" i="105"/>
  <c r="K11" i="105"/>
  <c r="J10" i="105"/>
  <c r="J12" i="105"/>
  <c r="L6" i="105"/>
  <c r="K6" i="105"/>
  <c r="M6" i="105" s="1"/>
  <c r="N6" i="105" s="1"/>
  <c r="O6" i="105" s="1"/>
  <c r="H8" i="105"/>
  <c r="J8" i="105" s="1"/>
  <c r="J18" i="105"/>
  <c r="L7" i="105"/>
  <c r="K7" i="105"/>
  <c r="M7" i="105"/>
  <c r="N7" i="105" s="1"/>
  <c r="O7" i="105" s="1"/>
  <c r="H20" i="105"/>
  <c r="J17" i="105"/>
  <c r="L16" i="105"/>
  <c r="K16" i="105"/>
  <c r="M16" i="105"/>
  <c r="N16" i="105" s="1"/>
  <c r="O16" i="105" s="1"/>
  <c r="L9" i="104"/>
  <c r="M9" i="104"/>
  <c r="N9" i="104" s="1"/>
  <c r="O9" i="104" s="1"/>
  <c r="K9" i="104"/>
  <c r="M15" i="104"/>
  <c r="N15" i="104" s="1"/>
  <c r="O15" i="104" s="1"/>
  <c r="L15" i="104"/>
  <c r="K15" i="104"/>
  <c r="M14" i="104"/>
  <c r="N14" i="104" s="1"/>
  <c r="O14" i="104" s="1"/>
  <c r="L14" i="104"/>
  <c r="K14" i="104"/>
  <c r="J8" i="104"/>
  <c r="M18" i="104"/>
  <c r="N18" i="104" s="1"/>
  <c r="O18" i="104" s="1"/>
  <c r="L18" i="104"/>
  <c r="K18" i="104"/>
  <c r="H17" i="104"/>
  <c r="H20" i="104"/>
  <c r="J10" i="104"/>
  <c r="H16" i="104"/>
  <c r="J16" i="104" s="1"/>
  <c r="H12" i="104"/>
  <c r="J12" i="104" s="1"/>
  <c r="J11" i="104"/>
  <c r="L6" i="104"/>
  <c r="K6" i="104"/>
  <c r="M6" i="104" s="1"/>
  <c r="N6" i="104" s="1"/>
  <c r="O6" i="104" s="1"/>
  <c r="H23" i="102"/>
  <c r="I23" i="102" s="1"/>
  <c r="K15" i="102"/>
  <c r="L15" i="102" s="1"/>
  <c r="K7" i="102"/>
  <c r="L7" i="102" s="1"/>
  <c r="J14" i="102"/>
  <c r="H11" i="102"/>
  <c r="K17" i="102"/>
  <c r="L17" i="102" s="1"/>
  <c r="H8" i="102"/>
  <c r="I8" i="102" s="1"/>
  <c r="H9" i="102"/>
  <c r="I9" i="102" s="1"/>
  <c r="H10" i="102"/>
  <c r="I10" i="102" s="1"/>
  <c r="K17" i="101"/>
  <c r="L17" i="101" s="1"/>
  <c r="K10" i="101"/>
  <c r="L10" i="101" s="1"/>
  <c r="J8" i="101"/>
  <c r="H7" i="101"/>
  <c r="J13" i="101"/>
  <c r="H11" i="101"/>
  <c r="I11" i="101" s="1"/>
  <c r="J14" i="101"/>
  <c r="H15" i="101"/>
  <c r="J18" i="100"/>
  <c r="H16" i="100"/>
  <c r="I16" i="100" s="1"/>
  <c r="H12" i="100"/>
  <c r="I12" i="100" s="1"/>
  <c r="K14" i="100"/>
  <c r="L14" i="100" s="1"/>
  <c r="H17" i="100"/>
  <c r="I17" i="100" s="1"/>
  <c r="J9" i="100"/>
  <c r="H20" i="100"/>
  <c r="I20" i="100" s="1"/>
  <c r="H10" i="100"/>
  <c r="I10" i="100" s="1"/>
  <c r="B5" i="15"/>
  <c r="J19" i="101" l="1"/>
  <c r="K19" i="101" s="1"/>
  <c r="J51" i="122"/>
  <c r="J9" i="101"/>
  <c r="K9" i="101" s="1"/>
  <c r="L9" i="101" s="1"/>
  <c r="L27" i="103"/>
  <c r="J32" i="103"/>
  <c r="K32" i="103" s="1"/>
  <c r="L32" i="103" s="1"/>
  <c r="M10" i="103"/>
  <c r="N10" i="103" s="1"/>
  <c r="O10" i="103" s="1"/>
  <c r="K35" i="103"/>
  <c r="L35" i="103" s="1"/>
  <c r="L7" i="104"/>
  <c r="J13" i="103"/>
  <c r="K13" i="103" s="1"/>
  <c r="J34" i="103"/>
  <c r="K34" i="103" s="1"/>
  <c r="L34" i="103" s="1"/>
  <c r="K7" i="104"/>
  <c r="J12" i="103"/>
  <c r="K12" i="103" s="1"/>
  <c r="L12" i="103" s="1"/>
  <c r="J41" i="103"/>
  <c r="K41" i="103" s="1"/>
  <c r="J31" i="103"/>
  <c r="K31" i="103" s="1"/>
  <c r="L31" i="103" s="1"/>
  <c r="L23" i="103"/>
  <c r="J44" i="103"/>
  <c r="K44" i="103" s="1"/>
  <c r="L44" i="103" s="1"/>
  <c r="I38" i="103"/>
  <c r="J38" i="103" s="1"/>
  <c r="K38" i="103" s="1"/>
  <c r="L38" i="103" s="1"/>
  <c r="M36" i="103"/>
  <c r="N36" i="103" s="1"/>
  <c r="O36" i="103" s="1"/>
  <c r="H52" i="122"/>
  <c r="G52" i="122" s="1"/>
  <c r="I52" i="122" s="1"/>
  <c r="C53" i="122" s="1"/>
  <c r="M20" i="114"/>
  <c r="N20" i="114" s="1"/>
  <c r="O20" i="114" s="1"/>
  <c r="K17" i="114"/>
  <c r="L17" i="114" s="1"/>
  <c r="I13" i="114"/>
  <c r="J13" i="114" s="1"/>
  <c r="I16" i="114"/>
  <c r="J16" i="114" s="1"/>
  <c r="N42" i="103"/>
  <c r="O42" i="103" s="1"/>
  <c r="M40" i="103"/>
  <c r="M39" i="103"/>
  <c r="K33" i="103"/>
  <c r="M33" i="103" s="1"/>
  <c r="K30" i="103"/>
  <c r="L30" i="103" s="1"/>
  <c r="K28" i="103"/>
  <c r="L28" i="103" s="1"/>
  <c r="N27" i="103"/>
  <c r="O27" i="103" s="1"/>
  <c r="M26" i="103"/>
  <c r="J25" i="103"/>
  <c r="K24" i="103"/>
  <c r="L24" i="103" s="1"/>
  <c r="N23" i="103"/>
  <c r="O23" i="103" s="1"/>
  <c r="J16" i="103"/>
  <c r="N15" i="103"/>
  <c r="O15" i="103" s="1"/>
  <c r="L15" i="103"/>
  <c r="J14" i="103"/>
  <c r="K11" i="103"/>
  <c r="M11" i="103" s="1"/>
  <c r="M17" i="101"/>
  <c r="N17" i="101" s="1"/>
  <c r="O17" i="101" s="1"/>
  <c r="M10" i="101"/>
  <c r="N10" i="101" s="1"/>
  <c r="O10" i="101" s="1"/>
  <c r="J11" i="101"/>
  <c r="K11" i="101" s="1"/>
  <c r="L11" i="101" s="1"/>
  <c r="I15" i="101"/>
  <c r="J15" i="101" s="1"/>
  <c r="M14" i="100"/>
  <c r="N14" i="100" s="1"/>
  <c r="O14" i="100" s="1"/>
  <c r="J7" i="100"/>
  <c r="K7" i="100" s="1"/>
  <c r="L7" i="100" s="1"/>
  <c r="K15" i="100"/>
  <c r="L15" i="100" s="1"/>
  <c r="J16" i="100"/>
  <c r="M11" i="9"/>
  <c r="N11" i="9" s="1"/>
  <c r="O11" i="9" s="1"/>
  <c r="M7" i="102"/>
  <c r="N7" i="102" s="1"/>
  <c r="O7" i="102" s="1"/>
  <c r="M17" i="102"/>
  <c r="M15" i="102"/>
  <c r="K16" i="102"/>
  <c r="L16" i="102" s="1"/>
  <c r="J10" i="102"/>
  <c r="I11" i="102"/>
  <c r="J11" i="102" s="1"/>
  <c r="O6" i="9"/>
  <c r="J46" i="117"/>
  <c r="K46" i="117" s="1"/>
  <c r="K48" i="117" s="1"/>
  <c r="K51" i="117" s="1"/>
  <c r="K52" i="117" s="1"/>
  <c r="L6" i="103"/>
  <c r="L6" i="9"/>
  <c r="I7" i="101"/>
  <c r="J7" i="101" s="1"/>
  <c r="J6" i="101"/>
  <c r="J23" i="102"/>
  <c r="K7" i="103"/>
  <c r="L7" i="103" s="1"/>
  <c r="K12" i="9"/>
  <c r="M12" i="9" s="1"/>
  <c r="N12" i="9" s="1"/>
  <c r="O12" i="9" s="1"/>
  <c r="K9" i="9"/>
  <c r="L9" i="9" s="1"/>
  <c r="K10" i="9"/>
  <c r="L10" i="9" s="1"/>
  <c r="K13" i="9"/>
  <c r="L13" i="9" s="1"/>
  <c r="K14" i="9"/>
  <c r="L14" i="9" s="1"/>
  <c r="K7" i="114"/>
  <c r="L7" i="114" s="1"/>
  <c r="K22" i="114"/>
  <c r="L22" i="114" s="1"/>
  <c r="K6" i="114"/>
  <c r="L6" i="114" s="1"/>
  <c r="K8" i="114"/>
  <c r="L8" i="114" s="1"/>
  <c r="K18" i="114"/>
  <c r="L18" i="114" s="1"/>
  <c r="K19" i="114"/>
  <c r="L19" i="114" s="1"/>
  <c r="M9" i="113"/>
  <c r="N9" i="113" s="1"/>
  <c r="O9" i="113" s="1"/>
  <c r="L9" i="113"/>
  <c r="K9" i="113"/>
  <c r="M12" i="113"/>
  <c r="N12" i="113" s="1"/>
  <c r="O12" i="113" s="1"/>
  <c r="L12" i="113"/>
  <c r="K12" i="113"/>
  <c r="K10" i="113"/>
  <c r="M10" i="113"/>
  <c r="N10" i="113" s="1"/>
  <c r="O10" i="113" s="1"/>
  <c r="L10" i="113"/>
  <c r="L17" i="113"/>
  <c r="M17" i="113"/>
  <c r="N17" i="113" s="1"/>
  <c r="O17" i="113" s="1"/>
  <c r="K17" i="113"/>
  <c r="M14" i="113"/>
  <c r="N14" i="113" s="1"/>
  <c r="O14" i="113" s="1"/>
  <c r="L14" i="113"/>
  <c r="K14" i="113"/>
  <c r="J20" i="113"/>
  <c r="M12" i="112"/>
  <c r="N12" i="112" s="1"/>
  <c r="O12" i="112" s="1"/>
  <c r="L12" i="112"/>
  <c r="K12" i="112"/>
  <c r="L15" i="112"/>
  <c r="M15" i="112"/>
  <c r="N15" i="112" s="1"/>
  <c r="O15" i="112" s="1"/>
  <c r="K15" i="112"/>
  <c r="M11" i="112"/>
  <c r="N11" i="112" s="1"/>
  <c r="O11" i="112" s="1"/>
  <c r="L11" i="112"/>
  <c r="K11" i="112"/>
  <c r="K17" i="112"/>
  <c r="M17" i="112"/>
  <c r="N17" i="112" s="1"/>
  <c r="O17" i="112" s="1"/>
  <c r="L17" i="112"/>
  <c r="L7" i="112"/>
  <c r="K7" i="112"/>
  <c r="M7" i="112"/>
  <c r="N7" i="112" s="1"/>
  <c r="O7" i="112" s="1"/>
  <c r="K10" i="112"/>
  <c r="M10" i="112"/>
  <c r="N10" i="112" s="1"/>
  <c r="O10" i="112" s="1"/>
  <c r="L10" i="112"/>
  <c r="L16" i="112"/>
  <c r="K16" i="112"/>
  <c r="M16" i="112"/>
  <c r="N16" i="112" s="1"/>
  <c r="O16" i="112" s="1"/>
  <c r="K20" i="112"/>
  <c r="L20" i="112"/>
  <c r="M20" i="112"/>
  <c r="N20" i="112" s="1"/>
  <c r="O20" i="112" s="1"/>
  <c r="K8" i="112"/>
  <c r="M8" i="112"/>
  <c r="N8" i="112" s="1"/>
  <c r="O8" i="112" s="1"/>
  <c r="L8" i="112"/>
  <c r="M18" i="111"/>
  <c r="N18" i="111" s="1"/>
  <c r="O18" i="111" s="1"/>
  <c r="L18" i="111"/>
  <c r="K18" i="111"/>
  <c r="M12" i="111"/>
  <c r="N12" i="111" s="1"/>
  <c r="O12" i="111" s="1"/>
  <c r="L12" i="111"/>
  <c r="K12" i="111"/>
  <c r="L16" i="111"/>
  <c r="M16" i="111"/>
  <c r="N16" i="111" s="1"/>
  <c r="O16" i="111" s="1"/>
  <c r="K16" i="111"/>
  <c r="M11" i="111"/>
  <c r="N11" i="111" s="1"/>
  <c r="O11" i="111" s="1"/>
  <c r="L11" i="111"/>
  <c r="K11" i="111"/>
  <c r="K10" i="111"/>
  <c r="L10" i="111"/>
  <c r="M10" i="111"/>
  <c r="N10" i="111" s="1"/>
  <c r="O10" i="111" s="1"/>
  <c r="K20" i="111"/>
  <c r="M20" i="111"/>
  <c r="N20" i="111" s="1"/>
  <c r="O20" i="111" s="1"/>
  <c r="L20" i="111"/>
  <c r="K10" i="109"/>
  <c r="L10" i="109"/>
  <c r="M10" i="109"/>
  <c r="N10" i="109" s="1"/>
  <c r="O10" i="109" s="1"/>
  <c r="M12" i="109"/>
  <c r="N12" i="109" s="1"/>
  <c r="O12" i="109" s="1"/>
  <c r="K12" i="109"/>
  <c r="L12" i="109"/>
  <c r="M17" i="109"/>
  <c r="N17" i="109" s="1"/>
  <c r="O17" i="109" s="1"/>
  <c r="K17" i="109"/>
  <c r="L17" i="109"/>
  <c r="J11" i="109"/>
  <c r="J20" i="109"/>
  <c r="J7" i="109"/>
  <c r="K8" i="109"/>
  <c r="M8" i="109"/>
  <c r="N8" i="109" s="1"/>
  <c r="O8" i="109" s="1"/>
  <c r="L8" i="109"/>
  <c r="J16" i="109"/>
  <c r="M9" i="108"/>
  <c r="N9" i="108" s="1"/>
  <c r="O9" i="108" s="1"/>
  <c r="L9" i="108"/>
  <c r="K9" i="108"/>
  <c r="J10" i="108"/>
  <c r="M8" i="108"/>
  <c r="N8" i="108" s="1"/>
  <c r="O8" i="108" s="1"/>
  <c r="L8" i="108"/>
  <c r="K8" i="108"/>
  <c r="K20" i="108"/>
  <c r="M20" i="108"/>
  <c r="N20" i="108" s="1"/>
  <c r="O20" i="108" s="1"/>
  <c r="L20" i="108"/>
  <c r="M17" i="108"/>
  <c r="N17" i="108" s="1"/>
  <c r="O17" i="108" s="1"/>
  <c r="L17" i="108"/>
  <c r="K17" i="108"/>
  <c r="M14" i="108"/>
  <c r="N14" i="108" s="1"/>
  <c r="O14" i="108" s="1"/>
  <c r="L14" i="108"/>
  <c r="K14" i="108"/>
  <c r="M12" i="108"/>
  <c r="N12" i="108" s="1"/>
  <c r="O12" i="108" s="1"/>
  <c r="L12" i="108"/>
  <c r="K12" i="108"/>
  <c r="L7" i="108"/>
  <c r="K7" i="108"/>
  <c r="M7" i="108"/>
  <c r="N7" i="108" s="1"/>
  <c r="O7" i="108" s="1"/>
  <c r="K20" i="107"/>
  <c r="M20" i="107"/>
  <c r="N20" i="107" s="1"/>
  <c r="O20" i="107" s="1"/>
  <c r="L20" i="107"/>
  <c r="L14" i="107"/>
  <c r="K14" i="107"/>
  <c r="M14" i="107"/>
  <c r="N14" i="107" s="1"/>
  <c r="O14" i="107" s="1"/>
  <c r="K18" i="107"/>
  <c r="M18" i="107"/>
  <c r="N18" i="107" s="1"/>
  <c r="O18" i="107" s="1"/>
  <c r="L18" i="107"/>
  <c r="K10" i="107"/>
  <c r="M10" i="107"/>
  <c r="N10" i="107" s="1"/>
  <c r="O10" i="107" s="1"/>
  <c r="L10" i="107"/>
  <c r="J8" i="107"/>
  <c r="K17" i="107"/>
  <c r="M17" i="107"/>
  <c r="N17" i="107" s="1"/>
  <c r="O17" i="107" s="1"/>
  <c r="L17" i="107"/>
  <c r="K9" i="107"/>
  <c r="M9" i="107"/>
  <c r="N9" i="107" s="1"/>
  <c r="O9" i="107" s="1"/>
  <c r="L9" i="107"/>
  <c r="L7" i="107"/>
  <c r="K7" i="107"/>
  <c r="M7" i="107"/>
  <c r="N7" i="107" s="1"/>
  <c r="O7" i="107" s="1"/>
  <c r="J16" i="107"/>
  <c r="K11" i="106"/>
  <c r="L11" i="106"/>
  <c r="M11" i="106"/>
  <c r="N11" i="106" s="1"/>
  <c r="O11" i="106" s="1"/>
  <c r="K14" i="106"/>
  <c r="L14" i="106"/>
  <c r="M14" i="106"/>
  <c r="N14" i="106" s="1"/>
  <c r="O14" i="106" s="1"/>
  <c r="K20" i="106"/>
  <c r="M20" i="106"/>
  <c r="N20" i="106" s="1"/>
  <c r="O20" i="106" s="1"/>
  <c r="L20" i="106"/>
  <c r="M8" i="106"/>
  <c r="N8" i="106" s="1"/>
  <c r="O8" i="106" s="1"/>
  <c r="L8" i="106"/>
  <c r="K8" i="106"/>
  <c r="L16" i="106"/>
  <c r="M16" i="106"/>
  <c r="N16" i="106" s="1"/>
  <c r="O16" i="106" s="1"/>
  <c r="K16" i="106"/>
  <c r="M9" i="106"/>
  <c r="N9" i="106" s="1"/>
  <c r="O9" i="106" s="1"/>
  <c r="L9" i="106"/>
  <c r="K9" i="106"/>
  <c r="L7" i="106"/>
  <c r="K7" i="106"/>
  <c r="M7" i="106"/>
  <c r="N7" i="106" s="1"/>
  <c r="O7" i="106" s="1"/>
  <c r="M18" i="106"/>
  <c r="N18" i="106" s="1"/>
  <c r="O18" i="106" s="1"/>
  <c r="L18" i="106"/>
  <c r="K18" i="106"/>
  <c r="K17" i="106"/>
  <c r="L17" i="106"/>
  <c r="M17" i="106"/>
  <c r="N17" i="106" s="1"/>
  <c r="O17" i="106" s="1"/>
  <c r="M12" i="106"/>
  <c r="N12" i="106" s="1"/>
  <c r="O12" i="106" s="1"/>
  <c r="L12" i="106"/>
  <c r="K12" i="106"/>
  <c r="M8" i="105"/>
  <c r="N8" i="105" s="1"/>
  <c r="O8" i="105" s="1"/>
  <c r="L8" i="105"/>
  <c r="K8" i="105"/>
  <c r="K10" i="105"/>
  <c r="M10" i="105"/>
  <c r="N10" i="105" s="1"/>
  <c r="O10" i="105" s="1"/>
  <c r="L10" i="105"/>
  <c r="M12" i="105"/>
  <c r="N12" i="105" s="1"/>
  <c r="O12" i="105" s="1"/>
  <c r="L12" i="105"/>
  <c r="K12" i="105"/>
  <c r="M14" i="105"/>
  <c r="N14" i="105" s="1"/>
  <c r="O14" i="105" s="1"/>
  <c r="L14" i="105"/>
  <c r="K14" i="105"/>
  <c r="M15" i="105"/>
  <c r="N15" i="105" s="1"/>
  <c r="O15" i="105" s="1"/>
  <c r="L15" i="105"/>
  <c r="K15" i="105"/>
  <c r="M18" i="105"/>
  <c r="N18" i="105" s="1"/>
  <c r="O18" i="105" s="1"/>
  <c r="L18" i="105"/>
  <c r="K18" i="105"/>
  <c r="M17" i="105"/>
  <c r="N17" i="105" s="1"/>
  <c r="O17" i="105" s="1"/>
  <c r="L17" i="105"/>
  <c r="K17" i="105"/>
  <c r="J20" i="105"/>
  <c r="M12" i="104"/>
  <c r="N12" i="104" s="1"/>
  <c r="O12" i="104" s="1"/>
  <c r="L12" i="104"/>
  <c r="K12" i="104"/>
  <c r="L16" i="104"/>
  <c r="K16" i="104"/>
  <c r="M16" i="104"/>
  <c r="N16" i="104" s="1"/>
  <c r="O16" i="104" s="1"/>
  <c r="J17" i="104"/>
  <c r="K8" i="104"/>
  <c r="M8" i="104"/>
  <c r="N8" i="104" s="1"/>
  <c r="O8" i="104" s="1"/>
  <c r="L8" i="104"/>
  <c r="J20" i="104"/>
  <c r="M11" i="104"/>
  <c r="N11" i="104" s="1"/>
  <c r="O11" i="104" s="1"/>
  <c r="L11" i="104"/>
  <c r="K11" i="104"/>
  <c r="K10" i="104"/>
  <c r="L10" i="104"/>
  <c r="M10" i="104"/>
  <c r="N10" i="104" s="1"/>
  <c r="O10" i="104" s="1"/>
  <c r="K14" i="102"/>
  <c r="L14" i="102" s="1"/>
  <c r="J8" i="102"/>
  <c r="J9" i="102"/>
  <c r="K13" i="101"/>
  <c r="L13" i="101" s="1"/>
  <c r="K16" i="101"/>
  <c r="L16" i="101" s="1"/>
  <c r="K8" i="101"/>
  <c r="L8" i="101" s="1"/>
  <c r="K14" i="101"/>
  <c r="L14" i="101" s="1"/>
  <c r="K9" i="100"/>
  <c r="L9" i="100" s="1"/>
  <c r="K8" i="100"/>
  <c r="L8" i="100" s="1"/>
  <c r="K11" i="100"/>
  <c r="L11" i="100" s="1"/>
  <c r="J12" i="100"/>
  <c r="J17" i="100"/>
  <c r="K18" i="100"/>
  <c r="L18" i="100" s="1"/>
  <c r="J10" i="100"/>
  <c r="J20" i="100"/>
  <c r="F57" i="1"/>
  <c r="J52" i="122" l="1"/>
  <c r="M32" i="103"/>
  <c r="N32" i="103" s="1"/>
  <c r="O32" i="103" s="1"/>
  <c r="M13" i="103"/>
  <c r="N13" i="103" s="1"/>
  <c r="O13" i="103" s="1"/>
  <c r="M28" i="103"/>
  <c r="N28" i="103" s="1"/>
  <c r="O28" i="103" s="1"/>
  <c r="M44" i="103"/>
  <c r="N44" i="103" s="1"/>
  <c r="O44" i="103" s="1"/>
  <c r="L13" i="103"/>
  <c r="M34" i="103"/>
  <c r="N34" i="103" s="1"/>
  <c r="O34" i="103" s="1"/>
  <c r="L11" i="103"/>
  <c r="M30" i="103"/>
  <c r="N30" i="103" s="1"/>
  <c r="O30" i="103" s="1"/>
  <c r="H53" i="122"/>
  <c r="G53" i="122" s="1"/>
  <c r="I53" i="122" s="1"/>
  <c r="C54" i="122" s="1"/>
  <c r="M31" i="103"/>
  <c r="N31" i="103" s="1"/>
  <c r="O31" i="103" s="1"/>
  <c r="M24" i="103"/>
  <c r="N24" i="103" s="1"/>
  <c r="O24" i="103" s="1"/>
  <c r="L41" i="103"/>
  <c r="M41" i="103"/>
  <c r="N41" i="103" s="1"/>
  <c r="O41" i="103" s="1"/>
  <c r="M35" i="103"/>
  <c r="N35" i="103" s="1"/>
  <c r="O35" i="103" s="1"/>
  <c r="M12" i="103"/>
  <c r="N12" i="103" s="1"/>
  <c r="O12" i="103" s="1"/>
  <c r="L33" i="103"/>
  <c r="M22" i="114"/>
  <c r="N22" i="114" s="1"/>
  <c r="O22" i="114" s="1"/>
  <c r="M19" i="114"/>
  <c r="N19" i="114" s="1"/>
  <c r="O19" i="114" s="1"/>
  <c r="M18" i="114"/>
  <c r="N18" i="114" s="1"/>
  <c r="O18" i="114" s="1"/>
  <c r="M17" i="114"/>
  <c r="N17" i="114" s="1"/>
  <c r="O17" i="114" s="1"/>
  <c r="M8" i="114"/>
  <c r="N8" i="114" s="1"/>
  <c r="O8" i="114" s="1"/>
  <c r="M7" i="114"/>
  <c r="N7" i="114" s="1"/>
  <c r="O7" i="114" s="1"/>
  <c r="M6" i="114"/>
  <c r="N6" i="114" s="1"/>
  <c r="O6" i="114" s="1"/>
  <c r="K16" i="114"/>
  <c r="L16" i="114" s="1"/>
  <c r="K13" i="114"/>
  <c r="L13" i="114" s="1"/>
  <c r="N40" i="103"/>
  <c r="O40" i="103" s="1"/>
  <c r="N39" i="103"/>
  <c r="O39" i="103" s="1"/>
  <c r="M38" i="103"/>
  <c r="N33" i="103"/>
  <c r="O33" i="103" s="1"/>
  <c r="N26" i="103"/>
  <c r="O26" i="103" s="1"/>
  <c r="K25" i="103"/>
  <c r="M25" i="103" s="1"/>
  <c r="K16" i="103"/>
  <c r="L16" i="103" s="1"/>
  <c r="K14" i="103"/>
  <c r="L14" i="103" s="1"/>
  <c r="N11" i="103"/>
  <c r="O11" i="103" s="1"/>
  <c r="M7" i="103"/>
  <c r="M19" i="101"/>
  <c r="N19" i="101" s="1"/>
  <c r="O19" i="101" s="1"/>
  <c r="M16" i="101"/>
  <c r="N16" i="101" s="1"/>
  <c r="O16" i="101" s="1"/>
  <c r="M14" i="101"/>
  <c r="N14" i="101" s="1"/>
  <c r="O14" i="101" s="1"/>
  <c r="M13" i="101"/>
  <c r="N13" i="101" s="1"/>
  <c r="O13" i="101" s="1"/>
  <c r="M11" i="101"/>
  <c r="N11" i="101" s="1"/>
  <c r="O11" i="101" s="1"/>
  <c r="M9" i="101"/>
  <c r="N9" i="101" s="1"/>
  <c r="O9" i="101" s="1"/>
  <c r="M8" i="101"/>
  <c r="N8" i="101" s="1"/>
  <c r="O8" i="101" s="1"/>
  <c r="K15" i="101"/>
  <c r="L15" i="101" s="1"/>
  <c r="L19" i="101"/>
  <c r="M8" i="100"/>
  <c r="N8" i="100" s="1"/>
  <c r="O8" i="100" s="1"/>
  <c r="M18" i="100"/>
  <c r="N18" i="100" s="1"/>
  <c r="O18" i="100" s="1"/>
  <c r="K16" i="100"/>
  <c r="L16" i="100" s="1"/>
  <c r="M15" i="100"/>
  <c r="N15" i="100" s="1"/>
  <c r="O15" i="100" s="1"/>
  <c r="M9" i="100"/>
  <c r="N9" i="100" s="1"/>
  <c r="O9" i="100" s="1"/>
  <c r="M7" i="100"/>
  <c r="N7" i="100" s="1"/>
  <c r="O7" i="100" s="1"/>
  <c r="M11" i="100"/>
  <c r="N11" i="100" s="1"/>
  <c r="O11" i="100" s="1"/>
  <c r="M14" i="9"/>
  <c r="N14" i="9" s="1"/>
  <c r="O14" i="9" s="1"/>
  <c r="L12" i="9"/>
  <c r="M9" i="9"/>
  <c r="N9" i="9" s="1"/>
  <c r="O9" i="9" s="1"/>
  <c r="M13" i="9"/>
  <c r="N13" i="9" s="1"/>
  <c r="O13" i="9" s="1"/>
  <c r="M10" i="9"/>
  <c r="N10" i="9" s="1"/>
  <c r="O10" i="9" s="1"/>
  <c r="N15" i="102"/>
  <c r="O15" i="102" s="1"/>
  <c r="N17" i="102"/>
  <c r="O17" i="102" s="1"/>
  <c r="K10" i="102"/>
  <c r="L10" i="102" s="1"/>
  <c r="K23" i="102"/>
  <c r="L23" i="102" s="1"/>
  <c r="M16" i="102"/>
  <c r="M14" i="102"/>
  <c r="K11" i="102"/>
  <c r="L11" i="102" s="1"/>
  <c r="K7" i="101"/>
  <c r="L7" i="101" s="1"/>
  <c r="K6" i="101"/>
  <c r="L6" i="101" s="1"/>
  <c r="O22" i="112"/>
  <c r="L22" i="112"/>
  <c r="O22" i="111"/>
  <c r="L22" i="111"/>
  <c r="L22" i="106"/>
  <c r="O22" i="106"/>
  <c r="K20" i="113"/>
  <c r="M20" i="113"/>
  <c r="N20" i="113" s="1"/>
  <c r="O20" i="113" s="1"/>
  <c r="O22" i="113" s="1"/>
  <c r="L20" i="113"/>
  <c r="L22" i="113" s="1"/>
  <c r="L16" i="109"/>
  <c r="K16" i="109"/>
  <c r="M16" i="109"/>
  <c r="N16" i="109" s="1"/>
  <c r="O16" i="109" s="1"/>
  <c r="L7" i="109"/>
  <c r="K7" i="109"/>
  <c r="M7" i="109"/>
  <c r="N7" i="109" s="1"/>
  <c r="O7" i="109" s="1"/>
  <c r="M11" i="109"/>
  <c r="N11" i="109" s="1"/>
  <c r="O11" i="109" s="1"/>
  <c r="L11" i="109"/>
  <c r="K11" i="109"/>
  <c r="K20" i="109"/>
  <c r="M20" i="109"/>
  <c r="N20" i="109" s="1"/>
  <c r="O20" i="109" s="1"/>
  <c r="L20" i="109"/>
  <c r="K10" i="108"/>
  <c r="L10" i="108"/>
  <c r="L22" i="108" s="1"/>
  <c r="M10" i="108"/>
  <c r="N10" i="108" s="1"/>
  <c r="O10" i="108" s="1"/>
  <c r="O22" i="108" s="1"/>
  <c r="L16" i="107"/>
  <c r="K16" i="107"/>
  <c r="M16" i="107"/>
  <c r="N16" i="107" s="1"/>
  <c r="O16" i="107" s="1"/>
  <c r="L8" i="107"/>
  <c r="K8" i="107"/>
  <c r="M8" i="107"/>
  <c r="N8" i="107" s="1"/>
  <c r="O8" i="107" s="1"/>
  <c r="K20" i="105"/>
  <c r="M20" i="105"/>
  <c r="N20" i="105" s="1"/>
  <c r="O20" i="105" s="1"/>
  <c r="O22" i="105" s="1"/>
  <c r="L20" i="105"/>
  <c r="L22" i="105" s="1"/>
  <c r="K20" i="104"/>
  <c r="L20" i="104"/>
  <c r="M20" i="104"/>
  <c r="N20" i="104" s="1"/>
  <c r="O20" i="104" s="1"/>
  <c r="M17" i="104"/>
  <c r="N17" i="104" s="1"/>
  <c r="O17" i="104" s="1"/>
  <c r="L17" i="104"/>
  <c r="K17" i="104"/>
  <c r="K9" i="102"/>
  <c r="L9" i="102" s="1"/>
  <c r="K8" i="102"/>
  <c r="L8" i="102" s="1"/>
  <c r="K17" i="100"/>
  <c r="L17" i="100" s="1"/>
  <c r="K20" i="100"/>
  <c r="L20" i="100" s="1"/>
  <c r="K12" i="100"/>
  <c r="L12" i="100" s="1"/>
  <c r="K10" i="100"/>
  <c r="L10" i="100" s="1"/>
  <c r="I23" i="119"/>
  <c r="J23" i="119" s="1"/>
  <c r="L25" i="103" l="1"/>
  <c r="O23" i="106"/>
  <c r="M16" i="103"/>
  <c r="N16" i="103" s="1"/>
  <c r="O16" i="103" s="1"/>
  <c r="O23" i="111"/>
  <c r="M23" i="102"/>
  <c r="N23" i="102" s="1"/>
  <c r="O23" i="102" s="1"/>
  <c r="J53" i="122"/>
  <c r="M16" i="100"/>
  <c r="N16" i="100" s="1"/>
  <c r="O16" i="100" s="1"/>
  <c r="L24" i="114"/>
  <c r="C11" i="120" s="1"/>
  <c r="C18" i="120" s="1"/>
  <c r="O22" i="107"/>
  <c r="M14" i="103"/>
  <c r="N14" i="103" s="1"/>
  <c r="O14" i="103" s="1"/>
  <c r="H54" i="122"/>
  <c r="G54" i="122" s="1"/>
  <c r="I54" i="122" s="1"/>
  <c r="C55" i="122" s="1"/>
  <c r="I22" i="119"/>
  <c r="J22" i="119" s="1"/>
  <c r="J18" i="117"/>
  <c r="K18" i="117" s="1"/>
  <c r="K22" i="117"/>
  <c r="J19" i="117"/>
  <c r="K19" i="117" s="1"/>
  <c r="K20" i="117"/>
  <c r="K21" i="117"/>
  <c r="M16" i="114"/>
  <c r="N16" i="114" s="1"/>
  <c r="O16" i="114" s="1"/>
  <c r="M13" i="114"/>
  <c r="N13" i="114" s="1"/>
  <c r="O13" i="114" s="1"/>
  <c r="N38" i="103"/>
  <c r="O38" i="103" s="1"/>
  <c r="N25" i="103"/>
  <c r="O25" i="103" s="1"/>
  <c r="N7" i="103"/>
  <c r="O7" i="103" s="1"/>
  <c r="M15" i="101"/>
  <c r="N15" i="101" s="1"/>
  <c r="O15" i="101" s="1"/>
  <c r="M7" i="101"/>
  <c r="N7" i="101" s="1"/>
  <c r="O7" i="101" s="1"/>
  <c r="M6" i="101"/>
  <c r="N6" i="101" s="1"/>
  <c r="O6" i="101" s="1"/>
  <c r="M20" i="100"/>
  <c r="N20" i="100" s="1"/>
  <c r="O20" i="100" s="1"/>
  <c r="M10" i="100"/>
  <c r="N10" i="100" s="1"/>
  <c r="O10" i="100" s="1"/>
  <c r="M12" i="100"/>
  <c r="N12" i="100" s="1"/>
  <c r="O12" i="100" s="1"/>
  <c r="M17" i="100"/>
  <c r="N17" i="100" s="1"/>
  <c r="O17" i="100" s="1"/>
  <c r="N16" i="102"/>
  <c r="O16" i="102" s="1"/>
  <c r="N14" i="102"/>
  <c r="O14" i="102" s="1"/>
  <c r="M8" i="102"/>
  <c r="N8" i="102" s="1"/>
  <c r="M9" i="102"/>
  <c r="N9" i="102" s="1"/>
  <c r="J23" i="117" s="1"/>
  <c r="K23" i="117" s="1"/>
  <c r="M11" i="102"/>
  <c r="N11" i="102" s="1"/>
  <c r="M10" i="102"/>
  <c r="N10" i="102" s="1"/>
  <c r="F11" i="15"/>
  <c r="G11" i="15" s="1"/>
  <c r="L22" i="104"/>
  <c r="O22" i="104"/>
  <c r="L22" i="107"/>
  <c r="O23" i="113"/>
  <c r="O23" i="112"/>
  <c r="O23" i="108"/>
  <c r="O22" i="109"/>
  <c r="L22" i="109"/>
  <c r="O23" i="105"/>
  <c r="J74" i="119" l="1"/>
  <c r="J75" i="119" s="1"/>
  <c r="L74" i="119"/>
  <c r="F11" i="120"/>
  <c r="G11" i="120" s="1"/>
  <c r="O24" i="114"/>
  <c r="O25" i="114" s="1"/>
  <c r="O23" i="107"/>
  <c r="H55" i="122"/>
  <c r="G55" i="122" s="1"/>
  <c r="I55" i="122" s="1"/>
  <c r="C56" i="122" s="1"/>
  <c r="O23" i="104"/>
  <c r="J54" i="122"/>
  <c r="O9" i="102"/>
  <c r="O8" i="102"/>
  <c r="O10" i="102"/>
  <c r="J24" i="117"/>
  <c r="K24" i="117" s="1"/>
  <c r="J25" i="117"/>
  <c r="K25" i="117" s="1"/>
  <c r="O11" i="102"/>
  <c r="O23" i="109"/>
  <c r="J55" i="122" l="1"/>
  <c r="H56" i="122"/>
  <c r="G56" i="122" s="1"/>
  <c r="I56" i="122" s="1"/>
  <c r="C57" i="122" s="1"/>
  <c r="K27" i="117"/>
  <c r="J56" i="122" l="1"/>
  <c r="H57" i="122"/>
  <c r="G57" i="122" s="1"/>
  <c r="I57" i="122" s="1"/>
  <c r="C58" i="122" s="1"/>
  <c r="H58" i="122" l="1"/>
  <c r="G58" i="122" s="1"/>
  <c r="I58" i="122" s="1"/>
  <c r="C59" i="122" s="1"/>
  <c r="J57" i="122"/>
  <c r="J58" i="122" l="1"/>
  <c r="H59" i="122"/>
  <c r="G59" i="122" s="1"/>
  <c r="I59" i="122" s="1"/>
  <c r="C60" i="122" s="1"/>
  <c r="H60" i="122" l="1"/>
  <c r="G60" i="122" s="1"/>
  <c r="I60" i="122" s="1"/>
  <c r="C61" i="122" s="1"/>
  <c r="J59" i="122"/>
  <c r="J60" i="122" l="1"/>
  <c r="H61" i="122"/>
  <c r="G61" i="122" s="1"/>
  <c r="I61" i="122" s="1"/>
  <c r="C62" i="122" s="1"/>
  <c r="J61" i="122" l="1"/>
  <c r="H62" i="122"/>
  <c r="G62" i="122" s="1"/>
  <c r="I62" i="122" s="1"/>
  <c r="C63" i="122" s="1"/>
  <c r="J62" i="122" l="1"/>
  <c r="H63" i="122"/>
  <c r="G63" i="122" s="1"/>
  <c r="I63" i="122" s="1"/>
  <c r="C64" i="122" s="1"/>
  <c r="H64" i="122" l="1"/>
  <c r="G64" i="122" s="1"/>
  <c r="I64" i="122" s="1"/>
  <c r="C65" i="122" s="1"/>
  <c r="J63" i="122"/>
  <c r="J64" i="122" l="1"/>
  <c r="H65" i="122"/>
  <c r="G65" i="122" s="1"/>
  <c r="I65" i="122" s="1"/>
  <c r="C66" i="122" s="1"/>
  <c r="H66" i="122" l="1"/>
  <c r="J65" i="122"/>
  <c r="J66" i="122" s="1"/>
  <c r="G66" i="122" l="1"/>
  <c r="I66" i="122" s="1"/>
  <c r="J9" i="122"/>
  <c r="K12" i="122" s="1"/>
  <c r="F10" i="15" l="1"/>
  <c r="G10" i="15" l="1"/>
  <c r="E7" i="9" l="1"/>
  <c r="G7" i="9"/>
  <c r="E8" i="9"/>
  <c r="G8" i="9"/>
  <c r="E15" i="9"/>
  <c r="G15" i="9"/>
  <c r="H8" i="9" l="1"/>
  <c r="I8" i="9" s="1"/>
  <c r="H15" i="9"/>
  <c r="H7" i="9"/>
  <c r="I7" i="9" s="1"/>
  <c r="I15" i="9" l="1"/>
  <c r="J15" i="9" s="1"/>
  <c r="J7" i="9"/>
  <c r="K7" i="9" s="1"/>
  <c r="L7" i="9" s="1"/>
  <c r="J8" i="9"/>
  <c r="K8" i="9" s="1"/>
  <c r="L8" i="9" s="1"/>
  <c r="M8" i="9" l="1"/>
  <c r="N8" i="9" s="1"/>
  <c r="M7" i="9"/>
  <c r="N7" i="9" s="1"/>
  <c r="K15" i="9"/>
  <c r="L15" i="9" s="1"/>
  <c r="M15" i="9" l="1"/>
  <c r="N15" i="9" s="1"/>
  <c r="H42" i="59"/>
  <c r="I42" i="59" s="1"/>
  <c r="J42" i="59" s="1"/>
  <c r="K42" i="59" s="1"/>
  <c r="K34" i="59"/>
  <c r="J34" i="59"/>
  <c r="I34" i="59"/>
  <c r="H34" i="59"/>
  <c r="G34" i="59"/>
  <c r="K27" i="59"/>
  <c r="J27" i="59"/>
  <c r="I27" i="59"/>
  <c r="H27" i="59"/>
  <c r="G27" i="59"/>
  <c r="I13" i="59"/>
  <c r="J13" i="59" s="1"/>
  <c r="K13" i="59" s="1"/>
  <c r="O15" i="9" l="1"/>
  <c r="O8" i="9"/>
  <c r="O7" i="9"/>
  <c r="B4" i="15" l="1"/>
  <c r="J76" i="119" l="1"/>
  <c r="E6" i="9"/>
  <c r="E17" i="9" s="1"/>
  <c r="L17" i="9" l="1"/>
  <c r="C5" i="15" l="1"/>
  <c r="F5" i="15" s="1"/>
  <c r="G5" i="15" s="1"/>
  <c r="C5" i="120"/>
  <c r="O17" i="9"/>
  <c r="O18" i="9" s="1"/>
  <c r="F5" i="120" l="1"/>
  <c r="G5" i="120" l="1"/>
  <c r="M57" i="1"/>
  <c r="C4" i="15" s="1"/>
  <c r="P57" i="1"/>
  <c r="K74" i="119" l="1"/>
  <c r="K74" i="124"/>
  <c r="P58" i="1"/>
  <c r="F4" i="15"/>
  <c r="G4" i="15" l="1"/>
  <c r="F10" i="83" l="1"/>
  <c r="F4" i="83"/>
  <c r="F8" i="83"/>
  <c r="F9" i="83"/>
  <c r="F13" i="83"/>
  <c r="F12" i="83"/>
  <c r="F7" i="83"/>
  <c r="F6" i="83"/>
  <c r="F5" i="83"/>
  <c r="F11" i="83"/>
  <c r="J6" i="100" l="1"/>
  <c r="K6" i="100" l="1"/>
  <c r="M6" i="100" l="1"/>
  <c r="N6" i="100" s="1"/>
  <c r="O6" i="100" s="1"/>
  <c r="O22" i="100" s="1"/>
  <c r="L6" i="100"/>
  <c r="L22" i="100" s="1"/>
  <c r="C6" i="15" l="1"/>
  <c r="F6" i="15" s="1"/>
  <c r="G6" i="15" s="1"/>
  <c r="C6" i="120"/>
  <c r="O23" i="100"/>
  <c r="O21" i="101"/>
  <c r="L21" i="101"/>
  <c r="C7" i="15" l="1"/>
  <c r="F7" i="15" s="1"/>
  <c r="C7" i="120"/>
  <c r="F6" i="120"/>
  <c r="O22" i="101"/>
  <c r="G6" i="120" l="1"/>
  <c r="F7" i="120"/>
  <c r="G7" i="120" s="1"/>
  <c r="G7" i="15"/>
  <c r="J6" i="102"/>
  <c r="K6" i="102" l="1"/>
  <c r="M6" i="102" s="1"/>
  <c r="N6" i="102" s="1"/>
  <c r="O6" i="102" l="1"/>
  <c r="O25" i="102" s="1"/>
  <c r="L6" i="102"/>
  <c r="L25" i="102" s="1"/>
  <c r="C8" i="15" l="1"/>
  <c r="F8" i="15" s="1"/>
  <c r="C8" i="120"/>
  <c r="O26" i="102"/>
  <c r="F8" i="120" l="1"/>
  <c r="G8" i="15"/>
  <c r="G8" i="120" l="1"/>
  <c r="H11" i="59"/>
  <c r="I11" i="59" s="1"/>
  <c r="J11" i="59" s="1"/>
  <c r="K11" i="59" s="1"/>
  <c r="G10" i="59"/>
  <c r="E22" i="103"/>
  <c r="G22" i="103"/>
  <c r="E17" i="103"/>
  <c r="G17" i="103"/>
  <c r="E18" i="103"/>
  <c r="G18" i="103"/>
  <c r="E20" i="103"/>
  <c r="G20" i="103"/>
  <c r="E19" i="103"/>
  <c r="G19" i="103"/>
  <c r="E21" i="103"/>
  <c r="G21" i="103"/>
  <c r="H22" i="103" l="1"/>
  <c r="I22" i="103" s="1"/>
  <c r="J22" i="103" s="1"/>
  <c r="H21" i="103"/>
  <c r="I21" i="103" s="1"/>
  <c r="J21" i="103" s="1"/>
  <c r="H20" i="103"/>
  <c r="I20" i="103" s="1"/>
  <c r="H19" i="103"/>
  <c r="I19" i="103" s="1"/>
  <c r="H18" i="103"/>
  <c r="I18" i="103" s="1"/>
  <c r="J18" i="103" s="1"/>
  <c r="H17" i="103"/>
  <c r="I17" i="103" s="1"/>
  <c r="E8" i="103"/>
  <c r="G8" i="103"/>
  <c r="J20" i="103" l="1"/>
  <c r="K20" i="103" s="1"/>
  <c r="L20" i="103" s="1"/>
  <c r="J19" i="103"/>
  <c r="K19" i="103" s="1"/>
  <c r="M19" i="103" s="1"/>
  <c r="J17" i="103"/>
  <c r="K17" i="103" s="1"/>
  <c r="K22" i="103"/>
  <c r="M22" i="103" s="1"/>
  <c r="K21" i="103"/>
  <c r="L21" i="103"/>
  <c r="M21" i="103"/>
  <c r="K18" i="103"/>
  <c r="L18" i="103" s="1"/>
  <c r="H8" i="103"/>
  <c r="I8" i="103" s="1"/>
  <c r="J8" i="103" s="1"/>
  <c r="L19" i="103" l="1"/>
  <c r="M18" i="103"/>
  <c r="N18" i="103" s="1"/>
  <c r="O18" i="103" s="1"/>
  <c r="M17" i="103"/>
  <c r="N17" i="103" s="1"/>
  <c r="O17" i="103" s="1"/>
  <c r="L17" i="103"/>
  <c r="M20" i="103"/>
  <c r="N20" i="103" s="1"/>
  <c r="O20" i="103" s="1"/>
  <c r="L22" i="103"/>
  <c r="N22" i="103"/>
  <c r="O22" i="103" s="1"/>
  <c r="N21" i="103"/>
  <c r="O21" i="103" s="1"/>
  <c r="N19" i="103"/>
  <c r="O19" i="103" s="1"/>
  <c r="K8" i="103"/>
  <c r="L8" i="103" s="1"/>
  <c r="L46" i="103" l="1"/>
  <c r="M8" i="103"/>
  <c r="C9" i="120" l="1"/>
  <c r="C9" i="15"/>
  <c r="F9" i="15" s="1"/>
  <c r="N8" i="103"/>
  <c r="O8" i="103" s="1"/>
  <c r="O46" i="103" s="1"/>
  <c r="G23" i="59"/>
  <c r="C12" i="15"/>
  <c r="F9" i="120" l="1"/>
  <c r="C12" i="120"/>
  <c r="D10" i="15"/>
  <c r="D9" i="15"/>
  <c r="D8" i="15"/>
  <c r="D7" i="15"/>
  <c r="D6" i="15"/>
  <c r="D5" i="15"/>
  <c r="D11" i="15"/>
  <c r="D4" i="15"/>
  <c r="K28" i="117"/>
  <c r="O47" i="103"/>
  <c r="C16" i="15"/>
  <c r="F12" i="15"/>
  <c r="G9" i="15"/>
  <c r="G12" i="15" s="1"/>
  <c r="H22" i="59"/>
  <c r="H23" i="59" s="1"/>
  <c r="I9" i="59"/>
  <c r="F12" i="120" l="1"/>
  <c r="G9" i="120"/>
  <c r="G12" i="120" s="1"/>
  <c r="D8" i="120"/>
  <c r="D7" i="120"/>
  <c r="D6" i="120"/>
  <c r="D4" i="120"/>
  <c r="D5" i="120"/>
  <c r="D11" i="120"/>
  <c r="C16" i="120"/>
  <c r="D10" i="120"/>
  <c r="D9" i="120"/>
  <c r="K30" i="117"/>
  <c r="K31" i="117" s="1"/>
  <c r="K39" i="117" s="1"/>
  <c r="C15" i="15"/>
  <c r="C20" i="15" s="1"/>
  <c r="D12" i="15"/>
  <c r="J9" i="59"/>
  <c r="I22" i="59"/>
  <c r="I23" i="59" s="1"/>
  <c r="B33" i="83"/>
  <c r="K3" i="15"/>
  <c r="I15" i="120" l="1"/>
  <c r="I17" i="120" s="1"/>
  <c r="I23" i="120" s="1"/>
  <c r="C15" i="120"/>
  <c r="D12" i="120"/>
  <c r="K5" i="15"/>
  <c r="C17" i="15"/>
  <c r="C21" i="15" s="1"/>
  <c r="C24" i="15" s="1"/>
  <c r="D25" i="15" s="1"/>
  <c r="C25" i="15" s="1"/>
  <c r="C26" i="15" s="1"/>
  <c r="J22" i="59"/>
  <c r="J23" i="59" s="1"/>
  <c r="K9" i="59"/>
  <c r="K22" i="59" s="1"/>
  <c r="K23" i="59" s="1"/>
  <c r="C17" i="120" l="1"/>
  <c r="C20" i="120"/>
  <c r="C29" i="15"/>
  <c r="D29" i="15" s="1"/>
  <c r="D26" i="15"/>
  <c r="H16" i="59"/>
  <c r="H18" i="59" s="1"/>
  <c r="H29" i="59" s="1"/>
  <c r="H36" i="59" s="1"/>
  <c r="I6" i="59"/>
  <c r="C21" i="120" l="1"/>
  <c r="C24" i="120" s="1"/>
  <c r="D25" i="120" s="1"/>
  <c r="C25" i="120" s="1"/>
  <c r="C26" i="120" s="1"/>
  <c r="J6" i="59"/>
  <c r="I16" i="59"/>
  <c r="I18" i="59" s="1"/>
  <c r="I29" i="59" s="1"/>
  <c r="I36" i="59" s="1"/>
  <c r="G18" i="59"/>
  <c r="G29" i="59" s="1"/>
  <c r="G36" i="59" s="1"/>
  <c r="H43" i="59"/>
  <c r="H46" i="59" s="1"/>
  <c r="C29" i="120" l="1"/>
  <c r="D29" i="120" s="1"/>
  <c r="D26" i="120"/>
  <c r="I43" i="59"/>
  <c r="I46" i="59" s="1"/>
  <c r="G43" i="59"/>
  <c r="G39" i="59"/>
  <c r="K6" i="59"/>
  <c r="J16" i="59"/>
  <c r="J18" i="59" s="1"/>
  <c r="J29" i="59" s="1"/>
  <c r="J36" i="59" s="1"/>
  <c r="J43" i="59" l="1"/>
  <c r="J46" i="59" s="1"/>
  <c r="K16" i="59"/>
  <c r="K18" i="59" s="1"/>
  <c r="K29" i="59" s="1"/>
  <c r="K36" i="59" s="1"/>
  <c r="F45" i="59" s="1"/>
  <c r="G40" i="59"/>
  <c r="H38" i="59"/>
  <c r="H39" i="59" s="1"/>
  <c r="K6" i="15" l="1"/>
  <c r="I18" i="120"/>
  <c r="K43" i="59"/>
  <c r="I38" i="59"/>
  <c r="I39" i="59" s="1"/>
  <c r="H40" i="59"/>
  <c r="I40" i="59" l="1"/>
  <c r="J38" i="59"/>
  <c r="J39" i="59" s="1"/>
  <c r="K46" i="59"/>
  <c r="H47" i="59" s="1"/>
  <c r="F44" i="59"/>
  <c r="L7" i="15" l="1"/>
  <c r="M7" i="15" s="1"/>
  <c r="J19" i="120"/>
  <c r="K19" i="120" s="1"/>
  <c r="K38" i="59"/>
  <c r="K39" i="59" s="1"/>
  <c r="K40" i="59" s="1"/>
  <c r="J40" i="59"/>
</calcChain>
</file>

<file path=xl/sharedStrings.xml><?xml version="1.0" encoding="utf-8"?>
<sst xmlns="http://schemas.openxmlformats.org/spreadsheetml/2006/main" count="3705" uniqueCount="878">
  <si>
    <t xml:space="preserve">          Description</t>
  </si>
  <si>
    <t>Qty</t>
  </si>
  <si>
    <t>Ancho de Banda</t>
  </si>
  <si>
    <t>Sistema CCTV Perímetro</t>
  </si>
  <si>
    <t>No.</t>
  </si>
  <si>
    <t>Modelo</t>
  </si>
  <si>
    <t>Tipo</t>
  </si>
  <si>
    <t>Resolución</t>
  </si>
  <si>
    <t>Cantidad</t>
  </si>
  <si>
    <t>Visualización</t>
  </si>
  <si>
    <t>Grabación</t>
  </si>
  <si>
    <t>LPR</t>
  </si>
  <si>
    <t>Reconocimiento Facial</t>
  </si>
  <si>
    <t>Conteo</t>
  </si>
  <si>
    <t>Total</t>
  </si>
  <si>
    <t>Analíticas</t>
  </si>
  <si>
    <t>Cámara fija IP para Perimetro Exterior
Modelo: XNV-6080R</t>
  </si>
  <si>
    <t>XNV-6080R</t>
  </si>
  <si>
    <t>Domo Exterior</t>
  </si>
  <si>
    <t>2MP</t>
  </si>
  <si>
    <t>77.35 Mbps</t>
  </si>
  <si>
    <t>168.76 Mbps</t>
  </si>
  <si>
    <t>246.10 Mbps</t>
  </si>
  <si>
    <t>• Manipulación
• Merodeo
• Detección direccional, 
• Detección de desenfoque, 
• Detección de empañamiento, 
• Línea virtual, entrada y salida, (des)aparición, 
• Detección de audio, 
• Detección de rostros, 
• Detección de movimiento, 
• Seguimiento automático digital, 
• Clasificación de sonidos</t>
  </si>
  <si>
    <t>Cámara fija IP para Perimetro Interior
Modelo: XND-6080RV</t>
  </si>
  <si>
    <t>XND-6080RV</t>
  </si>
  <si>
    <t>Domo Interior</t>
  </si>
  <si>
    <t>204.25 Mbps</t>
  </si>
  <si>
    <t>445.64 Mbps</t>
  </si>
  <si>
    <t>649.90 Mbps</t>
  </si>
  <si>
    <t>• Manipulación, 
• Merodeo, 
• Detección direccional, 
• Detección de desenfoque, 
• Detección de empañamiento, 
• Línea virtual, entrada y salida, (des)aparición, 
• Detección de audio, 
• Detección de rostros, 
• Detección de movimiento, 
• Seguimiento automático digital, 
• Clasificación de sonidos</t>
  </si>
  <si>
    <t>Cámara fija IP para Estacionamientos
Modelo: XNO-6080R</t>
  </si>
  <si>
    <t>XNO-6080R</t>
  </si>
  <si>
    <t>Bullet Exterior</t>
  </si>
  <si>
    <t>22.12 Mbps</t>
  </si>
  <si>
    <t>44.24 Mbps</t>
  </si>
  <si>
    <t>66.36 Mbps</t>
  </si>
  <si>
    <t>Cámara fija IP para Reconocimiento
Modelo: XNO-6080R</t>
  </si>
  <si>
    <t>PNM-9020V</t>
  </si>
  <si>
    <t xml:space="preserve">Panoramica Multi-sensor 180˚ </t>
  </si>
  <si>
    <t>7.3MP</t>
  </si>
  <si>
    <t>6.76 Mbps</t>
  </si>
  <si>
    <t>51.61 Mbps</t>
  </si>
  <si>
    <t>58.37 Mbps</t>
  </si>
  <si>
    <t>• Manipulación, 
• Línea virtual, entrada / salida, aparecer / desaparecer, 
• Detección de audio,
• Detección de desenfoque, 
• Seguimiento automático digital, 
• Mapa de calor</t>
  </si>
  <si>
    <t>Cámara fija IP Panoramica 180°
Modelo: PNM-9020V</t>
  </si>
  <si>
    <t>PNM-9000VQ</t>
  </si>
  <si>
    <t>Panoramica Multi-directional 360°</t>
  </si>
  <si>
    <t>8MP</t>
  </si>
  <si>
    <t>81.10 Mbps</t>
  </si>
  <si>
    <t>176.95 Mbps</t>
  </si>
  <si>
    <t>258.05 Mbps</t>
  </si>
  <si>
    <t>• Manipulación, 
• Merodeo, 
• Detección direccional, 
• Detección de empañamiento, 
• Línea virtual, entrada y salida, (des)aparición, 
• Detección facial, 
• Detección de movimiento, 
• Detección de desenfoque</t>
  </si>
  <si>
    <t>Camara fija IP Panoramica 360°
Modelo: PNM-9000VQ</t>
  </si>
  <si>
    <t>PNM-9320VQP</t>
  </si>
  <si>
    <t>Panoramica Multi-directional 360° + PTZ</t>
  </si>
  <si>
    <t>10MP</t>
  </si>
  <si>
    <t>172.71 Mbps</t>
  </si>
  <si>
    <t>282.62 Mbps</t>
  </si>
  <si>
    <t>455.34 Mbps</t>
  </si>
  <si>
    <t>• Adulteración, 
• Ociosidad, 
• Detección direccional, 
• Detección de neblina, 
• Línea virtual, entradas y salidas, apariciones y desapariciones, 
• Detección facial, 
• Detección de movimiento, 
• Detección de desenfoque (cámara multidireccional)</t>
  </si>
  <si>
    <t>Camara IP Panoramica 360°/PTZ
Modelo: PNM-9320VQP</t>
  </si>
  <si>
    <t>XNP-6320H</t>
  </si>
  <si>
    <t>Domo PTZ Exterior</t>
  </si>
  <si>
    <t>14.27 Mbps</t>
  </si>
  <si>
    <t>31.13 Mbps</t>
  </si>
  <si>
    <t>45.40 Mbps</t>
  </si>
  <si>
    <t>• Manipulación, 
• Merodeo, 
• Detección de dirección, 
• Detección de niebla, 
• Línea virtual, entrada y salida, (Des) aparece, 
• Detección de audio, 
• Detección de rostros, 
• Detección de movimiento, 
• Clasificación de sonidos</t>
  </si>
  <si>
    <t>Camara IP PTZ Perimetral
Modelo: XNP-6320H</t>
  </si>
  <si>
    <t>XNP-6320</t>
  </si>
  <si>
    <t>Domo PTZ Interior</t>
  </si>
  <si>
    <t>1.50 Mbps</t>
  </si>
  <si>
    <t>3.28 Mbps</t>
  </si>
  <si>
    <t>4.78 Mbps</t>
  </si>
  <si>
    <t>Sistema CCTV Terminal</t>
  </si>
  <si>
    <t>XNF-8010R</t>
  </si>
  <si>
    <t>Panoramica 360° Fisheye</t>
  </si>
  <si>
    <t>6MP</t>
  </si>
  <si>
    <t>39.42 Mbps</t>
  </si>
  <si>
    <t>77.41 Mbps</t>
  </si>
  <si>
    <t>116.84 Mbps</t>
  </si>
  <si>
    <t>• Manipulación, 
• Merodeo, 
• Detección de dirección, 
• Línea virtual, entrada y salida, (des) aparece,
• Detección de audio, 
• Clasificación de sonidos, 
• Conteo de personas, 
• Mapa de calor, 
• Gestión de colas</t>
  </si>
  <si>
    <t>Camara IP Visualizacion Interior
Modelo: XND-6080RV</t>
  </si>
  <si>
    <t>Camara IP Visualizacion Exterior
Modelo: XNV-6080R</t>
  </si>
  <si>
    <t>Camara IP 360°/PTZ Interior
Modelo: PNM-9320VQP</t>
  </si>
  <si>
    <t>Notas:</t>
  </si>
  <si>
    <t>Camara IP 360°/PTZ Exterior
Modelo: PNM-9320VQP</t>
  </si>
  <si>
    <t>• Se recomienda la configuración de una red Multicast para la optimización de los streams de video demandados a cada cámara.</t>
  </si>
  <si>
    <t>Camara IP Panoramicas 360° Interior
Modelo: XNF-8010R</t>
  </si>
  <si>
    <t>Camara IP Panoramica 360° Exterior
Modelo: PNM-9000VQ</t>
  </si>
  <si>
    <t>Camara IP PTZ
Modelo: XNP-6320</t>
  </si>
  <si>
    <t>Accesorios por Modelo</t>
  </si>
  <si>
    <t>Camara para Ascensores
Modelo: XND-6010</t>
  </si>
  <si>
    <t>Resumen</t>
  </si>
  <si>
    <t>Cámara</t>
  </si>
  <si>
    <t>Accesorios</t>
  </si>
  <si>
    <t>Hanging Mount
Modelo: SBP-300HM6</t>
  </si>
  <si>
    <t>1.5" Coupler
Modelo: SBP-HCF</t>
  </si>
  <si>
    <t>Parapet Mount
Modelo: SBP-300LM</t>
  </si>
  <si>
    <t>Back Box
Modelo: SBP-302CMB</t>
  </si>
  <si>
    <t>Flush Mount
Modelo: SHD-3000F1</t>
  </si>
  <si>
    <t>Wall Mount Arm
Modelo: SBP-390WM1</t>
  </si>
  <si>
    <t>Hanging Mount
Modelo: SBP-201HM</t>
  </si>
  <si>
    <t>Installation Box
Modelo: SBP-300NB</t>
  </si>
  <si>
    <t>Hanging Mount
Modelo: SBP-276HM</t>
  </si>
  <si>
    <t>Hanging Mount
Modelo: SBP-300HM5</t>
  </si>
  <si>
    <t>Lentes 2M 2.8mm
Modelo: SLA-2M2800P</t>
  </si>
  <si>
    <t>Lentes 2M 2.8mm
Modelo: SLA-2M2800Q</t>
  </si>
  <si>
    <t>Pole Mount
Modelo: SBP-300PM</t>
  </si>
  <si>
    <t>Pole Mount
Modelo: SBP-302PM</t>
  </si>
  <si>
    <t>Materiales de Instalación</t>
  </si>
  <si>
    <t>Materiales Varios Perímetro</t>
  </si>
  <si>
    <t>Materiales Varios Terminal</t>
  </si>
  <si>
    <t>Materiales</t>
  </si>
  <si>
    <t>Precio Uni.</t>
  </si>
  <si>
    <t>Cantidad ML</t>
  </si>
  <si>
    <t>Costo Materiales</t>
  </si>
  <si>
    <t>Materiales Varios</t>
  </si>
  <si>
    <t>Expansor Metalico S10 (Gabinetes)</t>
  </si>
  <si>
    <t>Cinta aislante Negra</t>
  </si>
  <si>
    <t xml:space="preserve">Adecuaciones físicas </t>
  </si>
  <si>
    <t>Pegamento PVC 1/4</t>
  </si>
  <si>
    <t>Canaleta plastica 1/2"</t>
  </si>
  <si>
    <t>Canaleta plastica 3/4"</t>
  </si>
  <si>
    <t>Espuma selladora</t>
  </si>
  <si>
    <t>Caja metalica 2x4 " pexon para exterior</t>
  </si>
  <si>
    <t>Fajillas Plastica # 08</t>
  </si>
  <si>
    <t>Fajillas Plastica # 12</t>
  </si>
  <si>
    <t>Conector Romex 3/8"</t>
  </si>
  <si>
    <t>Tubo Corrugado Rollo</t>
  </si>
  <si>
    <t>Rollo de Velcro 20m</t>
  </si>
  <si>
    <t>Tapadera ciega con salida de media Metalica 4x4"</t>
  </si>
  <si>
    <t>Postes</t>
  </si>
  <si>
    <t>Mastil 2-1/2"</t>
  </si>
  <si>
    <t>Mastil 4"</t>
  </si>
  <si>
    <t>Poste 35 Ft Croncreto</t>
  </si>
  <si>
    <t>Conector prensaestopa 1/2"</t>
  </si>
  <si>
    <t xml:space="preserve">Abrazadera Strug 3/4" </t>
  </si>
  <si>
    <t xml:space="preserve">Abrazadera Strug 1/2" </t>
  </si>
  <si>
    <t>Tapaderas</t>
  </si>
  <si>
    <t>Canaleta Ranurada de 1-1/2"</t>
  </si>
  <si>
    <t>Tapadera ciega Plastica 2x4"</t>
  </si>
  <si>
    <t>Tapadera ciega Metalica 2x4"</t>
  </si>
  <si>
    <t>Tapadera ciega Plastica 4x4"</t>
  </si>
  <si>
    <t>Tapadera ciega Metalica 4x4"</t>
  </si>
  <si>
    <t>Soportes de Tubería</t>
  </si>
  <si>
    <t>Varilla Roscada 3/8"</t>
  </si>
  <si>
    <t>Arandela plana 3/8</t>
  </si>
  <si>
    <t>Tuerca 3/8 Galvanizada</t>
  </si>
  <si>
    <t>Riel Strut 1-5/8"</t>
  </si>
  <si>
    <t>Abrazadera 1/2"</t>
  </si>
  <si>
    <t>Taco fisher S8 con tornillo</t>
  </si>
  <si>
    <t>Cajas</t>
  </si>
  <si>
    <t>Caja EMT 4x4"</t>
  </si>
  <si>
    <t>Caja EMT 2x4"</t>
  </si>
  <si>
    <t>Caja EMT Pesada 8x8"</t>
  </si>
  <si>
    <t>Conector BX 1"</t>
  </si>
  <si>
    <t>Tubo BX con forro 1"</t>
  </si>
  <si>
    <t>Tubería IMC (1-1/2")</t>
  </si>
  <si>
    <t>Tubería IMC 1-1/2"</t>
  </si>
  <si>
    <t>Conector IMC 1-1/2" con contratuerca</t>
  </si>
  <si>
    <t>Coupling IMC 1-1/2"</t>
  </si>
  <si>
    <t>Curva IMC 1-1/2"</t>
  </si>
  <si>
    <t>Tubería PVC ced. 40 (3/4")</t>
  </si>
  <si>
    <t>Tubería PVC 3/4"</t>
  </si>
  <si>
    <t>Conector PVC 3/4" con contratuerca</t>
  </si>
  <si>
    <t>Coupling PVC 3/4"</t>
  </si>
  <si>
    <t>Curva PVC C-40 3/4"</t>
  </si>
  <si>
    <t>Caja PVC 4x4"</t>
  </si>
  <si>
    <t>Caja Plastica 4x2"</t>
  </si>
  <si>
    <t>Caja PVC 8x8"</t>
  </si>
  <si>
    <t>UTP Cat6 Interior Azul</t>
  </si>
  <si>
    <t>UTP Cat6 Exterior Negro</t>
  </si>
  <si>
    <t>RJ45 Cate6</t>
  </si>
  <si>
    <t>Jack Cate6</t>
  </si>
  <si>
    <t xml:space="preserve">Tapadera Plastica para punto de red </t>
  </si>
  <si>
    <t>Toma corriente exterior 110V</t>
  </si>
  <si>
    <t>Centro de carga de 2 espacios Superficial</t>
  </si>
  <si>
    <t>Breaker 110 V de 20 Amp</t>
  </si>
  <si>
    <t>Cable 3x8 Triplex</t>
  </si>
  <si>
    <t>Cable TSJ 3x14</t>
  </si>
  <si>
    <t>Bobina de cable 22/4</t>
  </si>
  <si>
    <t>Cable THHN # 8</t>
  </si>
  <si>
    <t>Cable THHN # 10</t>
  </si>
  <si>
    <t>Cable THHN # 12</t>
  </si>
  <si>
    <t xml:space="preserve">Fibra de 24 Hilos SM </t>
  </si>
  <si>
    <t>Preformados para FO 24 hilos</t>
  </si>
  <si>
    <t>Fibra de 8 Hilos SM</t>
  </si>
  <si>
    <t>Preformados para FO 8 hilos</t>
  </si>
  <si>
    <t>Cierre de 12 hilos</t>
  </si>
  <si>
    <t>Tuerca de ojo 5/8"</t>
  </si>
  <si>
    <t>Varilla polo tierra cobre 5/8X8</t>
  </si>
  <si>
    <t>Grapa polo tierra 1/2 - 5/8</t>
  </si>
  <si>
    <t>Terminal de ojo 1/4</t>
  </si>
  <si>
    <t xml:space="preserve">Terminal de ojo # 8 </t>
  </si>
  <si>
    <t>Cable galvanizado 1/4 (mensajero)</t>
  </si>
  <si>
    <t>Preformados 1/4"</t>
  </si>
  <si>
    <t>Escalerilla Cablofil 6 "</t>
  </si>
  <si>
    <t>Uniones para escalerilla</t>
  </si>
  <si>
    <t>Soportes en L para escalerilla</t>
  </si>
  <si>
    <t>Barra de cobre 6X2X1/4</t>
  </si>
  <si>
    <t xml:space="preserve">Tornillo rosca corrida 1X5X16 </t>
  </si>
  <si>
    <t>Tuerca para tornillo 1X5X16</t>
  </si>
  <si>
    <t>Aislador tipo pera 35mm</t>
  </si>
  <si>
    <t>Arandela presion para tornillo</t>
  </si>
  <si>
    <t>Toma de pendulo Macho</t>
  </si>
  <si>
    <t>Toma de pendulo Hembra</t>
  </si>
  <si>
    <t>Tapones para Emplame Electrico</t>
  </si>
  <si>
    <t>Total costos materiales</t>
  </si>
  <si>
    <t xml:space="preserve">Flujo de Caja </t>
  </si>
  <si>
    <t>60 meses</t>
  </si>
  <si>
    <t>Ingresos</t>
  </si>
  <si>
    <t>Ingresos Operativos</t>
  </si>
  <si>
    <t>USDk</t>
  </si>
  <si>
    <t>Costos</t>
  </si>
  <si>
    <t>COGS</t>
  </si>
  <si>
    <t>Costos Variables</t>
  </si>
  <si>
    <t>OPEX</t>
  </si>
  <si>
    <t>Otros gastos (incluye depreciaciones)</t>
  </si>
  <si>
    <t>(-) Depreciaciones y amortizaciones</t>
  </si>
  <si>
    <t>Otros Ingresos</t>
  </si>
  <si>
    <t>Impuestos</t>
  </si>
  <si>
    <t>Flujo de Caja Operativo</t>
  </si>
  <si>
    <t>Inversiones</t>
  </si>
  <si>
    <t>Capex</t>
  </si>
  <si>
    <t>Ajuste de Flujo</t>
  </si>
  <si>
    <t>Flujo de Caja de Inversión</t>
  </si>
  <si>
    <t>Financiamiento Adicional</t>
  </si>
  <si>
    <t>Capital Adicional</t>
  </si>
  <si>
    <t>Flujo de caja disponible para servicio de Deuda</t>
  </si>
  <si>
    <t>Servicio de Deuda</t>
  </si>
  <si>
    <t>Intereses</t>
  </si>
  <si>
    <t>Principal</t>
  </si>
  <si>
    <t>Flujo de Caja Neto</t>
  </si>
  <si>
    <t>Balance De Caja Inicial</t>
  </si>
  <si>
    <t>Balance De Caja Final</t>
  </si>
  <si>
    <t>Flujo acumulado</t>
  </si>
  <si>
    <t>#</t>
  </si>
  <si>
    <t>Tasa de descuento</t>
  </si>
  <si>
    <t>Flujo descontado</t>
  </si>
  <si>
    <t>VAN</t>
  </si>
  <si>
    <t>TIR</t>
  </si>
  <si>
    <t>Resumen de Costos por Servicio</t>
  </si>
  <si>
    <t>RESUMEN DE PROYECTO - CCTV</t>
  </si>
  <si>
    <t>Resumen del Proyecto</t>
  </si>
  <si>
    <t>Cantidad total para proyecto</t>
  </si>
  <si>
    <t>Costo Unitario</t>
  </si>
  <si>
    <t>Costo total</t>
  </si>
  <si>
    <t>% del costo</t>
  </si>
  <si>
    <t>Venta Unitario</t>
  </si>
  <si>
    <t>P. Venta total</t>
  </si>
  <si>
    <t xml:space="preserve">Costo Mensual (4 años) </t>
  </si>
  <si>
    <t>Venta mensual (4 años) Unitaria</t>
  </si>
  <si>
    <t xml:space="preserve">Venta mensual total </t>
  </si>
  <si>
    <t>Precio venta Ofertado unitario</t>
  </si>
  <si>
    <t>Precio venta total</t>
  </si>
  <si>
    <t>Cámaras PTZ</t>
  </si>
  <si>
    <t>Cámaras Bullet</t>
  </si>
  <si>
    <t>Centro de Monitoreo</t>
  </si>
  <si>
    <t>Almacenamiento</t>
  </si>
  <si>
    <t>VMS</t>
  </si>
  <si>
    <t>Fibra optica</t>
  </si>
  <si>
    <t xml:space="preserve">Gabinetes y paneles </t>
  </si>
  <si>
    <t xml:space="preserve">Postes </t>
  </si>
  <si>
    <t>Cámaras LPR</t>
  </si>
  <si>
    <t>Control de Acceso</t>
  </si>
  <si>
    <t>TOTALES</t>
  </si>
  <si>
    <t>Servicio</t>
  </si>
  <si>
    <t>Porcentaje de margen con financiamiento (unitario)</t>
  </si>
  <si>
    <t>Oferta Version 2</t>
  </si>
  <si>
    <t>Oferta Version 1</t>
  </si>
  <si>
    <t xml:space="preserve">Costo </t>
  </si>
  <si>
    <t>Venta sin impuesto</t>
  </si>
  <si>
    <t xml:space="preserve">Margen </t>
  </si>
  <si>
    <t>Cuota por financiamiento</t>
  </si>
  <si>
    <t>Numero de cuotas</t>
  </si>
  <si>
    <t>Venta financiada</t>
  </si>
  <si>
    <t>Utilidad esperada</t>
  </si>
  <si>
    <t>Utilidad de proyecto</t>
  </si>
  <si>
    <t xml:space="preserve">Resumen de Costos por Componente </t>
  </si>
  <si>
    <t xml:space="preserve">Tasa $ </t>
  </si>
  <si>
    <t>Costo</t>
  </si>
  <si>
    <t>% de venta</t>
  </si>
  <si>
    <t xml:space="preserve">P. Venta </t>
  </si>
  <si>
    <t>Margen X Componente</t>
  </si>
  <si>
    <t>CCTV</t>
  </si>
  <si>
    <t>Materiales/otros</t>
  </si>
  <si>
    <t>OPCIÓN DE SERVICIOS POR 4 AÑOS</t>
  </si>
  <si>
    <t>Monto</t>
  </si>
  <si>
    <t>Int.s</t>
  </si>
  <si>
    <t>Plazo</t>
  </si>
  <si>
    <t>Margen bruto</t>
  </si>
  <si>
    <t>Cuota</t>
  </si>
  <si>
    <t>Opex</t>
  </si>
  <si>
    <t>Opex administrativo</t>
  </si>
  <si>
    <t>Utilidad Neta del Ejercicio</t>
  </si>
  <si>
    <t>Comisiones</t>
  </si>
  <si>
    <t>Utilidad Operativa</t>
  </si>
  <si>
    <t>Fianzas</t>
  </si>
  <si>
    <t>Costo financiero</t>
  </si>
  <si>
    <t>Utilidad antes de ISR</t>
  </si>
  <si>
    <t>ISR</t>
  </si>
  <si>
    <t>Utilidad neta</t>
  </si>
  <si>
    <t>Hasta</t>
  </si>
  <si>
    <t>IMPUESTO SOBRE LA RENTA COSTA RICA</t>
  </si>
  <si>
    <t>Ingresos brutos</t>
  </si>
  <si>
    <t>Tarifa(Se aplica sobre renta neta total)</t>
  </si>
  <si>
    <t>Ingresos Brutos $</t>
  </si>
  <si>
    <t>Mayor de</t>
  </si>
  <si>
    <t>Ítem</t>
  </si>
  <si>
    <t>Descripción</t>
  </si>
  <si>
    <t>Cant.</t>
  </si>
  <si>
    <t>Precio Venta</t>
  </si>
  <si>
    <t>HARDWARE</t>
  </si>
  <si>
    <t>MATERIALES DE INSTALACION Y REDES</t>
  </si>
  <si>
    <t>Centro de Datos/Monitoreo</t>
  </si>
  <si>
    <t>GASTOS DE VIAJE Y ESTADIAS</t>
  </si>
  <si>
    <t>ADMINISTRACION DE PROYECTO</t>
  </si>
  <si>
    <t>Sub Total</t>
  </si>
  <si>
    <t>SERVICIOS DE IMPLEMENTACION</t>
  </si>
  <si>
    <t>IVA</t>
  </si>
  <si>
    <t>Proveedor</t>
  </si>
  <si>
    <t>#Parte</t>
  </si>
  <si>
    <t>Marca</t>
  </si>
  <si>
    <t>Descripción / Código</t>
  </si>
  <si>
    <t xml:space="preserve">Precios ya incluyen impuesto de venta </t>
  </si>
  <si>
    <t>Subtotal</t>
  </si>
  <si>
    <t>Materiales y accesorios</t>
  </si>
  <si>
    <t>Mano de obra por instalación y puesta en marcha</t>
  </si>
  <si>
    <t>Impuesto de Ventas</t>
  </si>
  <si>
    <t>Total de Oferta</t>
  </si>
  <si>
    <t>IMG</t>
  </si>
  <si>
    <t>Implementación de sistemas de seguridad</t>
  </si>
  <si>
    <t>GV</t>
  </si>
  <si>
    <t/>
  </si>
  <si>
    <t>Cédula Jurídica: 3101666618</t>
  </si>
  <si>
    <t>www.grupovision.org</t>
  </si>
  <si>
    <t>Tibas Anselmo Llorente, Cámara Costarricense
 de la Construción</t>
  </si>
  <si>
    <t>San José, Costa Rica</t>
  </si>
  <si>
    <t xml:space="preserve">Teléfonos: (506) 40101090 </t>
  </si>
  <si>
    <t xml:space="preserve"> Nombre:</t>
  </si>
  <si>
    <t>Fecha:</t>
  </si>
  <si>
    <t>Cotización #:</t>
  </si>
  <si>
    <t>Validez de:</t>
  </si>
  <si>
    <t>Método de envío:</t>
  </si>
  <si>
    <t>Electrónico</t>
  </si>
  <si>
    <t>Precio U.</t>
  </si>
  <si>
    <t>Total Contado</t>
  </si>
  <si>
    <t>****************************************U.L****************************************</t>
  </si>
  <si>
    <t xml:space="preserve">SUBTOTAL </t>
  </si>
  <si>
    <t>IMPUESTO</t>
  </si>
  <si>
    <t>ss</t>
  </si>
  <si>
    <t>TOTAL</t>
  </si>
  <si>
    <t xml:space="preserve">Depto Preventa y Diseño </t>
  </si>
  <si>
    <t>Edificio Cámara Costarricense de la Construcción Piso 4, oficina 401</t>
  </si>
  <si>
    <t xml:space="preserve">MATRIZ DE COSTO PROYECTO: </t>
  </si>
  <si>
    <t>Productos 1</t>
  </si>
  <si>
    <t>Transporte</t>
  </si>
  <si>
    <t>Seguros</t>
  </si>
  <si>
    <t>DAI</t>
  </si>
  <si>
    <t>Costo Untit</t>
  </si>
  <si>
    <t>Administración</t>
  </si>
  <si>
    <t>Margen GV</t>
  </si>
  <si>
    <t>IMPORTADO</t>
  </si>
  <si>
    <t>Costo Unit</t>
  </si>
  <si>
    <t>Costo Total</t>
  </si>
  <si>
    <t>Nacionalizado</t>
  </si>
  <si>
    <t>Unitario</t>
  </si>
  <si>
    <t>Sección 1</t>
  </si>
  <si>
    <t>no</t>
  </si>
  <si>
    <t>Sección 3</t>
  </si>
  <si>
    <t>Total FOB</t>
  </si>
  <si>
    <t>Costo Nac.</t>
  </si>
  <si>
    <t>Total Venta</t>
  </si>
  <si>
    <t>UTILIDAD</t>
  </si>
  <si>
    <t>si</t>
  </si>
  <si>
    <t>Productos 2</t>
  </si>
  <si>
    <t>Nacionaliado</t>
  </si>
  <si>
    <t>Sección 2</t>
  </si>
  <si>
    <t>Productos 3</t>
  </si>
  <si>
    <t>Licencias</t>
  </si>
  <si>
    <t>Servidores</t>
  </si>
  <si>
    <t>Productos 4</t>
  </si>
  <si>
    <t>Productos 5</t>
  </si>
  <si>
    <t>SERVERS</t>
  </si>
  <si>
    <t>caja nema para SENSORES</t>
  </si>
  <si>
    <t xml:space="preserve">Cable UTP cat6A Exteriores caja </t>
  </si>
  <si>
    <t>Cable UTP cat6A Exteriores</t>
  </si>
  <si>
    <t>conectores rj45 cat 6</t>
  </si>
  <si>
    <t>cable electrico #12 rojo</t>
  </si>
  <si>
    <t>cable electrico #12 blanco</t>
  </si>
  <si>
    <t>cable electrico #12 verde</t>
  </si>
  <si>
    <t>tomas de parche</t>
  </si>
  <si>
    <t>tape 3m</t>
  </si>
  <si>
    <t>regleta</t>
  </si>
  <si>
    <t>Breaker 20A</t>
  </si>
  <si>
    <t>Tubos conduit 3/4" UL</t>
  </si>
  <si>
    <t>Uniones  conduit de 3/4"</t>
  </si>
  <si>
    <t>Conectores conduit de 3/4"</t>
  </si>
  <si>
    <t>Gaza 1 ojo 3/4</t>
  </si>
  <si>
    <t>Cajas de paso 4x4 entradas 3/4"</t>
  </si>
  <si>
    <t>Tapas caja 3/4"</t>
  </si>
  <si>
    <t>tornillos  7</t>
  </si>
  <si>
    <t>spander 7</t>
  </si>
  <si>
    <t>Spander gypsum</t>
  </si>
  <si>
    <t>tornillo gypsum</t>
  </si>
  <si>
    <t>amarrras plasticas</t>
  </si>
  <si>
    <t xml:space="preserve">imp </t>
  </si>
  <si>
    <t>viex</t>
  </si>
  <si>
    <t>conector bx</t>
  </si>
  <si>
    <t>alquiler andamios</t>
  </si>
  <si>
    <t xml:space="preserve">Cable Honeywell 18x4, para magneto o control </t>
  </si>
  <si>
    <t>PRODUCTO G</t>
  </si>
  <si>
    <t>PRODUCTO H</t>
  </si>
  <si>
    <t>PRODUCTO I</t>
  </si>
  <si>
    <t>PRODUCTO J</t>
  </si>
  <si>
    <t>PRODUCTO K</t>
  </si>
  <si>
    <t>PRODUCTO L</t>
  </si>
  <si>
    <t>PRODUCTO M</t>
  </si>
  <si>
    <t>PRODUCTO N</t>
  </si>
  <si>
    <t>PRODUCTO O</t>
  </si>
  <si>
    <t>OPEX GV</t>
  </si>
  <si>
    <t>Instalación de equipos MO</t>
  </si>
  <si>
    <t>Mano de obra contratista</t>
  </si>
  <si>
    <t>transporte</t>
  </si>
  <si>
    <t>Imprevistos</t>
  </si>
  <si>
    <t>Salario  mensual Ing GV</t>
  </si>
  <si>
    <t>x hora</t>
  </si>
  <si>
    <t>X DÍA</t>
  </si>
  <si>
    <t>Salario Mensual Técnico GV</t>
  </si>
  <si>
    <t>Costo x hora Técnico</t>
  </si>
  <si>
    <t>Costo x hora Ingeniero</t>
  </si>
  <si>
    <t>Técmico GV</t>
  </si>
  <si>
    <t>Ing GV</t>
  </si>
  <si>
    <t>Salario Bruto</t>
  </si>
  <si>
    <t>CCSS 26,50%</t>
  </si>
  <si>
    <t>Aguinaldo 8,33%</t>
  </si>
  <si>
    <t>Vacaciones 4,17%</t>
  </si>
  <si>
    <t>Poliza 3%</t>
  </si>
  <si>
    <t>Referencia Cálculo Anterior</t>
  </si>
  <si>
    <t>Colaborador</t>
  </si>
  <si>
    <t>Mano de Obra</t>
  </si>
  <si>
    <t>Viáticos</t>
  </si>
  <si>
    <t>Hora Hombre</t>
  </si>
  <si>
    <t>Precio por Día</t>
  </si>
  <si>
    <t>Días</t>
  </si>
  <si>
    <t>Personas</t>
  </si>
  <si>
    <t>Alimentación</t>
  </si>
  <si>
    <t>Combustible</t>
  </si>
  <si>
    <t>Hospedaje</t>
  </si>
  <si>
    <t>Configurador (Implementación)</t>
  </si>
  <si>
    <t>Supervisor (Coordinador de Implementación)</t>
  </si>
  <si>
    <t>Diferencia</t>
  </si>
  <si>
    <t>Project Manager</t>
  </si>
  <si>
    <t>Diseño (Ingeniero de Diseño)</t>
  </si>
  <si>
    <t>Actividad</t>
  </si>
  <si>
    <t>Semanas</t>
  </si>
  <si>
    <t>Tiempo de Planificación de Proyecto (GV)</t>
  </si>
  <si>
    <t>Tiempo de Configuracion (Planta telefonica)</t>
  </si>
  <si>
    <t>Tiempo de Configuración de Sistema (GV)</t>
  </si>
  <si>
    <t>Tiempo de Cierre de Proyecto (GV)</t>
  </si>
  <si>
    <t>Tiempo Total del Proyecto</t>
  </si>
  <si>
    <t>Diferencia Neta</t>
  </si>
  <si>
    <t>Traslado</t>
  </si>
  <si>
    <t>INSUMOS BIOSEGURIDAD/ POR PERSONA</t>
  </si>
  <si>
    <t>Equipo Bioseguridad</t>
  </si>
  <si>
    <t>Precio Unitario</t>
  </si>
  <si>
    <t>bata quirúrgica</t>
  </si>
  <si>
    <t>Mascarilla</t>
  </si>
  <si>
    <t>guantes latex par</t>
  </si>
  <si>
    <t>Gorros (cofia)</t>
  </si>
  <si>
    <t>Careta o Google</t>
  </si>
  <si>
    <t>Gel de mano 500 ml</t>
  </si>
  <si>
    <t>Franela</t>
  </si>
  <si>
    <t>INSUMOS VARIOS/ POR MANTO 20 CAMARAS</t>
  </si>
  <si>
    <t xml:space="preserve">consumibles </t>
  </si>
  <si>
    <t xml:space="preserve">Espumas </t>
  </si>
  <si>
    <t xml:space="preserve">Limpia contactos </t>
  </si>
  <si>
    <t xml:space="preserve">Wipes </t>
  </si>
  <si>
    <t xml:space="preserve">Franelas </t>
  </si>
  <si>
    <t xml:space="preserve">Remplazo de Cableado </t>
  </si>
  <si>
    <t>MANO DE OBRA MANTENIMENTO TONCONTIN</t>
  </si>
  <si>
    <t>MANO MANTENIMENTO DE LA CEIBA</t>
  </si>
  <si>
    <t>MANO MANTENIMENTO  DE OBRA ROATAN</t>
  </si>
  <si>
    <t>MANO MANTENIMENTO DE OBRA SPS</t>
  </si>
  <si>
    <t>Cliente</t>
  </si>
  <si>
    <t>KM ida y vuelta</t>
  </si>
  <si>
    <t>can carros</t>
  </si>
  <si>
    <t>kms por viaje</t>
  </si>
  <si>
    <t>cant viajes</t>
  </si>
  <si>
    <t>total de kms</t>
  </si>
  <si>
    <t>costo por km</t>
  </si>
  <si>
    <t>total</t>
  </si>
  <si>
    <t>jaco</t>
  </si>
  <si>
    <t>AFZ</t>
  </si>
  <si>
    <t>Zona Franca Coyol</t>
  </si>
  <si>
    <t>Limón</t>
  </si>
  <si>
    <t>Global Park - Ultra Park</t>
  </si>
  <si>
    <t>real</t>
  </si>
  <si>
    <t>Florida Bebidas</t>
  </si>
  <si>
    <t>saldo</t>
  </si>
  <si>
    <t>Planta Cristal</t>
  </si>
  <si>
    <t>Planta Pepsi</t>
  </si>
  <si>
    <t>Fórum2</t>
  </si>
  <si>
    <t>Puntarenas</t>
  </si>
  <si>
    <t>Nicoya</t>
  </si>
  <si>
    <t>San Ramon</t>
  </si>
  <si>
    <t>Guapiles</t>
  </si>
  <si>
    <t>Turrialba</t>
  </si>
  <si>
    <t>San Jose</t>
  </si>
  <si>
    <t>San Pedro</t>
  </si>
  <si>
    <t>Liberia</t>
  </si>
  <si>
    <t>Pérez Zeledón</t>
  </si>
  <si>
    <t>Paso Canoas</t>
  </si>
  <si>
    <t>Alajuela</t>
  </si>
  <si>
    <t>Cartago</t>
  </si>
  <si>
    <t>Equipos</t>
  </si>
  <si>
    <t xml:space="preserve">Materiales </t>
  </si>
  <si>
    <t>15 días</t>
  </si>
  <si>
    <t>V1</t>
  </si>
  <si>
    <t>GVCR configuración del sistema - Días</t>
  </si>
  <si>
    <t>Tel:</t>
  </si>
  <si>
    <t>Atención:</t>
  </si>
  <si>
    <t xml:space="preserve"> Correo:</t>
  </si>
  <si>
    <t>Asesor:</t>
  </si>
  <si>
    <t>Dirreción:</t>
  </si>
  <si>
    <t>Ref:</t>
  </si>
  <si>
    <t>T5-0000000-26</t>
  </si>
  <si>
    <t xml:space="preserve"> San José, Costa Rica </t>
  </si>
  <si>
    <t>MO</t>
  </si>
  <si>
    <t>MANO DE OBRA PROYECTO</t>
  </si>
  <si>
    <t>Financ.</t>
  </si>
  <si>
    <t>PROGRAMACION DE FINANCIAMIENTO POR LINEA (agregado automaticamente)</t>
  </si>
  <si>
    <t>CUADRO COSTOS FINANCIEROS</t>
  </si>
  <si>
    <t>Total Venta Proyecto</t>
  </si>
  <si>
    <t>Interes Anual</t>
  </si>
  <si>
    <t>Anticipos</t>
  </si>
  <si>
    <t>Porcentaje de Prima</t>
  </si>
  <si>
    <t>Otros ingresos</t>
  </si>
  <si>
    <t>Total a Financiar</t>
  </si>
  <si>
    <t>Plazo (Anos)</t>
  </si>
  <si>
    <t>Plazo (Meses)</t>
  </si>
  <si>
    <t>Cuota mensual</t>
  </si>
  <si>
    <t>Cuota anual</t>
  </si>
  <si>
    <t>Total Cuotas c/financiamiento</t>
  </si>
  <si>
    <t>Programacion de la amortizacion para Financiamiento</t>
  </si>
  <si>
    <t>Especificar valores</t>
  </si>
  <si>
    <t>Resumen del prestamo</t>
  </si>
  <si>
    <t>Importe del prestamo</t>
  </si>
  <si>
    <t>Tasa de interes anual</t>
  </si>
  <si>
    <t>Plazo del prestamo en anos</t>
  </si>
  <si>
    <t>Numero de pagos al ano</t>
  </si>
  <si>
    <t>Fecha inicial del prestamo</t>
  </si>
  <si>
    <t>Pagos adicionales opcionales (por periodo)</t>
  </si>
  <si>
    <t>Periodo de Gracia (meses sin pago)</t>
  </si>
  <si>
    <t>Periodos Totales</t>
  </si>
  <si>
    <t>Pago programado</t>
  </si>
  <si>
    <t>Numero de pagos programado</t>
  </si>
  <si>
    <t>Factor anualidad</t>
  </si>
  <si>
    <t>Total de pagos anticipados</t>
  </si>
  <si>
    <t>Interes total</t>
  </si>
  <si>
    <t>Total valor requerido ya con financiamiento</t>
  </si>
  <si>
    <t>N. Pago</t>
  </si>
  <si>
    <t>Fecha de pago</t>
  </si>
  <si>
    <t>Saldo inicial</t>
  </si>
  <si>
    <t>Pago adicional</t>
  </si>
  <si>
    <t>Pago total</t>
  </si>
  <si>
    <t>Capital</t>
  </si>
  <si>
    <t>Interes</t>
  </si>
  <si>
    <t>Saldo final</t>
  </si>
  <si>
    <t>Interes acumulativo</t>
  </si>
  <si>
    <t>[Nombre del asesor responsable]</t>
  </si>
  <si>
    <t>E-mail: [correo del asesor]</t>
  </si>
  <si>
    <t>DATOS DEL PROYECTO</t>
  </si>
  <si>
    <t>Se llena ANTES de armar la cotizacion. Deja registrado con que reglas y porcentajes se calculo esta oferta.</t>
  </si>
  <si>
    <t>IDENTIFICACION</t>
  </si>
  <si>
    <t>Tipo de cotizacion</t>
  </si>
  <si>
    <t>Estudio de mercado / Oferta de licitacion / Cliente privado</t>
  </si>
  <si>
    <t>Define los porcentajes recomendados</t>
  </si>
  <si>
    <t>Proyecto / descripcion</t>
  </si>
  <si>
    <t>Numero de licitacion</t>
  </si>
  <si>
    <t>Si aplica</t>
  </si>
  <si>
    <t>Asesor responsable</t>
  </si>
  <si>
    <t>Va tambien en la firma de la cotizacion</t>
  </si>
  <si>
    <t>Fecha de armado</t>
  </si>
  <si>
    <t>Validez de la oferta (dias)</t>
  </si>
  <si>
    <t>Fecha limite de entrega</t>
  </si>
  <si>
    <t>REGIMEN FISCAL DEL CLIENTE</t>
  </si>
  <si>
    <t>Regla R3</t>
  </si>
  <si>
    <t>Cliente exento de impuesto</t>
  </si>
  <si>
    <t>si / no</t>
  </si>
  <si>
    <t>Si no se sabe, PREGUNTAR. Nunca asumir</t>
  </si>
  <si>
    <t>% impuesto al cliente</t>
  </si>
  <si>
    <t>Va a la fila IMPUESTO de COTIZACION</t>
  </si>
  <si>
    <t>% administracion aplicado</t>
  </si>
  <si>
    <t>Hay clientes a los que no se les carga</t>
  </si>
  <si>
    <t>COSTO Y REGISTRO DE PROYECTO</t>
  </si>
  <si>
    <t>Reglas R4 y R5</t>
  </si>
  <si>
    <t>Proyecto registrado</t>
  </si>
  <si>
    <t>Sin registro no aplica el descuento mayor</t>
  </si>
  <si>
    <t>Distribuidor del registro</t>
  </si>
  <si>
    <t>Marca del registro</t>
  </si>
  <si>
    <t>Fecha del registro</t>
  </si>
  <si>
    <t>Vence: confirmar plazo con el distribuidor</t>
  </si>
  <si>
    <t>Origen del costo unitario</t>
  </si>
  <si>
    <t>Decir siempre cual se uso</t>
  </si>
  <si>
    <t>PORCENTAJES USADOS EN ESTA COTIZACION</t>
  </si>
  <si>
    <t>Se leen solos de cada pestana</t>
  </si>
  <si>
    <t>Equipos - Transporte</t>
  </si>
  <si>
    <t>Equipos - Imprevistos</t>
  </si>
  <si>
    <t>Equipos - IVA de linea</t>
  </si>
  <si>
    <t>Es un COSTO, no el impuesto al cliente</t>
  </si>
  <si>
    <t>Equipos - DAI</t>
  </si>
  <si>
    <t>Equipos - Administracion</t>
  </si>
  <si>
    <t>Equipos - Margen GV</t>
  </si>
  <si>
    <t>Cambiarlo mueve tambien OPEX GV</t>
  </si>
  <si>
    <t>MATERIALES - Margen GV</t>
  </si>
  <si>
    <t>ALCANCE Y MANO DE OBRA</t>
  </si>
  <si>
    <t>Regla R8</t>
  </si>
  <si>
    <t>Alcance</t>
  </si>
  <si>
    <t>Solo equipo / + accesorios / + materiales / + mano de obra</t>
  </si>
  <si>
    <t>Ubicacion del proyecto</t>
  </si>
  <si>
    <t>Para kilometraje y combustible, regla R9</t>
  </si>
  <si>
    <t>Dias estimados</t>
  </si>
  <si>
    <t>SIEMPRE se pregunta, no se estima solo</t>
  </si>
  <si>
    <t>Cantidad de personas</t>
  </si>
  <si>
    <t>SIEMPRE se pregunta</t>
  </si>
  <si>
    <t>FINANCIAMIENTO</t>
  </si>
  <si>
    <t>Regla R13</t>
  </si>
  <si>
    <t>Lleva financiamiento</t>
  </si>
  <si>
    <t>SIEMPRE preguntar, sin importar el tamano</t>
  </si>
  <si>
    <t>Plazo (anos)</t>
  </si>
  <si>
    <t>Solo si lleva</t>
  </si>
  <si>
    <t>Tasa anual</t>
  </si>
  <si>
    <t>TIPO DE CAMBIO</t>
  </si>
  <si>
    <t>Regla R7</t>
  </si>
  <si>
    <t>Tipo de cambio usado</t>
  </si>
  <si>
    <t>Del banco, redondeado hacia arriba</t>
  </si>
  <si>
    <t>Fuente y fecha</t>
  </si>
  <si>
    <t>Destino / localidad</t>
  </si>
  <si>
    <t>Solo la DISTANCIA sale de esta tabla.</t>
  </si>
  <si>
    <t>Cuantos viajes y cuantos carros lleva el proyecto se preguntan al cotizar.</t>
  </si>
  <si>
    <t>Precio Unitario Mensual</t>
  </si>
  <si>
    <t>Total Mensual</t>
  </si>
  <si>
    <t>TOTAL MENSUAL</t>
  </si>
  <si>
    <t>Si al escribir en una celda cambia un numero en otra, esa otra es formula: no la toques ni la pises.</t>
  </si>
  <si>
    <t>Nunca escribas un precio de venta a mano. El precio de venta SALE del costo, no al reves.</t>
  </si>
  <si>
    <t>Columna</t>
  </si>
  <si>
    <t>Description</t>
  </si>
  <si>
    <t>El IVA de la columna es un COSTO: lo que el proveedor nos cobra a nosotros al comprar. El impuesto del cliente es la fila IMPUESTO de COTIZACION, y depende del regimen fiscal del cliente.</t>
  </si>
  <si>
    <t>El margen de OPEX GV es la formula =Equipos!N4. Si cambias el margen en Equipos, tambien se mueve el de OPEX GV, sin ningun aviso.</t>
  </si>
  <si>
    <t>Guia de pestanas</t>
  </si>
  <si>
    <t>Guia de formulas</t>
  </si>
  <si>
    <t>Las formulas que deciden la plata, explicadas en palabras.</t>
  </si>
  <si>
    <t>GUIA DE PESTANAS</t>
  </si>
  <si>
    <t>Pestana</t>
  </si>
  <si>
    <t>Para que sirve</t>
  </si>
  <si>
    <t>Que se escribe a mano</t>
  </si>
  <si>
    <t>Que sale solo</t>
  </si>
  <si>
    <t>Conectada con</t>
  </si>
  <si>
    <t>RESUMEN</t>
  </si>
  <si>
    <t>Resumen de costo y venta por componente del proyecto.</t>
  </si>
  <si>
    <t>Nada.</t>
  </si>
  <si>
    <t>Costo, % del costo, % de venta, precio de venta y margen de cada componente.</t>
  </si>
  <si>
    <t>Toma costo y margen de Equipos, Productos 2, MATERIALES, OPEX GV y OPEX Proyecto.</t>
  </si>
  <si>
    <t>COTIZACION</t>
  </si>
  <si>
    <t>El documento que ve el cliente. Es la salida, no una entrada.</t>
  </si>
  <si>
    <t>Nada. Solo se revisa antes de exportar.</t>
  </si>
  <si>
    <t>Cantidad, descripcion, precio unitario y total de cada linea; SUBTOTAL, IMPUESTO y TOTAL.</t>
  </si>
  <si>
    <t>Espeja las 50 lineas de Equipos. El impuesto sale de Datos del proyecto.</t>
  </si>
  <si>
    <t>COTIZACION (Financ)</t>
  </si>
  <si>
    <t>La misma cotizacion en modalidad financiada: muestra la cuota mensual.</t>
  </si>
  <si>
    <t>Precio unitario mensual por cantidad = total mensual.</t>
  </si>
  <si>
    <t>Toma la cuota del cuadro de Financiamiento que corresponde al ID de la columna Financ. de Equipos.</t>
  </si>
  <si>
    <t>La pestana principal: el equipo que se vende. 50 lineas, filas 6 a 55.</t>
  </si>
  <si>
    <t>Description, IMPORTADO, Qty y Costo Unit. Mas el ID en Financ. si esa linea se financia.</t>
  </si>
  <si>
    <t>Transporte, imprevistos, IVA, DAI, costo nacionalizado, administracion, margen y precio de venta.</t>
  </si>
  <si>
    <t>Alimenta COTIZACION, RESUMEN y Financiamiento. Su margen (N4) tambien manda sobre OPEX GV.</t>
  </si>
  <si>
    <t>Segunda seccion de producto, si el proyecto separa dos bloques de equipo. 10 lineas.</t>
  </si>
  <si>
    <t>Las mismas cuatro columnas.</t>
  </si>
  <si>
    <t>Lo mismo que Equipos, con sus propios porcentajes.</t>
  </si>
  <si>
    <t>Alimenta RESUMEN y Financiamiento.</t>
  </si>
  <si>
    <t>MATERIALES</t>
  </si>
  <si>
    <t>Materiales de instalacion: tuberia, cable, cajas, conectores. 39 lineas.</t>
  </si>
  <si>
    <t>Las mismas cuatro columnas. Las CANTIDADES se preguntan en cada proyecto: no salen de ninguna tabla.</t>
  </si>
  <si>
    <t>Financiamiento</t>
  </si>
  <si>
    <t>Un cuadro de costos financieros por cada linea que se financie. 50 cuadros para Equipos.</t>
  </si>
  <si>
    <t>Interes anual y plazo de cada cuadro, si cambian. Anticipos y otros ingresos.</t>
  </si>
  <si>
    <t>Total a financiar, cuota mensual y anual, total de cuotas y costo financiero.</t>
  </si>
  <si>
    <t>Trae el precio de venta por ID desde la columna Financ. de cada pestana de producto.</t>
  </si>
  <si>
    <t>PTMO</t>
  </si>
  <si>
    <t>Calculadora de amortizacion mes a mes, de uso general.</t>
  </si>
  <si>
    <t>Importe, tasa, plazo y fecha de inicio.</t>
  </si>
  <si>
    <t>La tabla completa de pagos, con saldo que termina en cero.</t>
  </si>
  <si>
    <t>Independiente: no esta conectada a ningun cuadro de Financiamiento.</t>
  </si>
  <si>
    <t>RESUMEN (OPEX)</t>
  </si>
  <si>
    <t>El mismo resumen del proyecto, del lado de operacion.</t>
  </si>
  <si>
    <t>Costo, precio de venta y margen por componente.</t>
  </si>
  <si>
    <t>Toma los costos de las pestanas de producto y de OPEX.</t>
  </si>
  <si>
    <t>Costos de operacion de Grupo Vision: configuracion, puesta en marcha, ingenieria.</t>
  </si>
  <si>
    <t>Las mismas cuatro columnas. El costo unitario de la primera linea lo trae MANO DE OBRA.</t>
  </si>
  <si>
    <t>Lo mismo que Equipos.</t>
  </si>
  <si>
    <t>Su margen es la formula =Equipos!N4: cambiar el margen en Equipos lo mueve tambien.</t>
  </si>
  <si>
    <t>MANO DE OBRA</t>
  </si>
  <si>
    <t>El detalle de la instalacion: personas, dias, tarifas y viaticos.</t>
  </si>
  <si>
    <t>Cantidad de personas, dias, tarifas y viaticos. Los dias y las personas se preguntan siempre.</t>
  </si>
  <si>
    <t>Los totales que despues consume OPEX GV.</t>
  </si>
  <si>
    <t>Toma el costo del viaje de Transporte y entrega su total a OPEX GV.</t>
  </si>
  <si>
    <t>Distancias a los destinos y calculo del costo de los viajes.</t>
  </si>
  <si>
    <t>Cuantos carros y cuantos viajes lleva el proyecto.</t>
  </si>
  <si>
    <t>Total de kilometros y costo total del transporte.</t>
  </si>
  <si>
    <t>OPEX Proyecto</t>
  </si>
  <si>
    <t>Costos de operacion que se le cobran al proyecto.</t>
  </si>
  <si>
    <t>Lo mismo que Equipos, con margen propio.</t>
  </si>
  <si>
    <t>Alimenta RESUMEN y RESUMEN (OPEX).</t>
  </si>
  <si>
    <t>Datos del proyecto</t>
  </si>
  <si>
    <t>La ficha congelada: quien es el cliente, que regimen fiscal tiene y con que porcentajes se armo esta oferta.</t>
  </si>
  <si>
    <t>Cliente, tipo de cotizacion, exencion, % de impuesto, registro de proyecto, alcance, financiamiento y tipo de cambio.</t>
  </si>
  <si>
    <t>La fecha, los porcentajes (se espejan de Equipos y MATERIALES) y la tasa de impuesto que se esta aplicando.</t>
  </si>
  <si>
    <t>El % de impuesto de esta ficha es el que usa la fila IMPUESTO de las dos cotizaciones.</t>
  </si>
  <si>
    <t>GUIA DE FORMULAS</t>
  </si>
  <si>
    <t>Donde</t>
  </si>
  <si>
    <t>La formula tal cual esta</t>
  </si>
  <si>
    <t>Que significa</t>
  </si>
  <si>
    <t>=E6*D6</t>
  </si>
  <si>
    <t>Costo unitario por cantidad. Es el FOB, antes de cualquier gasto.</t>
  </si>
  <si>
    <t>=IF(C6="si", E6*$G$4, 0)</t>
  </si>
  <si>
    <t>Solo se cobra si la linea es IMPORTADO = si. Si es compra local, da cero.</t>
  </si>
  <si>
    <t>=(E6+G6)*$H$4</t>
  </si>
  <si>
    <t>Un colchon sobre el costo mas el transporte. Se aplica siempre.</t>
  </si>
  <si>
    <t>=(E6+G6+H6)*$I$4</t>
  </si>
  <si>
    <t>El IVA que el PROVEEDOR nos cobra a nosotros. Es un costo, no es el impuesto del cliente.</t>
  </si>
  <si>
    <t>=IF(C6="si", (E6+G6+H6+I6)*$J$4, 0)</t>
  </si>
  <si>
    <t>El impuesto de aduanas. Igual que el transporte: solo si es importado.</t>
  </si>
  <si>
    <t>=E6+G6+H6+I6+J6</t>
  </si>
  <si>
    <t>Lo que de verdad cuesta poner una unidad en Costa Rica. Es la base de todo lo que sigue.</t>
  </si>
  <si>
    <t>=K6*$L$4</t>
  </si>
  <si>
    <t>Gasto administrativo sobre el costo nacionalizado.</t>
  </si>
  <si>
    <t>=(K6+L6)*$N$4/(1-$N$4)</t>
  </si>
  <si>
    <t>=N6+K6+L6</t>
  </si>
  <si>
    <t>Costo nacionalizado mas administracion mas utilidad. Es lo que ve el cliente por unidad.</t>
  </si>
  <si>
    <t>=O6*D6</t>
  </si>
  <si>
    <t>Precio unitario por cantidad.</t>
  </si>
  <si>
    <t>=SUM(P6:P55)</t>
  </si>
  <si>
    <t>La suma de las 50 lineas. Es lo que alimenta el SUBTOTAL de la cotizacion.</t>
  </si>
  <si>
    <t>=Equipos!D6</t>
  </si>
  <si>
    <t>Copia la cantidad de la linea 1 de Equipos. Las 50 lineas se espejan igual, filas 22 a 71.</t>
  </si>
  <si>
    <t>=Equipos!B6</t>
  </si>
  <si>
    <t>Copia la descripcion tal cual se escribio en Equipos.</t>
  </si>
  <si>
    <t>=Equipos!O6</t>
  </si>
  <si>
    <t>Copia el precio de venta unitario ya calculado.</t>
  </si>
  <si>
    <t>=I22*B22</t>
  </si>
  <si>
    <t>=SUM(J21:J73)</t>
  </si>
  <si>
    <t>=ROUNDDOWN(J74+J75, 2)</t>
  </si>
  <si>
    <t>=SUMIF(Equipos!$Q$6:$Q$55, A3, Equipos!$O$6:$O$55)</t>
  </si>
  <si>
    <t>=C4-C5-C6</t>
  </si>
  <si>
    <t>El monto a financiar, menos anticipos y otros ingresos.</t>
  </si>
  <si>
    <t>formula de anualidad estandar</t>
  </si>
  <si>
    <t>Cuadro n</t>
  </si>
  <si>
    <t>fila 3 + (n-1) * 17</t>
  </si>
  <si>
    <t>=IFERROR(IF(Equipos!Q6="","", INDEX(Financiamiento!$C:$C, 12+(Equipos!Q6-1)*17)), "")</t>
  </si>
  <si>
    <t>Busca el cuadro que corresponde al ID de esa linea y trae su cuota mensual. Si la linea no tiene ID, queda vacia.</t>
  </si>
  <si>
    <t>=IFERROR(I22*B22, "")</t>
  </si>
  <si>
    <t>Cuota unitaria por cantidad. El IFERROR esta porque multiplicar vacio por un numero da error.</t>
  </si>
  <si>
    <t>=[@Costo]/(1-[@[% de venta]])</t>
  </si>
  <si>
    <t>La misma logica de margen sobre precio de venta, aplicada al componente completo.</t>
  </si>
  <si>
    <t>=Equipos!N4</t>
  </si>
  <si>
    <t>='MANO DE OBRA '!G9+'MANO DE OBRA '!K9</t>
  </si>
  <si>
    <t>El costo de la primera linea de OPEX GV lo trae la pestana MANO DE OBRA.</t>
  </si>
  <si>
    <t>=Transporte!I3</t>
  </si>
  <si>
    <t>Y MANO DE OBRA, a su vez, toma el costo del viaje de la pestana Transporte.</t>
  </si>
  <si>
    <t>=F3*E3*D3</t>
  </si>
  <si>
    <t>Total de kilometros = cantidad de viajes por kilometros por viaje por cantidad de carros.</t>
  </si>
  <si>
    <t>=H3*G3</t>
  </si>
  <si>
    <t>Costo total = costo por kilometro por el total de kilometros.</t>
  </si>
  <si>
    <t>MATRIZ Y OFERTA</t>
  </si>
  <si>
    <t>Leer esto primero. Son cinco minutos y evitan los errores que mas caro salen.</t>
  </si>
  <si>
    <t xml:space="preserve">  QUE ES ESTE ARCHIVO</t>
  </si>
  <si>
    <t>Es el machote oficial de matriz de costo y oferta. No se trabaja sobre el original: se copia una vez a la carpeta Matriz-Oferta de la cotizacion, y se llena esa copia.</t>
  </si>
  <si>
    <t>Tiene 34 pestanas: 14 de trabajo, 4 de guia (esta y las tres del final) y 16 ocultas. Las ocultas son estructura de reserva y hojas de analisis que hoy no se usan.</t>
  </si>
  <si>
    <t xml:space="preserve">  LA REGLA DE ORO</t>
  </si>
  <si>
    <t>En cada pestana de producto se escriben CUATRO columnas. Todo lo demas son formulas que calculan solas.</t>
  </si>
  <si>
    <t xml:space="preserve">  EN QUE ORDEN SE LLENA</t>
  </si>
  <si>
    <t>1.  Datos del proyecto</t>
  </si>
  <si>
    <t>La ultima pestana antes de las guias. Cliente, tipo de cotizacion, regimen fiscal, porcentajes y financiamiento.</t>
  </si>
  <si>
    <t>2.  Equipos</t>
  </si>
  <si>
    <t>Las lineas de equipo que se van a vender. Es la pestana principal.</t>
  </si>
  <si>
    <t>3.  MATERIALES</t>
  </si>
  <si>
    <t>Materiales de instalacion, si el alcance los incluye.</t>
  </si>
  <si>
    <t>4.  MANO DE OBRA y Transporte</t>
  </si>
  <si>
    <t>Solo si la oferta incluye instalacion.</t>
  </si>
  <si>
    <t>5.  Financiamiento</t>
  </si>
  <si>
    <t>Solo si el proyecto lleva esa modalidad. Si no, se deja en blanco y no pasa nada.</t>
  </si>
  <si>
    <t>6.  COTIZACION</t>
  </si>
  <si>
    <t>No se escribe: se revisa. Es lo que ve el cliente.</t>
  </si>
  <si>
    <t xml:space="preserve">  LAS UNICAS CUATRO COLUMNAS QUE SE ESCRIBEN</t>
  </si>
  <si>
    <t>Que va ahi, y con que cuidado</t>
  </si>
  <si>
    <t>Marca + modelo + descripcion del catalogo. Se copia tal cual a la cotizacion, asi que tiene que entenderse del lado del cliente.</t>
  </si>
  <si>
    <t>Cuantas unidades pide el proyecto. Si no la sabes, preguntala. No la estimes.</t>
  </si>
  <si>
    <t>Medido: sobre 10 unidades de 100 dolares, la diferencia entre 'si' y 'no' es de 387,24 dolares, un 26,5%. Excel no muestra ningun error.</t>
  </si>
  <si>
    <t xml:space="preserve">  LAS OTRAS TRES GUIAS, AL FINAL DEL LIBRO</t>
  </si>
  <si>
    <t>Que hace cada pestana de trabajo, que se escribe a mano y que sale solo.</t>
  </si>
  <si>
    <t>Las 14 pestanas de trabajo, en el orden en que aparecen. No se listan las 4 de guia ni las 16 ocultas.</t>
  </si>
  <si>
    <t>Su total va a MANO DE OBRA. La tabla de la derecha guarda UNICAMENTE la distancia de cada destino.</t>
  </si>
  <si>
    <t>Las formulas que deciden la plata, explicadas en palabras. Ninguna se escribe a mano: todas vienen en el machote.</t>
  </si>
  <si>
    <t xml:space="preserve">  EQUIPOS - de costo de compra a precio de venta, linea por linea</t>
  </si>
  <si>
    <t>F6   Costo Total</t>
  </si>
  <si>
    <t>G6   Transporte</t>
  </si>
  <si>
    <t>H6   Imprevistos</t>
  </si>
  <si>
    <t>I6   IVA de linea</t>
  </si>
  <si>
    <t>OJO</t>
  </si>
  <si>
    <t>A diferencia del transporte y del DAI, esta formula NO mira la columna IMPORTADO. El porcentaje sale de la fila 4 de la pestana y se aplica a las 50 lineas por igual: en Equipos es 0% y en MATERIALES es 13%. O sea que el IVA lo decide EN QUE PESTANA escribiste la linea, no el producto.</t>
  </si>
  <si>
    <t>J6   DAI</t>
  </si>
  <si>
    <t>K6   Costo Nacionalizado</t>
  </si>
  <si>
    <t>L6   Administracion</t>
  </si>
  <si>
    <t>N6   Margen GV</t>
  </si>
  <si>
    <t>El margen esta en 27,40 %, y eso quiere decir 27,40 % del PRECIO DE VENTA, no del costo. Sobre el costo equivale a 37,74 %.</t>
  </si>
  <si>
    <t>Por eso divide entre (1 - margen) en vez de multiplicar directo: es la unica forma de que el porcentaje se cumpla sobre el precio final. Multiplicando nada mas, el margen real quedaria por debajo del que dice la celda.</t>
  </si>
  <si>
    <t>O6   Precio Venta unitario</t>
  </si>
  <si>
    <t>P6   Precio Venta total</t>
  </si>
  <si>
    <t>P57  Total Venta</t>
  </si>
  <si>
    <t xml:space="preserve">  COTIZACION - lo que ve el cliente. No se escribe, se espeja</t>
  </si>
  <si>
    <t>B22  Cantidad</t>
  </si>
  <si>
    <t>C22  Descripcion</t>
  </si>
  <si>
    <t>I22  Precio U.</t>
  </si>
  <si>
    <t>J22  Total</t>
  </si>
  <si>
    <t>J74  SUBTOTAL</t>
  </si>
  <si>
    <t>Suma de todas las lineas, ANTES del impuesto al cliente. Es el monto que se anota en el control de cotizaciones.</t>
  </si>
  <si>
    <t>J75  IMPUESTO</t>
  </si>
  <si>
    <t>=J74*IF(LOWER(TRIM('Datos del proyecto'!$B$15))="si",0, IF(ISNUMBER('Datos del proyecto'!$B$16), IF('Datos del proyecto'!$B$16&gt;1, 'Datos del proyecto'!$B$16/100, 'Datos del proyecto'!$B$16), 0.13))</t>
  </si>
  <si>
    <t>El impuesto que paga el cliente, leido de la ficha Datos del proyecto: si B15 dice si (cliente exento) da cero; si no, usa el porcentaje de B16; si B16 esta vacio usa 13%. Si escribis 13 en vez de 13%, lo toma como 13% igual.</t>
  </si>
  <si>
    <t>J76  TOTAL</t>
  </si>
  <si>
    <t>Subtotal mas impuesto, truncado a dos decimales. No redondea hacia arriba: corta.</t>
  </si>
  <si>
    <t xml:space="preserve">  FINANCIAMIENTO - un cuadro por cada linea que se financie</t>
  </si>
  <si>
    <t>C4   Total Venta Proyecto</t>
  </si>
  <si>
    <t>Busca en la columna Financ. de Equipos el ID de este cuadro y trae el precio de venta UNITARIO de esa linea. Si ningun ID coincide da cero, y el cuadro simplemente no aplica.</t>
  </si>
  <si>
    <t>Por eso cada linea financiada lleva un ID distinto: si dos lineas comparten el mismo numero, el SUMIF suma dos precios unitarios y el resultado no significa nada.</t>
  </si>
  <si>
    <t>C8   Total a Financiar</t>
  </si>
  <si>
    <t>C12  Cuota mensual</t>
  </si>
  <si>
    <t>La cuota que paga el cliente cada mes, segun el interes anual y el plazo de ese cuadro.</t>
  </si>
  <si>
    <t>Los cuadros de Equipos van en la columna A/B: el cuadro 1 arranca en la fila 3 y el cuadro 50 en la 836.</t>
  </si>
  <si>
    <t xml:space="preserve">  COTIZACION (Financ) - la version con cuota mensual</t>
  </si>
  <si>
    <t>I22  Precio Unit. Mensual</t>
  </si>
  <si>
    <t>J22  Total Mensual</t>
  </si>
  <si>
    <t xml:space="preserve">  RESUMEN - costo y margen por componente</t>
  </si>
  <si>
    <t>F4   P. Venta</t>
  </si>
  <si>
    <t>E4   % de venta</t>
  </si>
  <si>
    <t>El porcentaje de cada fila viene de la pestana que le corresponde.</t>
  </si>
  <si>
    <t xml:space="preserve">  OPEX GV, MANO DE OBRA y Transporte - la cadena que sorprende</t>
  </si>
  <si>
    <t>OPEX GV   M4</t>
  </si>
  <si>
    <t>El margen de OPEX GV NO es independiente: es el mismo de Equipos. Cambiarlo alla lo mueve aca, sin aviso. MATERIALES y OPEX Proyecto si tienen el suyo propio.</t>
  </si>
  <si>
    <t>OPEX GV   D6</t>
  </si>
  <si>
    <t>MANO DE OBRA   I5</t>
  </si>
  <si>
    <t>Transporte   G3</t>
  </si>
  <si>
    <t>Transporte   I3</t>
  </si>
  <si>
    <t>De la tabla de destinos sale UNICAMENTE la distancia. Cuantos viajes y cuantos carros lleva el proyecto se preguntan al cotizar: eso depende del sitio y no de una tabla.</t>
  </si>
  <si>
    <t>OJO: el hospedaje (col. J) se multiplica solo por dias, no por personas. Si dos tecnicos duermen fuera se esta cobrando una sola habitacion. Pendiente de confirmar con preventa.</t>
  </si>
  <si>
    <t>TARIFAS DE REFERENCIA (medidas sobre 649 cotizaciones reales, 2025-2026)</t>
  </si>
  <si>
    <t>Hora hombre ,90  -  se uso en el 99% de las cotizaciones</t>
  </si>
  <si>
    <t>Precio por dia   -  confirmado por preventa</t>
  </si>
  <si>
    <t>Alimentacion  por dia y persona  -  el 88% de los casos</t>
  </si>
  <si>
    <t>Costo por kilometro ,60  -  el 99% de los casos (va en la pestana Transporte)</t>
  </si>
  <si>
    <t>Hospedaje: se deja en CERO. Solo el 12% de las cotizaciones lo cobra, porque la mayoria de los trabajos no requieren quedarse.</t>
  </si>
  <si>
    <t xml:space="preserve">   Cuando SI aplica, la tarifa mas usada es  por noche (37 de 58 casos). Se escribe a mano en la columna J.</t>
  </si>
  <si>
    <t>Todos estos son valores por defecto, no fijos: se cambian aca mismo si el proyecto lo amerita.</t>
  </si>
  <si>
    <t>si / no, segun si Grupo Vision compra ese articulo fuera del pais. NO es donde se fabrica: una camara coreana comprada a un proveedor tico es 'no'. Una linea de flete va siempre como 'no': si va 'si', se le cobra transporte al transporte.</t>
  </si>
  <si>
    <t xml:space="preserve">  LOS CUATRO ERRORES QUE MAS CARO SALEN</t>
  </si>
  <si>
    <t>1.  Poner el MSRP como costo</t>
  </si>
  <si>
    <t>La cotizacion sale cerca del DOBLE. El MSRP es donde suele terminar el precio al cliente, no de donde arranca el calculo. Medido: en 57.607 lineas de 1.119 cotizaciones reales, nadie lo hizo nunca.</t>
  </si>
  <si>
    <t>2.  Poner mal IMPORTADO</t>
  </si>
  <si>
    <t>3.  Confundir los dos IVA</t>
  </si>
  <si>
    <t>4.  Cambiar el margen en Equipos</t>
  </si>
  <si>
    <t>Lo que Grupo Vision PAGA por una unidad, en dolares: la columna Precio de compra GV del catalogo (el precio dealer). Si la fila no tiene costo, se usa el precio de lista y se avisa, porque ahi el margen real queda mayor que el que muestra la matriz. NUNCA el MSRP como costo.</t>
  </si>
  <si>
    <t>Precio de compra GV del catalogo (dealer) / costo de una cotizacion real / precio de lista, solo si no hay precio de compra</t>
  </si>
  <si>
    <t>Lineas de Equipos</t>
  </si>
  <si>
    <t>Lineas de Productos 2</t>
  </si>
  <si>
    <t>Lineas de MATERIALES</t>
  </si>
  <si>
    <t>Lineas de OPEX 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</si>
</sst>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L&quot;* #,##0.00_-;\-&quot;L&quot;* #,##0.00_-;_-&quot;L&quot;* &quot;-&quot;??_-;_-@_-"/>
    <numFmt numFmtId="167" formatCode="0.0%"/>
    <numFmt numFmtId="168" formatCode="_(&quot;L.&quot;\ * #,##0.00_);_(&quot;L.&quot;\ * \(#,##0.00\);_(&quot;L.&quot;\ * &quot;-&quot;??_);_(@_)"/>
    <numFmt numFmtId="169" formatCode="_-[$$-540A]* #,##0.00_ ;_-[$$-540A]* \-#,##0.00\ ;_-[$$-540A]* &quot;-&quot;??_ ;_-@_ "/>
    <numFmt numFmtId="170" formatCode="_-[$L-480A]* #,##0.00_-;\-[$L-480A]* #,##0.00_-;_-[$L-480A]* &quot;-&quot;??_-;_-@_-"/>
    <numFmt numFmtId="171" formatCode="_-[$$-540A]* #,##0.00_ ;_-[$$-540A]* \-#,##0.00\ ;_-[$$-540A]* \-??_ ;_-@_ "/>
    <numFmt numFmtId="172" formatCode="_(* #,##0.00_);_(* \(#,##0.00\);_(* \-??_);_(@_)"/>
    <numFmt numFmtId="173" formatCode="_(* #,##0_);_(* \(#,##0\);_(* \-??_);_(@_)"/>
    <numFmt numFmtId="174" formatCode="_-* #,##0.00_-;\-* #,##0.00_-;_-* \-??_-;_-@_-"/>
    <numFmt numFmtId="175" formatCode="_ [$L.-480A]\ * #,##0.00_ ;_ [$L.-480A]\ * \-#,##0.00_ ;_ [$L.-480A]\ * &quot;-&quot;??_ ;_ @_ "/>
    <numFmt numFmtId="176" formatCode="[$$-540A]#,##0.00_ ;\-[$$-540A]#,##0.00\ "/>
    <numFmt numFmtId="177" formatCode="_(&quot;$&quot;* #,##0.0_);_(&quot;$&quot;* \(#,##0.0\);_(&quot;$&quot;* &quot;-&quot;??_);_(@_)"/>
    <numFmt numFmtId="178" formatCode="_([$$-409]* #,##0.00_);_([$$-409]* \(#,##0.00\);_([$$-409]* &quot;-&quot;??_);_(@_)"/>
    <numFmt numFmtId="179" formatCode="_-[$₡-140A]* #,##0.00_-;\-[$₡-140A]* #,##0.00_-;_-[$₡-140A]* &quot;-&quot;??_-;_-@_-"/>
    <numFmt numFmtId="180" formatCode="_-[$$-409]* #,##0.00_ ;_-[$$-409]* \-#,##0.00\ ;_-[$$-409]* &quot;-&quot;??_ ;_-@_ "/>
    <numFmt numFmtId="181" formatCode="_([$$-540A]* #,##0.00_);_([$$-540A]* \(#,##0.00\);_([$$-540A]* &quot;-&quot;??_);_(@_)"/>
    <numFmt numFmtId="182" formatCode="[$$-409]#,##0.00"/>
    <numFmt numFmtId="183" formatCode=";;;"/>
    <numFmt numFmtId="184" formatCode="dd/mm/yyyy"/>
    <numFmt numFmtId="185" formatCode="0;\-0;;@"/>
    <numFmt numFmtId="186" formatCode="General;\-General;;@"/>
    <numFmt numFmtId="187" formatCode="_([$$-409]* #,##0.00_);_([$$-409]* \(#,##0.00\);;_(@_)"/>
  </numFmts>
  <fonts count="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indexed="64"/>
      <name val="Arial"/>
      <family val="2"/>
    </font>
    <font>
      <b/>
      <sz val="16"/>
      <color rgb="FF1F497D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1F497D"/>
      <name val="Arial"/>
      <family val="2"/>
      <charset val="1"/>
    </font>
    <font>
      <sz val="10"/>
      <color rgb="FF808080"/>
      <name val="Arial"/>
      <family val="2"/>
      <charset val="1"/>
    </font>
    <font>
      <sz val="10"/>
      <color rgb="FFFFFFFF"/>
      <name val="Arial"/>
      <family val="2"/>
      <charset val="1"/>
    </font>
    <font>
      <b/>
      <u/>
      <sz val="11"/>
      <name val="Arial"/>
      <family val="2"/>
      <charset val="1"/>
    </font>
    <font>
      <sz val="10"/>
      <name val="Arial"/>
      <family val="2"/>
      <charset val="1"/>
    </font>
    <font>
      <u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129"/>
      <scheme val="minor"/>
    </font>
    <font>
      <sz val="9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Arial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FFFFFF"/>
      <name val="Arial"/>
      <family val="2"/>
    </font>
    <font>
      <sz val="14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2"/>
      <name val="Arial"/>
      <family val="2"/>
    </font>
    <font>
      <b/>
      <sz val="14"/>
      <color theme="1"/>
      <name val="Arial"/>
      <family val="2"/>
    </font>
    <font>
      <sz val="11"/>
      <color rgb="FF262626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indexed="10"/>
      <name val="System"/>
      <family val="2"/>
    </font>
    <font>
      <b/>
      <i/>
      <sz val="14"/>
      <color theme="3"/>
      <name val="Arial"/>
      <family val="2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0"/>
      <color rgb="FFFFFFFF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i/>
      <sz val="11"/>
      <color theme="1"/>
      <name val="Calibri"/>
      <family val="2"/>
      <scheme val="minor"/>
    </font>
    <font>
      <sz val="11"/>
      <color rgb="FF404040"/>
      <name val="Calibri"/>
      <family val="2"/>
    </font>
    <font>
      <b/>
      <sz val="22"/>
      <color rgb="FF17365D"/>
      <name val="Calibri"/>
      <family val="2"/>
    </font>
    <font>
      <i/>
      <sz val="10.5"/>
      <color rgb="FF6E6E6E"/>
      <name val="Calibri"/>
      <family val="2"/>
    </font>
    <font>
      <b/>
      <sz val="11"/>
      <color rgb="FF404040"/>
      <name val="Calibri"/>
      <family val="2"/>
    </font>
    <font>
      <b/>
      <sz val="12"/>
      <color rgb="FFFFFFFF"/>
      <name val="Calibri"/>
      <family val="2"/>
    </font>
    <font>
      <b/>
      <sz val="12.5"/>
      <color rgb="FF2F5496"/>
      <name val="Calibri"/>
      <family val="2"/>
    </font>
    <font>
      <b/>
      <sz val="11"/>
      <color rgb="FFFFFFFF"/>
      <name val="Calibri"/>
      <family val="2"/>
    </font>
    <font>
      <b/>
      <sz val="11"/>
      <color rgb="FFBF8F00"/>
      <name val="Calibri"/>
      <family val="2"/>
    </font>
    <font>
      <b/>
      <sz val="11"/>
      <color rgb="FF2F5496"/>
      <name val="Calibri"/>
      <family val="2"/>
    </font>
    <font>
      <b/>
      <sz val="11"/>
      <color rgb="FF17365D"/>
      <name val="Calibri"/>
      <family val="2"/>
    </font>
    <font>
      <sz val="9"/>
      <color rgb="FF404040"/>
      <name val="Consolas"/>
      <family val="3"/>
    </font>
    <font>
      <i/>
      <sz val="11"/>
      <color rgb="FF404040"/>
      <name val="Calibri"/>
      <family val="2"/>
    </font>
    <font>
      <b/>
      <sz val="14"/>
      <color rgb="FF1F3864"/>
      <name val="Arial"/>
      <family val="2"/>
    </font>
    <font>
      <b/>
      <sz val="11"/>
      <color rgb="FFC00000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AFFFF"/>
      </patternFill>
    </fill>
    <fill>
      <patternFill patternType="solid">
        <fgColor rgb="FFFAFFFF"/>
        <bgColor rgb="FFFFFFFF"/>
      </patternFill>
    </fill>
    <fill>
      <patternFill patternType="solid">
        <fgColor rgb="FF1F497D"/>
        <bgColor rgb="FF17375E"/>
      </patternFill>
    </fill>
    <fill>
      <patternFill patternType="solid">
        <fgColor rgb="FFF2F2F2"/>
        <bgColor rgb="FFEBF1DE"/>
      </patternFill>
    </fill>
    <fill>
      <patternFill patternType="solid">
        <fgColor rgb="FF17375E"/>
        <bgColor rgb="FF1F497D"/>
      </patternFill>
    </fill>
    <fill>
      <patternFill patternType="solid">
        <fgColor rgb="FFDCE6F2"/>
        <bgColor rgb="FFEBF1D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366092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C4A62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</fills>
  <borders count="8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1F497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48"/>
      </top>
      <bottom style="thin">
        <color indexed="32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24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/>
    <xf numFmtId="0" fontId="13" fillId="0" borderId="0"/>
    <xf numFmtId="171" fontId="14" fillId="19" borderId="12"/>
    <xf numFmtId="0" fontId="15" fillId="0" borderId="0"/>
    <xf numFmtId="171" fontId="16" fillId="21" borderId="0"/>
    <xf numFmtId="171" fontId="17" fillId="20" borderId="6"/>
    <xf numFmtId="172" fontId="15" fillId="0" borderId="0" applyBorder="0" applyProtection="0"/>
    <xf numFmtId="171" fontId="18" fillId="20" borderId="0"/>
    <xf numFmtId="171" fontId="19" fillId="23" borderId="8">
      <alignment horizontal="center" vertical="center" wrapText="1"/>
    </xf>
    <xf numFmtId="171" fontId="20" fillId="20" borderId="0"/>
    <xf numFmtId="171" fontId="22" fillId="20" borderId="0" applyBorder="0"/>
    <xf numFmtId="171" fontId="21" fillId="0" borderId="13"/>
    <xf numFmtId="174" fontId="15" fillId="0" borderId="0" applyBorder="0" applyProtection="0"/>
    <xf numFmtId="171" fontId="15" fillId="0" borderId="0"/>
    <xf numFmtId="0" fontId="27" fillId="0" borderId="0"/>
    <xf numFmtId="0" fontId="7" fillId="0" borderId="0"/>
    <xf numFmtId="43" fontId="27" fillId="0" borderId="0" applyFont="0" applyFill="0" applyBorder="0" applyAlignment="0" applyProtection="0"/>
    <xf numFmtId="164" fontId="27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8" fillId="0" borderId="0"/>
    <xf numFmtId="0" fontId="6" fillId="0" borderId="0"/>
    <xf numFmtId="0" fontId="36" fillId="0" borderId="0"/>
    <xf numFmtId="43" fontId="7" fillId="0" borderId="0" applyFont="0" applyFill="0" applyBorder="0" applyAlignment="0" applyProtection="0"/>
    <xf numFmtId="165" fontId="39" fillId="0" borderId="0" applyFont="0" applyFill="0" applyBorder="0" applyAlignment="0" applyProtection="0"/>
    <xf numFmtId="169" fontId="5" fillId="0" borderId="0"/>
    <xf numFmtId="169" fontId="4" fillId="0" borderId="0"/>
    <xf numFmtId="43" fontId="27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169" fontId="3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58" fillId="0" borderId="0" applyNumberFormat="0" applyFill="0" applyBorder="0" applyAlignment="0" applyProtection="0"/>
    <xf numFmtId="166" fontId="2" fillId="0" borderId="0" applyFont="0" applyFill="0" applyBorder="0" applyAlignment="0" applyProtection="0"/>
  </cellStyleXfs>
  <cellXfs count="5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8" fillId="7" borderId="0" xfId="0" applyFont="1" applyFill="1" applyAlignment="1">
      <alignment horizontal="center"/>
    </xf>
    <xf numFmtId="9" fontId="8" fillId="7" borderId="0" xfId="0" applyNumberFormat="1" applyFont="1" applyFill="1" applyAlignment="1">
      <alignment horizontal="center"/>
    </xf>
    <xf numFmtId="167" fontId="8" fillId="7" borderId="0" xfId="0" applyNumberFormat="1" applyFont="1" applyFill="1" applyAlignment="1">
      <alignment horizontal="center"/>
    </xf>
    <xf numFmtId="0" fontId="7" fillId="0" borderId="0" xfId="0" applyFont="1"/>
    <xf numFmtId="164" fontId="0" fillId="0" borderId="0" xfId="1" applyFont="1" applyBorder="1" applyAlignment="1">
      <alignment vertical="center"/>
    </xf>
    <xf numFmtId="164" fontId="0" fillId="0" borderId="0" xfId="1" applyFont="1"/>
    <xf numFmtId="0" fontId="0" fillId="0" borderId="0" xfId="0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164" fontId="8" fillId="6" borderId="0" xfId="1" applyFont="1" applyFill="1" applyBorder="1" applyAlignment="1">
      <alignment vertical="center"/>
    </xf>
    <xf numFmtId="0" fontId="0" fillId="0" borderId="0" xfId="0" applyAlignment="1">
      <alignment vertical="center"/>
    </xf>
    <xf numFmtId="164" fontId="8" fillId="6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0" fillId="0" borderId="0" xfId="0" applyNumberFormat="1" applyAlignment="1">
      <alignment vertical="center"/>
    </xf>
    <xf numFmtId="0" fontId="8" fillId="10" borderId="0" xfId="0" applyFont="1" applyFill="1" applyAlignment="1">
      <alignment horizontal="center" vertical="center"/>
    </xf>
    <xf numFmtId="164" fontId="8" fillId="10" borderId="0" xfId="0" applyNumberFormat="1" applyFont="1" applyFill="1" applyAlignment="1">
      <alignment vertical="center"/>
    </xf>
    <xf numFmtId="0" fontId="8" fillId="7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9" fontId="8" fillId="7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7" fontId="8" fillId="7" borderId="0" xfId="0" applyNumberFormat="1" applyFont="1" applyFill="1" applyAlignment="1">
      <alignment horizontal="center" vertical="center"/>
    </xf>
    <xf numFmtId="9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9" fontId="0" fillId="0" borderId="0" xfId="2" applyFont="1" applyAlignment="1">
      <alignment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 textRotation="90"/>
    </xf>
    <xf numFmtId="0" fontId="7" fillId="0" borderId="0" xfId="0" applyFont="1" applyAlignment="1">
      <alignment horizontal="right" vertical="center"/>
    </xf>
    <xf numFmtId="164" fontId="0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8" fillId="0" borderId="0" xfId="1" applyFont="1" applyAlignment="1">
      <alignment horizontal="center" vertical="center"/>
    </xf>
    <xf numFmtId="0" fontId="0" fillId="0" borderId="0" xfId="0" applyAlignment="1">
      <alignment vertical="center" textRotation="90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4" fillId="19" borderId="12" xfId="6" applyNumberFormat="1"/>
    <xf numFmtId="0" fontId="14" fillId="19" borderId="12" xfId="6" applyNumberFormat="1" applyAlignment="1">
      <alignment horizontal="right"/>
    </xf>
    <xf numFmtId="0" fontId="15" fillId="20" borderId="0" xfId="7" applyFill="1"/>
    <xf numFmtId="0" fontId="16" fillId="21" borderId="0" xfId="8" applyNumberFormat="1"/>
    <xf numFmtId="0" fontId="17" fillId="20" borderId="6" xfId="9" applyNumberFormat="1"/>
    <xf numFmtId="0" fontId="17" fillId="20" borderId="6" xfId="9" applyNumberFormat="1" applyAlignment="1">
      <alignment horizontal="right"/>
    </xf>
    <xf numFmtId="173" fontId="7" fillId="20" borderId="0" xfId="10" applyNumberFormat="1" applyFont="1" applyFill="1" applyBorder="1" applyAlignment="1" applyProtection="1">
      <alignment horizontal="right"/>
    </xf>
    <xf numFmtId="0" fontId="15" fillId="22" borderId="0" xfId="7" applyFill="1"/>
    <xf numFmtId="0" fontId="18" fillId="20" borderId="0" xfId="11" applyNumberFormat="1"/>
    <xf numFmtId="0" fontId="15" fillId="20" borderId="0" xfId="7" applyFill="1" applyAlignment="1">
      <alignment horizontal="right"/>
    </xf>
    <xf numFmtId="0" fontId="19" fillId="23" borderId="8" xfId="12" applyNumberFormat="1">
      <alignment horizontal="center" vertical="center" wrapText="1"/>
    </xf>
    <xf numFmtId="0" fontId="20" fillId="20" borderId="0" xfId="13" applyNumberFormat="1"/>
    <xf numFmtId="4" fontId="21" fillId="0" borderId="13" xfId="10" applyNumberFormat="1" applyFont="1" applyBorder="1" applyAlignment="1" applyProtection="1">
      <alignment horizontal="right"/>
    </xf>
    <xf numFmtId="173" fontId="21" fillId="0" borderId="13" xfId="10" applyNumberFormat="1" applyFont="1" applyBorder="1" applyAlignment="1" applyProtection="1">
      <alignment horizontal="right"/>
    </xf>
    <xf numFmtId="0" fontId="0" fillId="20" borderId="0" xfId="7" applyFont="1" applyFill="1"/>
    <xf numFmtId="0" fontId="22" fillId="20" borderId="0" xfId="14" applyNumberFormat="1" applyBorder="1"/>
    <xf numFmtId="173" fontId="21" fillId="24" borderId="8" xfId="10" applyNumberFormat="1" applyFont="1" applyFill="1" applyBorder="1" applyAlignment="1" applyProtection="1">
      <alignment horizontal="right"/>
    </xf>
    <xf numFmtId="0" fontId="23" fillId="20" borderId="0" xfId="7" applyFont="1" applyFill="1"/>
    <xf numFmtId="173" fontId="21" fillId="24" borderId="10" xfId="10" applyNumberFormat="1" applyFont="1" applyFill="1" applyBorder="1" applyAlignment="1" applyProtection="1">
      <alignment horizontal="right"/>
    </xf>
    <xf numFmtId="173" fontId="21" fillId="0" borderId="13" xfId="10" applyNumberFormat="1" applyFont="1" applyBorder="1" applyProtection="1"/>
    <xf numFmtId="0" fontId="24" fillId="20" borderId="0" xfId="7" applyFont="1" applyFill="1"/>
    <xf numFmtId="10" fontId="21" fillId="0" borderId="13" xfId="15" applyNumberFormat="1"/>
    <xf numFmtId="173" fontId="21" fillId="0" borderId="13" xfId="16" applyNumberFormat="1" applyFont="1" applyBorder="1" applyProtection="1"/>
    <xf numFmtId="173" fontId="21" fillId="0" borderId="13" xfId="15" applyNumberFormat="1"/>
    <xf numFmtId="173" fontId="21" fillId="0" borderId="0" xfId="10" applyNumberFormat="1" applyFont="1" applyBorder="1" applyProtection="1"/>
    <xf numFmtId="9" fontId="25" fillId="0" borderId="13" xfId="15" applyNumberFormat="1" applyFont="1"/>
    <xf numFmtId="173" fontId="15" fillId="20" borderId="0" xfId="7" applyNumberFormat="1" applyFill="1"/>
    <xf numFmtId="0" fontId="15" fillId="0" borderId="0" xfId="7"/>
    <xf numFmtId="0" fontId="15" fillId="22" borderId="0" xfId="7" applyFill="1" applyAlignment="1">
      <alignment horizontal="right"/>
    </xf>
    <xf numFmtId="171" fontId="15" fillId="0" borderId="0" xfId="17"/>
    <xf numFmtId="170" fontId="15" fillId="20" borderId="0" xfId="7" applyNumberFormat="1" applyFill="1"/>
    <xf numFmtId="0" fontId="0" fillId="26" borderId="0" xfId="0" applyFill="1" applyAlignment="1">
      <alignment horizontal="center" vertical="center"/>
    </xf>
    <xf numFmtId="9" fontId="8" fillId="26" borderId="0" xfId="0" applyNumberFormat="1" applyFont="1" applyFill="1" applyAlignment="1">
      <alignment horizontal="center"/>
    </xf>
    <xf numFmtId="167" fontId="8" fillId="26" borderId="0" xfId="0" applyNumberFormat="1" applyFont="1" applyFill="1" applyAlignment="1">
      <alignment horizontal="center"/>
    </xf>
    <xf numFmtId="0" fontId="8" fillId="26" borderId="0" xfId="0" applyFont="1" applyFill="1" applyAlignment="1">
      <alignment horizontal="center" vertical="center"/>
    </xf>
    <xf numFmtId="9" fontId="8" fillId="26" borderId="0" xfId="0" applyNumberFormat="1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2" fillId="15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left" vertical="center" wrapText="1"/>
    </xf>
    <xf numFmtId="49" fontId="7" fillId="6" borderId="8" xfId="0" applyNumberFormat="1" applyFont="1" applyFill="1" applyBorder="1" applyAlignment="1">
      <alignment vertical="center" wrapText="1"/>
    </xf>
    <xf numFmtId="0" fontId="0" fillId="0" borderId="8" xfId="0" applyBorder="1" applyAlignment="1">
      <alignment horizontal="center"/>
    </xf>
    <xf numFmtId="49" fontId="7" fillId="27" borderId="8" xfId="0" applyNumberFormat="1" applyFont="1" applyFill="1" applyBorder="1" applyAlignment="1">
      <alignment vertical="center" wrapText="1"/>
    </xf>
    <xf numFmtId="49" fontId="7" fillId="18" borderId="8" xfId="0" applyNumberFormat="1" applyFont="1" applyFill="1" applyBorder="1" applyAlignment="1">
      <alignment vertical="center" wrapText="1"/>
    </xf>
    <xf numFmtId="49" fontId="7" fillId="29" borderId="8" xfId="0" applyNumberFormat="1" applyFont="1" applyFill="1" applyBorder="1" applyAlignment="1">
      <alignment vertical="center" wrapText="1"/>
    </xf>
    <xf numFmtId="0" fontId="8" fillId="26" borderId="8" xfId="0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49" fontId="30" fillId="4" borderId="19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7" fillId="27" borderId="21" xfId="0" applyNumberFormat="1" applyFont="1" applyFill="1" applyBorder="1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8" borderId="8" xfId="0" applyFill="1" applyBorder="1" applyAlignment="1">
      <alignment horizontal="left" vertical="center" wrapText="1"/>
    </xf>
    <xf numFmtId="1" fontId="0" fillId="16" borderId="8" xfId="1" applyNumberFormat="1" applyFont="1" applyFill="1" applyBorder="1" applyAlignment="1">
      <alignment horizontal="center" vertical="center"/>
    </xf>
    <xf numFmtId="175" fontId="0" fillId="8" borderId="8" xfId="1" applyNumberFormat="1" applyFont="1" applyFill="1" applyBorder="1" applyAlignment="1">
      <alignment horizontal="center" vertical="center"/>
    </xf>
    <xf numFmtId="0" fontId="0" fillId="16" borderId="8" xfId="1" applyNumberFormat="1" applyFont="1" applyFill="1" applyBorder="1" applyAlignment="1">
      <alignment horizontal="center" vertical="center"/>
    </xf>
    <xf numFmtId="0" fontId="0" fillId="8" borderId="8" xfId="1" applyNumberFormat="1" applyFont="1" applyFill="1" applyBorder="1" applyAlignment="1">
      <alignment horizontal="center" vertical="center"/>
    </xf>
    <xf numFmtId="170" fontId="0" fillId="8" borderId="8" xfId="1" applyNumberFormat="1" applyFont="1" applyFill="1" applyBorder="1"/>
    <xf numFmtId="0" fontId="0" fillId="0" borderId="8" xfId="0" applyBorder="1" applyAlignment="1">
      <alignment vertical="center"/>
    </xf>
    <xf numFmtId="1" fontId="0" fillId="8" borderId="8" xfId="0" applyNumberFormat="1" applyFill="1" applyBorder="1" applyAlignment="1">
      <alignment horizontal="center" vertical="center"/>
    </xf>
    <xf numFmtId="2" fontId="0" fillId="8" borderId="8" xfId="1" applyNumberFormat="1" applyFont="1" applyFill="1" applyBorder="1" applyAlignment="1">
      <alignment horizontal="center" vertical="center"/>
    </xf>
    <xf numFmtId="170" fontId="0" fillId="8" borderId="8" xfId="0" applyNumberFormat="1" applyFill="1" applyBorder="1"/>
    <xf numFmtId="170" fontId="0" fillId="8" borderId="8" xfId="1" applyNumberFormat="1" applyFont="1" applyFill="1" applyBorder="1" applyAlignment="1">
      <alignment horizontal="center" vertical="center"/>
    </xf>
    <xf numFmtId="175" fontId="0" fillId="8" borderId="8" xfId="1" applyNumberFormat="1" applyFont="1" applyFill="1" applyBorder="1" applyAlignment="1">
      <alignment horizontal="left" vertical="center"/>
    </xf>
    <xf numFmtId="166" fontId="0" fillId="0" borderId="0" xfId="0" applyNumberFormat="1"/>
    <xf numFmtId="0" fontId="0" fillId="0" borderId="23" xfId="0" applyBorder="1" applyAlignment="1">
      <alignment horizontal="center"/>
    </xf>
    <xf numFmtId="0" fontId="34" fillId="0" borderId="8" xfId="0" applyFont="1" applyBorder="1" applyAlignment="1">
      <alignment vertical="center" wrapText="1"/>
    </xf>
    <xf numFmtId="0" fontId="0" fillId="8" borderId="8" xfId="0" applyFill="1" applyBorder="1" applyAlignment="1">
      <alignment horizontal="left" vertical="center"/>
    </xf>
    <xf numFmtId="0" fontId="31" fillId="8" borderId="8" xfId="0" applyFont="1" applyFill="1" applyBorder="1" applyAlignment="1">
      <alignment horizontal="center" vertical="center"/>
    </xf>
    <xf numFmtId="169" fontId="33" fillId="25" borderId="8" xfId="0" applyNumberFormat="1" applyFont="1" applyFill="1" applyBorder="1" applyAlignment="1">
      <alignment vertical="center"/>
    </xf>
    <xf numFmtId="169" fontId="0" fillId="25" borderId="8" xfId="0" applyNumberFormat="1" applyFill="1" applyBorder="1" applyAlignment="1">
      <alignment vertical="center"/>
    </xf>
    <xf numFmtId="0" fontId="32" fillId="0" borderId="8" xfId="0" applyFont="1" applyBorder="1" applyAlignment="1">
      <alignment horizontal="left" vertical="center"/>
    </xf>
    <xf numFmtId="170" fontId="0" fillId="8" borderId="8" xfId="0" applyNumberFormat="1" applyFill="1" applyBorder="1" applyAlignment="1">
      <alignment vertical="center"/>
    </xf>
    <xf numFmtId="0" fontId="0" fillId="0" borderId="8" xfId="0" applyBorder="1" applyAlignment="1">
      <alignment horizontal="left" vertical="center"/>
    </xf>
    <xf numFmtId="175" fontId="0" fillId="8" borderId="8" xfId="1" applyNumberFormat="1" applyFont="1" applyFill="1" applyBorder="1" applyAlignment="1">
      <alignment vertical="center"/>
    </xf>
    <xf numFmtId="170" fontId="0" fillId="8" borderId="8" xfId="1" applyNumberFormat="1" applyFont="1" applyFill="1" applyBorder="1" applyAlignment="1">
      <alignment vertical="center"/>
    </xf>
    <xf numFmtId="170" fontId="0" fillId="0" borderId="8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175" fontId="31" fillId="16" borderId="22" xfId="1" applyNumberFormat="1" applyFont="1" applyFill="1" applyBorder="1" applyAlignment="1">
      <alignment vertical="center"/>
    </xf>
    <xf numFmtId="176" fontId="31" fillId="16" borderId="22" xfId="1" applyNumberFormat="1" applyFont="1" applyFill="1" applyBorder="1" applyAlignment="1">
      <alignment vertical="center"/>
    </xf>
    <xf numFmtId="0" fontId="7" fillId="8" borderId="8" xfId="0" applyFont="1" applyFill="1" applyBorder="1" applyAlignment="1">
      <alignment horizontal="left" vertical="center" wrapText="1"/>
    </xf>
    <xf numFmtId="164" fontId="0" fillId="8" borderId="0" xfId="1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167" fontId="8" fillId="26" borderId="0" xfId="0" applyNumberFormat="1" applyFont="1" applyFill="1" applyAlignment="1">
      <alignment horizontal="center" vertical="center"/>
    </xf>
    <xf numFmtId="177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9" fontId="0" fillId="0" borderId="24" xfId="2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9" fontId="8" fillId="12" borderId="22" xfId="2" applyFont="1" applyFill="1" applyBorder="1" applyAlignment="1">
      <alignment horizontal="center" vertical="center"/>
    </xf>
    <xf numFmtId="0" fontId="8" fillId="13" borderId="37" xfId="0" applyFont="1" applyFill="1" applyBorder="1" applyAlignment="1">
      <alignment horizontal="center" vertical="center" textRotation="90"/>
    </xf>
    <xf numFmtId="0" fontId="10" fillId="0" borderId="0" xfId="0" applyFont="1" applyAlignment="1">
      <alignment horizontal="center" vertical="center"/>
    </xf>
    <xf numFmtId="9" fontId="0" fillId="0" borderId="30" xfId="2" applyFont="1" applyBorder="1" applyAlignment="1">
      <alignment horizontal="center" vertical="center"/>
    </xf>
    <xf numFmtId="9" fontId="0" fillId="0" borderId="33" xfId="2" applyFont="1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/>
    </xf>
    <xf numFmtId="164" fontId="8" fillId="12" borderId="22" xfId="0" applyNumberFormat="1" applyFont="1" applyFill="1" applyBorder="1" applyAlignment="1">
      <alignment vertical="center"/>
    </xf>
    <xf numFmtId="164" fontId="8" fillId="12" borderId="22" xfId="1" applyFont="1" applyFill="1" applyBorder="1" applyAlignment="1">
      <alignment vertical="center"/>
    </xf>
    <xf numFmtId="164" fontId="8" fillId="0" borderId="0" xfId="0" applyNumberFormat="1" applyFont="1" applyAlignment="1">
      <alignment vertical="center"/>
    </xf>
    <xf numFmtId="9" fontId="0" fillId="0" borderId="0" xfId="2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vertical="center"/>
    </xf>
    <xf numFmtId="164" fontId="0" fillId="0" borderId="0" xfId="1" applyFont="1" applyFill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0" xfId="0" applyNumberFormat="1" applyAlignment="1">
      <alignment horizontal="center"/>
    </xf>
    <xf numFmtId="0" fontId="8" fillId="30" borderId="20" xfId="0" applyFont="1" applyFill="1" applyBorder="1" applyAlignment="1">
      <alignment horizontal="center"/>
    </xf>
    <xf numFmtId="167" fontId="8" fillId="4" borderId="21" xfId="0" applyNumberFormat="1" applyFont="1" applyFill="1" applyBorder="1" applyAlignment="1">
      <alignment horizontal="center"/>
    </xf>
    <xf numFmtId="0" fontId="0" fillId="0" borderId="7" xfId="0" applyBorder="1"/>
    <xf numFmtId="0" fontId="9" fillId="9" borderId="28" xfId="0" applyFont="1" applyFill="1" applyBorder="1"/>
    <xf numFmtId="9" fontId="9" fillId="9" borderId="27" xfId="2" applyFont="1" applyFill="1" applyBorder="1"/>
    <xf numFmtId="0" fontId="7" fillId="20" borderId="0" xfId="7" applyFont="1" applyFill="1"/>
    <xf numFmtId="164" fontId="15" fillId="20" borderId="0" xfId="1" applyFont="1" applyFill="1"/>
    <xf numFmtId="164" fontId="26" fillId="20" borderId="0" xfId="1" applyFont="1" applyFill="1"/>
    <xf numFmtId="164" fontId="9" fillId="9" borderId="27" xfId="1" applyFont="1" applyFill="1" applyBorder="1"/>
    <xf numFmtId="0" fontId="8" fillId="0" borderId="39" xfId="0" applyFont="1" applyBorder="1" applyAlignment="1">
      <alignment vertical="center" wrapText="1"/>
    </xf>
    <xf numFmtId="0" fontId="7" fillId="0" borderId="35" xfId="0" applyFont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30" xfId="1" applyFont="1" applyBorder="1" applyAlignment="1">
      <alignment horizontal="center" vertical="center"/>
    </xf>
    <xf numFmtId="164" fontId="0" fillId="0" borderId="31" xfId="1" applyFont="1" applyBorder="1" applyAlignment="1">
      <alignment horizontal="center" vertical="center"/>
    </xf>
    <xf numFmtId="164" fontId="8" fillId="12" borderId="22" xfId="0" applyNumberFormat="1" applyFont="1" applyFill="1" applyBorder="1" applyAlignment="1">
      <alignment horizontal="center" vertical="center"/>
    </xf>
    <xf numFmtId="164" fontId="8" fillId="12" borderId="22" xfId="1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8" fillId="16" borderId="8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 wrapText="1"/>
    </xf>
    <xf numFmtId="9" fontId="0" fillId="0" borderId="8" xfId="2" applyFont="1" applyBorder="1" applyAlignment="1">
      <alignment horizontal="center" vertical="center"/>
    </xf>
    <xf numFmtId="164" fontId="0" fillId="0" borderId="8" xfId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7" fillId="11" borderId="8" xfId="0" applyFont="1" applyFill="1" applyBorder="1" applyAlignment="1">
      <alignment vertical="center"/>
    </xf>
    <xf numFmtId="0" fontId="0" fillId="11" borderId="8" xfId="0" applyFill="1" applyBorder="1" applyAlignment="1">
      <alignment vertical="center"/>
    </xf>
    <xf numFmtId="0" fontId="7" fillId="11" borderId="8" xfId="0" applyFont="1" applyFill="1" applyBorder="1" applyAlignment="1">
      <alignment vertical="center" wrapText="1"/>
    </xf>
    <xf numFmtId="167" fontId="0" fillId="0" borderId="8" xfId="2" applyNumberFormat="1" applyFont="1" applyBorder="1" applyAlignment="1">
      <alignment vertical="center"/>
    </xf>
    <xf numFmtId="167" fontId="9" fillId="9" borderId="27" xfId="2" applyNumberFormat="1" applyFont="1" applyFill="1" applyBorder="1"/>
    <xf numFmtId="167" fontId="0" fillId="11" borderId="0" xfId="2" applyNumberFormat="1" applyFont="1" applyFill="1" applyAlignment="1">
      <alignment vertical="center"/>
    </xf>
    <xf numFmtId="0" fontId="12" fillId="17" borderId="0" xfId="0" applyFont="1" applyFill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167" fontId="8" fillId="0" borderId="0" xfId="2" applyNumberFormat="1" applyFont="1" applyFill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wrapText="1"/>
    </xf>
    <xf numFmtId="0" fontId="0" fillId="16" borderId="41" xfId="0" applyFill="1" applyBorder="1" applyAlignment="1">
      <alignment horizontal="center" vertical="center"/>
    </xf>
    <xf numFmtId="167" fontId="10" fillId="16" borderId="41" xfId="0" applyNumberFormat="1" applyFont="1" applyFill="1" applyBorder="1" applyAlignment="1">
      <alignment horizontal="center"/>
    </xf>
    <xf numFmtId="0" fontId="9" fillId="9" borderId="8" xfId="0" applyFont="1" applyFill="1" applyBorder="1" applyAlignment="1">
      <alignment vertical="center"/>
    </xf>
    <xf numFmtId="164" fontId="9" fillId="9" borderId="8" xfId="0" applyNumberFormat="1" applyFont="1" applyFill="1" applyBorder="1" applyAlignment="1">
      <alignment vertical="center"/>
    </xf>
    <xf numFmtId="167" fontId="9" fillId="9" borderId="8" xfId="2" applyNumberFormat="1" applyFont="1" applyFill="1" applyBorder="1" applyAlignment="1">
      <alignment vertical="center"/>
    </xf>
    <xf numFmtId="178" fontId="0" fillId="0" borderId="0" xfId="0" applyNumberFormat="1" applyAlignment="1">
      <alignment vertical="center"/>
    </xf>
    <xf numFmtId="9" fontId="12" fillId="17" borderId="0" xfId="0" applyNumberFormat="1" applyFont="1" applyFill="1" applyAlignment="1">
      <alignment horizontal="center" vertical="center"/>
    </xf>
    <xf numFmtId="9" fontId="12" fillId="17" borderId="0" xfId="0" applyNumberFormat="1" applyFont="1" applyFill="1" applyAlignment="1">
      <alignment horizontal="center"/>
    </xf>
    <xf numFmtId="9" fontId="8" fillId="31" borderId="0" xfId="0" applyNumberFormat="1" applyFont="1" applyFill="1" applyAlignment="1">
      <alignment horizontal="center" vertical="center"/>
    </xf>
    <xf numFmtId="0" fontId="8" fillId="31" borderId="0" xfId="0" applyFont="1" applyFill="1" applyAlignment="1">
      <alignment horizontal="center" vertical="center" wrapText="1"/>
    </xf>
    <xf numFmtId="0" fontId="0" fillId="31" borderId="0" xfId="0" applyFill="1" applyAlignment="1">
      <alignment horizontal="center" vertical="center"/>
    </xf>
    <xf numFmtId="0" fontId="38" fillId="17" borderId="1" xfId="0" applyFont="1" applyFill="1" applyBorder="1" applyAlignment="1">
      <alignment vertical="center"/>
    </xf>
    <xf numFmtId="0" fontId="7" fillId="31" borderId="0" xfId="0" applyFont="1" applyFill="1" applyAlignment="1">
      <alignment horizontal="center" vertical="center"/>
    </xf>
    <xf numFmtId="9" fontId="12" fillId="31" borderId="0" xfId="0" applyNumberFormat="1" applyFont="1" applyFill="1" applyAlignment="1">
      <alignment horizontal="center"/>
    </xf>
    <xf numFmtId="0" fontId="7" fillId="0" borderId="0" xfId="0" applyFont="1" applyAlignment="1">
      <alignment horizontal="left" wrapText="1"/>
    </xf>
    <xf numFmtId="164" fontId="0" fillId="7" borderId="30" xfId="0" applyNumberFormat="1" applyFill="1" applyBorder="1" applyAlignment="1">
      <alignment vertical="center"/>
    </xf>
    <xf numFmtId="164" fontId="0" fillId="7" borderId="24" xfId="0" applyNumberFormat="1" applyFill="1" applyBorder="1" applyAlignment="1">
      <alignment vertical="center"/>
    </xf>
    <xf numFmtId="9" fontId="0" fillId="7" borderId="30" xfId="2" applyFont="1" applyFill="1" applyBorder="1" applyAlignment="1">
      <alignment horizontal="center" vertical="center"/>
    </xf>
    <xf numFmtId="9" fontId="8" fillId="7" borderId="30" xfId="2" applyFont="1" applyFill="1" applyBorder="1" applyAlignment="1">
      <alignment horizontal="center" vertical="center"/>
    </xf>
    <xf numFmtId="164" fontId="0" fillId="7" borderId="30" xfId="1" applyFont="1" applyFill="1" applyBorder="1" applyAlignment="1">
      <alignment vertical="center"/>
    </xf>
    <xf numFmtId="164" fontId="0" fillId="7" borderId="31" xfId="1" applyFont="1" applyFill="1" applyBorder="1" applyAlignment="1">
      <alignment vertical="center"/>
    </xf>
    <xf numFmtId="9" fontId="0" fillId="7" borderId="33" xfId="2" applyFont="1" applyFill="1" applyBorder="1" applyAlignment="1">
      <alignment horizontal="center" vertical="center"/>
    </xf>
    <xf numFmtId="9" fontId="8" fillId="7" borderId="33" xfId="2" applyFont="1" applyFill="1" applyBorder="1" applyAlignment="1">
      <alignment horizontal="center" vertical="center"/>
    </xf>
    <xf numFmtId="164" fontId="0" fillId="7" borderId="33" xfId="1" applyFont="1" applyFill="1" applyBorder="1" applyAlignment="1">
      <alignment vertical="center"/>
    </xf>
    <xf numFmtId="164" fontId="0" fillId="7" borderId="34" xfId="1" applyFont="1" applyFill="1" applyBorder="1" applyAlignment="1">
      <alignment vertical="center"/>
    </xf>
    <xf numFmtId="9" fontId="7" fillId="7" borderId="24" xfId="2" applyFont="1" applyFill="1" applyBorder="1" applyAlignment="1">
      <alignment horizontal="center" vertical="center"/>
    </xf>
    <xf numFmtId="9" fontId="8" fillId="7" borderId="24" xfId="2" applyFont="1" applyFill="1" applyBorder="1" applyAlignment="1">
      <alignment horizontal="center" vertical="center"/>
    </xf>
    <xf numFmtId="164" fontId="0" fillId="7" borderId="40" xfId="1" applyFont="1" applyFill="1" applyBorder="1" applyAlignment="1">
      <alignment vertical="center"/>
    </xf>
    <xf numFmtId="164" fontId="7" fillId="7" borderId="1" xfId="1" applyFont="1" applyFill="1" applyBorder="1" applyAlignment="1">
      <alignment vertical="center"/>
    </xf>
    <xf numFmtId="179" fontId="7" fillId="0" borderId="0" xfId="0" applyNumberFormat="1" applyFont="1" applyAlignment="1">
      <alignment vertical="center"/>
    </xf>
    <xf numFmtId="0" fontId="7" fillId="0" borderId="41" xfId="0" applyFont="1" applyBorder="1" applyAlignment="1">
      <alignment vertical="center"/>
    </xf>
    <xf numFmtId="179" fontId="7" fillId="0" borderId="41" xfId="0" applyNumberFormat="1" applyFont="1" applyBorder="1" applyAlignment="1">
      <alignment vertical="center"/>
    </xf>
    <xf numFmtId="9" fontId="0" fillId="0" borderId="41" xfId="2" applyFont="1" applyFill="1" applyBorder="1" applyAlignment="1">
      <alignment vertical="center"/>
    </xf>
    <xf numFmtId="164" fontId="7" fillId="0" borderId="41" xfId="0" applyNumberFormat="1" applyFont="1" applyBorder="1" applyAlignment="1">
      <alignment vertical="center" wrapText="1"/>
    </xf>
    <xf numFmtId="0" fontId="7" fillId="0" borderId="0" xfId="0" applyFont="1" applyAlignment="1">
      <alignment vertical="center" textRotation="90"/>
    </xf>
    <xf numFmtId="180" fontId="0" fillId="0" borderId="0" xfId="0" applyNumberFormat="1" applyAlignment="1">
      <alignment vertical="center"/>
    </xf>
    <xf numFmtId="180" fontId="0" fillId="0" borderId="41" xfId="0" applyNumberFormat="1" applyBorder="1" applyAlignment="1">
      <alignment vertical="center"/>
    </xf>
    <xf numFmtId="164" fontId="0" fillId="7" borderId="44" xfId="0" applyNumberFormat="1" applyFill="1" applyBorder="1" applyAlignment="1">
      <alignment vertical="center"/>
    </xf>
    <xf numFmtId="164" fontId="0" fillId="7" borderId="1" xfId="0" applyNumberFormat="1" applyFill="1" applyBorder="1" applyAlignment="1">
      <alignment vertical="center"/>
    </xf>
    <xf numFmtId="164" fontId="0" fillId="7" borderId="7" xfId="0" applyNumberFormat="1" applyFill="1" applyBorder="1" applyAlignment="1">
      <alignment vertical="center"/>
    </xf>
    <xf numFmtId="164" fontId="0" fillId="7" borderId="27" xfId="0" applyNumberFormat="1" applyFill="1" applyBorder="1" applyAlignment="1">
      <alignment vertical="center"/>
    </xf>
    <xf numFmtId="164" fontId="8" fillId="12" borderId="45" xfId="1" applyFont="1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12" fillId="17" borderId="15" xfId="0" applyFont="1" applyFill="1" applyBorder="1" applyAlignment="1">
      <alignment vertical="center" wrapText="1"/>
    </xf>
    <xf numFmtId="0" fontId="0" fillId="0" borderId="5" xfId="0" applyBorder="1" applyAlignment="1">
      <alignment vertical="center"/>
    </xf>
    <xf numFmtId="9" fontId="7" fillId="7" borderId="30" xfId="2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164" fontId="0" fillId="7" borderId="46" xfId="0" applyNumberFormat="1" applyFill="1" applyBorder="1" applyAlignment="1">
      <alignment vertical="center"/>
    </xf>
    <xf numFmtId="9" fontId="8" fillId="7" borderId="46" xfId="2" applyFont="1" applyFill="1" applyBorder="1" applyAlignment="1">
      <alignment horizontal="center" vertical="center"/>
    </xf>
    <xf numFmtId="164" fontId="0" fillId="7" borderId="48" xfId="1" applyFont="1" applyFill="1" applyBorder="1" applyAlignment="1">
      <alignment vertical="center"/>
    </xf>
    <xf numFmtId="164" fontId="7" fillId="7" borderId="47" xfId="1" applyFont="1" applyFill="1" applyBorder="1" applyAlignment="1">
      <alignment vertical="center"/>
    </xf>
    <xf numFmtId="164" fontId="7" fillId="7" borderId="7" xfId="1" applyFont="1" applyFill="1" applyBorder="1" applyAlignment="1">
      <alignment vertical="center"/>
    </xf>
    <xf numFmtId="9" fontId="0" fillId="7" borderId="46" xfId="2" applyFont="1" applyFill="1" applyBorder="1" applyAlignment="1">
      <alignment horizontal="center" vertical="center"/>
    </xf>
    <xf numFmtId="164" fontId="0" fillId="7" borderId="34" xfId="0" applyNumberForma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12" fillId="14" borderId="8" xfId="0" applyFont="1" applyFill="1" applyBorder="1" applyAlignment="1">
      <alignment horizontal="center" vertical="center"/>
    </xf>
    <xf numFmtId="178" fontId="12" fillId="14" borderId="8" xfId="70" applyNumberFormat="1" applyFon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178" fontId="0" fillId="0" borderId="8" xfId="0" applyNumberFormat="1" applyBorder="1" applyAlignment="1">
      <alignment vertical="center"/>
    </xf>
    <xf numFmtId="165" fontId="0" fillId="0" borderId="0" xfId="70" applyFont="1" applyAlignment="1">
      <alignment vertical="center"/>
    </xf>
    <xf numFmtId="0" fontId="12" fillId="33" borderId="8" xfId="0" applyFont="1" applyFill="1" applyBorder="1" applyAlignment="1">
      <alignment horizontal="center" vertical="center"/>
    </xf>
    <xf numFmtId="178" fontId="12" fillId="33" borderId="8" xfId="0" applyNumberFormat="1" applyFont="1" applyFill="1" applyBorder="1" applyAlignment="1">
      <alignment vertical="center"/>
    </xf>
    <xf numFmtId="178" fontId="0" fillId="0" borderId="8" xfId="70" applyNumberFormat="1" applyFont="1" applyBorder="1" applyAlignment="1">
      <alignment vertical="center"/>
    </xf>
    <xf numFmtId="0" fontId="11" fillId="34" borderId="8" xfId="0" applyFont="1" applyFill="1" applyBorder="1" applyAlignment="1">
      <alignment vertical="center"/>
    </xf>
    <xf numFmtId="178" fontId="11" fillId="34" borderId="8" xfId="0" applyNumberFormat="1" applyFont="1" applyFill="1" applyBorder="1" applyAlignment="1">
      <alignment vertical="center"/>
    </xf>
    <xf numFmtId="9" fontId="0" fillId="7" borderId="0" xfId="2" applyFont="1" applyFill="1" applyAlignment="1">
      <alignment vertical="center"/>
    </xf>
    <xf numFmtId="43" fontId="0" fillId="0" borderId="0" xfId="0" applyNumberFormat="1"/>
    <xf numFmtId="0" fontId="8" fillId="16" borderId="32" xfId="0" applyFont="1" applyFill="1" applyBorder="1" applyAlignment="1">
      <alignment horizontal="center" vertical="center" textRotation="90"/>
    </xf>
    <xf numFmtId="0" fontId="12" fillId="28" borderId="29" xfId="0" applyFont="1" applyFill="1" applyBorder="1" applyAlignment="1">
      <alignment horizontal="center" vertical="center" textRotation="90"/>
    </xf>
    <xf numFmtId="181" fontId="4" fillId="0" borderId="17" xfId="72" applyNumberFormat="1" applyBorder="1"/>
    <xf numFmtId="169" fontId="4" fillId="35" borderId="17" xfId="72" applyFill="1" applyBorder="1"/>
    <xf numFmtId="169" fontId="4" fillId="0" borderId="0" xfId="72"/>
    <xf numFmtId="169" fontId="4" fillId="0" borderId="17" xfId="72" applyBorder="1"/>
    <xf numFmtId="0" fontId="0" fillId="0" borderId="8" xfId="0" applyBorder="1"/>
    <xf numFmtId="169" fontId="0" fillId="0" borderId="8" xfId="1" applyNumberFormat="1" applyFont="1" applyBorder="1"/>
    <xf numFmtId="169" fontId="0" fillId="0" borderId="8" xfId="0" applyNumberFormat="1" applyBorder="1"/>
    <xf numFmtId="169" fontId="0" fillId="0" borderId="0" xfId="0" applyNumberFormat="1"/>
    <xf numFmtId="0" fontId="42" fillId="0" borderId="0" xfId="0" applyFont="1" applyAlignment="1">
      <alignment vertical="center"/>
    </xf>
    <xf numFmtId="169" fontId="41" fillId="16" borderId="0" xfId="0" applyNumberFormat="1" applyFont="1" applyFill="1"/>
    <xf numFmtId="169" fontId="31" fillId="0" borderId="8" xfId="118" applyFont="1" applyBorder="1" applyAlignment="1">
      <alignment horizontal="center" vertical="center"/>
    </xf>
    <xf numFmtId="0" fontId="31" fillId="0" borderId="8" xfId="118" applyNumberFormat="1" applyFont="1" applyBorder="1" applyAlignment="1">
      <alignment horizontal="center" vertical="center"/>
    </xf>
    <xf numFmtId="169" fontId="3" fillId="0" borderId="0" xfId="118"/>
    <xf numFmtId="0" fontId="3" fillId="0" borderId="8" xfId="118" applyNumberFormat="1" applyBorder="1" applyAlignment="1">
      <alignment horizontal="center"/>
    </xf>
    <xf numFmtId="169" fontId="3" fillId="0" borderId="8" xfId="118" applyBorder="1"/>
    <xf numFmtId="0" fontId="3" fillId="0" borderId="8" xfId="118" applyNumberFormat="1" applyBorder="1"/>
    <xf numFmtId="0" fontId="3" fillId="0" borderId="0" xfId="118" applyNumberFormat="1"/>
    <xf numFmtId="169" fontId="31" fillId="16" borderId="22" xfId="118" applyFont="1" applyFill="1" applyBorder="1" applyAlignment="1">
      <alignment horizontal="center" vertical="center"/>
    </xf>
    <xf numFmtId="182" fontId="43" fillId="36" borderId="49" xfId="118" applyNumberFormat="1" applyFont="1" applyFill="1" applyBorder="1" applyAlignment="1">
      <alignment horizontal="center"/>
    </xf>
    <xf numFmtId="182" fontId="43" fillId="36" borderId="50" xfId="118" applyNumberFormat="1" applyFont="1" applyFill="1" applyBorder="1" applyAlignment="1">
      <alignment horizontal="center"/>
    </xf>
    <xf numFmtId="182" fontId="43" fillId="36" borderId="51" xfId="118" applyNumberFormat="1" applyFont="1" applyFill="1" applyBorder="1"/>
    <xf numFmtId="182" fontId="43" fillId="36" borderId="53" xfId="118" applyNumberFormat="1" applyFont="1" applyFill="1" applyBorder="1" applyAlignment="1">
      <alignment horizontal="center"/>
    </xf>
    <xf numFmtId="0" fontId="3" fillId="0" borderId="8" xfId="118" applyNumberFormat="1" applyBorder="1" applyAlignment="1">
      <alignment horizontal="center" vertical="center"/>
    </xf>
    <xf numFmtId="1" fontId="3" fillId="0" borderId="8" xfId="118" applyNumberFormat="1" applyBorder="1" applyAlignment="1">
      <alignment horizontal="center" vertical="center"/>
    </xf>
    <xf numFmtId="169" fontId="3" fillId="0" borderId="8" xfId="118" applyBorder="1" applyAlignment="1">
      <alignment horizontal="center" vertical="center"/>
    </xf>
    <xf numFmtId="182" fontId="45" fillId="0" borderId="8" xfId="118" applyNumberFormat="1" applyFont="1" applyBorder="1" applyAlignment="1">
      <alignment horizontal="center" vertical="center"/>
    </xf>
    <xf numFmtId="164" fontId="9" fillId="0" borderId="8" xfId="118" applyNumberFormat="1" applyFont="1" applyBorder="1" applyAlignment="1">
      <alignment vertical="center"/>
    </xf>
    <xf numFmtId="182" fontId="43" fillId="36" borderId="56" xfId="118" applyNumberFormat="1" applyFont="1" applyFill="1" applyBorder="1" applyAlignment="1">
      <alignment vertical="top" wrapText="1"/>
    </xf>
    <xf numFmtId="182" fontId="43" fillId="36" borderId="0" xfId="118" applyNumberFormat="1" applyFont="1" applyFill="1" applyAlignment="1">
      <alignment vertical="top" wrapText="1"/>
    </xf>
    <xf numFmtId="182" fontId="49" fillId="36" borderId="0" xfId="118" applyNumberFormat="1" applyFont="1" applyFill="1"/>
    <xf numFmtId="182" fontId="49" fillId="36" borderId="55" xfId="118" applyNumberFormat="1" applyFont="1" applyFill="1" applyBorder="1" applyAlignment="1">
      <alignment horizontal="right"/>
    </xf>
    <xf numFmtId="164" fontId="45" fillId="0" borderId="57" xfId="118" applyNumberFormat="1" applyFont="1" applyBorder="1"/>
    <xf numFmtId="164" fontId="45" fillId="0" borderId="54" xfId="118" applyNumberFormat="1" applyFont="1" applyBorder="1"/>
    <xf numFmtId="182" fontId="43" fillId="36" borderId="58" xfId="118" applyNumberFormat="1" applyFont="1" applyFill="1" applyBorder="1" applyAlignment="1">
      <alignment vertical="top" wrapText="1"/>
    </xf>
    <xf numFmtId="182" fontId="43" fillId="36" borderId="59" xfId="118" applyNumberFormat="1" applyFont="1" applyFill="1" applyBorder="1" applyAlignment="1">
      <alignment vertical="top" wrapText="1"/>
    </xf>
    <xf numFmtId="182" fontId="50" fillId="36" borderId="59" xfId="118" applyNumberFormat="1" applyFont="1" applyFill="1" applyBorder="1"/>
    <xf numFmtId="182" fontId="51" fillId="36" borderId="60" xfId="118" applyNumberFormat="1" applyFont="1" applyFill="1" applyBorder="1" applyAlignment="1">
      <alignment horizontal="right"/>
    </xf>
    <xf numFmtId="164" fontId="46" fillId="0" borderId="54" xfId="118" applyNumberFormat="1" applyFont="1" applyBorder="1"/>
    <xf numFmtId="169" fontId="52" fillId="0" borderId="8" xfId="118" applyFont="1" applyBorder="1" applyAlignment="1">
      <alignment horizontal="center" vertical="center"/>
    </xf>
    <xf numFmtId="182" fontId="49" fillId="36" borderId="55" xfId="118" applyNumberFormat="1" applyFont="1" applyFill="1" applyBorder="1" applyAlignment="1">
      <alignment horizontal="right" wrapText="1"/>
    </xf>
    <xf numFmtId="0" fontId="53" fillId="16" borderId="1" xfId="0" applyFont="1" applyFill="1" applyBorder="1" applyAlignment="1">
      <alignment vertical="center"/>
    </xf>
    <xf numFmtId="0" fontId="0" fillId="0" borderId="0" xfId="119" applyFont="1"/>
    <xf numFmtId="0" fontId="32" fillId="0" borderId="8" xfId="119" applyFont="1" applyBorder="1" applyAlignment="1">
      <alignment horizontal="center"/>
    </xf>
    <xf numFmtId="170" fontId="0" fillId="0" borderId="8" xfId="119" applyNumberFormat="1" applyFont="1" applyBorder="1"/>
    <xf numFmtId="0" fontId="33" fillId="0" borderId="8" xfId="119" applyFont="1" applyBorder="1" applyAlignment="1">
      <alignment horizontal="center"/>
    </xf>
    <xf numFmtId="0" fontId="32" fillId="0" borderId="8" xfId="119" applyFont="1" applyBorder="1" applyAlignment="1">
      <alignment horizontal="left" vertical="top"/>
    </xf>
    <xf numFmtId="0" fontId="0" fillId="0" borderId="8" xfId="119" applyFont="1" applyBorder="1"/>
    <xf numFmtId="0" fontId="0" fillId="0" borderId="8" xfId="119" applyFont="1" applyBorder="1" applyAlignment="1">
      <alignment horizontal="center" vertical="center"/>
    </xf>
    <xf numFmtId="164" fontId="0" fillId="39" borderId="8" xfId="120" applyNumberFormat="1" applyFont="1" applyFill="1" applyBorder="1"/>
    <xf numFmtId="164" fontId="0" fillId="0" borderId="8" xfId="120" applyNumberFormat="1" applyFont="1" applyBorder="1"/>
    <xf numFmtId="164" fontId="0" fillId="9" borderId="8" xfId="120" applyNumberFormat="1" applyFont="1" applyFill="1" applyBorder="1"/>
    <xf numFmtId="0" fontId="32" fillId="38" borderId="8" xfId="119" applyFont="1" applyFill="1" applyBorder="1" applyAlignment="1">
      <alignment horizontal="center"/>
    </xf>
    <xf numFmtId="170" fontId="0" fillId="38" borderId="8" xfId="119" applyNumberFormat="1" applyFont="1" applyFill="1" applyBorder="1" applyAlignment="1">
      <alignment horizontal="center"/>
    </xf>
    <xf numFmtId="164" fontId="33" fillId="11" borderId="8" xfId="120" applyNumberFormat="1" applyFont="1" applyFill="1" applyBorder="1"/>
    <xf numFmtId="164" fontId="0" fillId="0" borderId="0" xfId="120" applyNumberFormat="1" applyFont="1"/>
    <xf numFmtId="164" fontId="33" fillId="13" borderId="8" xfId="120" applyNumberFormat="1" applyFont="1" applyFill="1" applyBorder="1"/>
    <xf numFmtId="0" fontId="32" fillId="0" borderId="8" xfId="119" applyFont="1" applyBorder="1"/>
    <xf numFmtId="0" fontId="0" fillId="0" borderId="8" xfId="119" applyFont="1" applyBorder="1" applyAlignment="1">
      <alignment horizontal="center"/>
    </xf>
    <xf numFmtId="0" fontId="55" fillId="15" borderId="8" xfId="119" applyFont="1" applyFill="1" applyBorder="1"/>
    <xf numFmtId="0" fontId="0" fillId="38" borderId="8" xfId="119" applyFont="1" applyFill="1" applyBorder="1" applyAlignment="1">
      <alignment horizontal="center" vertical="center"/>
    </xf>
    <xf numFmtId="0" fontId="33" fillId="40" borderId="0" xfId="119" applyFont="1" applyFill="1"/>
    <xf numFmtId="170" fontId="33" fillId="40" borderId="0" xfId="119" applyNumberFormat="1" applyFont="1" applyFill="1"/>
    <xf numFmtId="0" fontId="2" fillId="0" borderId="0" xfId="119"/>
    <xf numFmtId="0" fontId="57" fillId="41" borderId="62" xfId="119" applyFont="1" applyFill="1" applyBorder="1" applyAlignment="1">
      <alignment horizontal="center"/>
    </xf>
    <xf numFmtId="0" fontId="57" fillId="42" borderId="62" xfId="119" applyFont="1" applyFill="1" applyBorder="1" applyAlignment="1">
      <alignment horizontal="left" indent="1"/>
    </xf>
    <xf numFmtId="0" fontId="2" fillId="0" borderId="0" xfId="119" applyAlignment="1">
      <alignment horizontal="center"/>
    </xf>
    <xf numFmtId="170" fontId="2" fillId="0" borderId="0" xfId="119" applyNumberFormat="1"/>
    <xf numFmtId="0" fontId="33" fillId="0" borderId="0" xfId="119" applyFont="1" applyAlignment="1">
      <alignment horizontal="center"/>
    </xf>
    <xf numFmtId="170" fontId="33" fillId="0" borderId="0" xfId="119" applyNumberFormat="1" applyFont="1"/>
    <xf numFmtId="0" fontId="57" fillId="41" borderId="62" xfId="119" applyFont="1" applyFill="1" applyBorder="1"/>
    <xf numFmtId="170" fontId="33" fillId="0" borderId="8" xfId="119" applyNumberFormat="1" applyFont="1" applyBorder="1"/>
    <xf numFmtId="164" fontId="45" fillId="0" borderId="53" xfId="118" applyNumberFormat="1" applyFont="1" applyBorder="1"/>
    <xf numFmtId="164" fontId="46" fillId="0" borderId="57" xfId="118" applyNumberFormat="1" applyFont="1" applyBorder="1"/>
    <xf numFmtId="164" fontId="45" fillId="0" borderId="63" xfId="118" applyNumberFormat="1" applyFont="1" applyBorder="1"/>
    <xf numFmtId="9" fontId="8" fillId="0" borderId="15" xfId="2" applyFont="1" applyBorder="1" applyAlignment="1">
      <alignment vertical="center" wrapText="1"/>
    </xf>
    <xf numFmtId="0" fontId="2" fillId="8" borderId="0" xfId="121" applyFill="1"/>
    <xf numFmtId="0" fontId="2" fillId="8" borderId="0" xfId="121" applyFill="1" applyAlignment="1">
      <alignment horizontal="center"/>
    </xf>
    <xf numFmtId="175" fontId="2" fillId="8" borderId="0" xfId="121" applyNumberFormat="1" applyFill="1"/>
    <xf numFmtId="0" fontId="8" fillId="8" borderId="0" xfId="121" applyFont="1" applyFill="1"/>
    <xf numFmtId="0" fontId="8" fillId="8" borderId="0" xfId="121" applyFont="1" applyFill="1" applyAlignment="1">
      <alignment horizontal="right"/>
    </xf>
    <xf numFmtId="175" fontId="59" fillId="8" borderId="0" xfId="121" applyNumberFormat="1" applyFont="1" applyFill="1"/>
    <xf numFmtId="0" fontId="60" fillId="8" borderId="0" xfId="122" applyFont="1" applyFill="1"/>
    <xf numFmtId="0" fontId="2" fillId="8" borderId="64" xfId="121" applyFill="1" applyBorder="1"/>
    <xf numFmtId="0" fontId="61" fillId="8" borderId="64" xfId="121" applyFont="1" applyFill="1" applyBorder="1"/>
    <xf numFmtId="175" fontId="61" fillId="8" borderId="64" xfId="121" applyNumberFormat="1" applyFont="1" applyFill="1" applyBorder="1"/>
    <xf numFmtId="0" fontId="61" fillId="8" borderId="0" xfId="121" applyFont="1" applyFill="1"/>
    <xf numFmtId="175" fontId="61" fillId="8" borderId="0" xfId="121" applyNumberFormat="1" applyFont="1" applyFill="1"/>
    <xf numFmtId="0" fontId="0" fillId="8" borderId="0" xfId="121" applyFont="1" applyFill="1"/>
    <xf numFmtId="14" fontId="8" fillId="8" borderId="65" xfId="121" applyNumberFormat="1" applyFont="1" applyFill="1" applyBorder="1" applyAlignment="1" applyProtection="1">
      <alignment horizontal="left"/>
      <protection locked="0"/>
    </xf>
    <xf numFmtId="0" fontId="63" fillId="8" borderId="65" xfId="121" applyFont="1" applyFill="1" applyBorder="1" applyAlignment="1" applyProtection="1">
      <alignment horizontal="left"/>
      <protection locked="0"/>
    </xf>
    <xf numFmtId="175" fontId="8" fillId="8" borderId="65" xfId="121" applyNumberFormat="1" applyFont="1" applyFill="1" applyBorder="1" applyAlignment="1" applyProtection="1">
      <alignment horizontal="left"/>
      <protection locked="0"/>
    </xf>
    <xf numFmtId="175" fontId="64" fillId="8" borderId="65" xfId="121" applyNumberFormat="1" applyFont="1" applyFill="1" applyBorder="1" applyAlignment="1" applyProtection="1">
      <alignment horizontal="left"/>
      <protection locked="0"/>
    </xf>
    <xf numFmtId="0" fontId="38" fillId="37" borderId="25" xfId="121" applyFont="1" applyFill="1" applyBorder="1" applyAlignment="1">
      <alignment horizontal="center" vertical="center"/>
    </xf>
    <xf numFmtId="0" fontId="38" fillId="37" borderId="8" xfId="121" applyFont="1" applyFill="1" applyBorder="1" applyAlignment="1">
      <alignment horizontal="center" vertical="center" wrapText="1"/>
    </xf>
    <xf numFmtId="175" fontId="38" fillId="37" borderId="8" xfId="121" applyNumberFormat="1" applyFont="1" applyFill="1" applyBorder="1" applyAlignment="1">
      <alignment horizontal="center" vertical="center"/>
    </xf>
    <xf numFmtId="0" fontId="2" fillId="8" borderId="0" xfId="121" applyFill="1" applyAlignment="1">
      <alignment horizontal="center" wrapText="1"/>
    </xf>
    <xf numFmtId="0" fontId="8" fillId="8" borderId="0" xfId="121" applyFont="1" applyFill="1" applyAlignment="1">
      <alignment horizontal="left"/>
    </xf>
    <xf numFmtId="1" fontId="9" fillId="8" borderId="15" xfId="121" applyNumberFormat="1" applyFont="1" applyFill="1" applyBorder="1" applyAlignment="1">
      <alignment horizontal="center"/>
    </xf>
    <xf numFmtId="0" fontId="9" fillId="8" borderId="15" xfId="121" applyFont="1" applyFill="1" applyBorder="1" applyAlignment="1">
      <alignment horizontal="left"/>
    </xf>
    <xf numFmtId="0" fontId="9" fillId="8" borderId="14" xfId="121" applyFont="1" applyFill="1" applyBorder="1" applyAlignment="1">
      <alignment horizontal="left"/>
    </xf>
    <xf numFmtId="0" fontId="9" fillId="8" borderId="16" xfId="121" applyFont="1" applyFill="1" applyBorder="1" applyAlignment="1">
      <alignment horizontal="left"/>
    </xf>
    <xf numFmtId="178" fontId="65" fillId="8" borderId="22" xfId="123" applyNumberFormat="1" applyFont="1" applyFill="1" applyBorder="1" applyAlignment="1">
      <alignment vertical="center"/>
    </xf>
    <xf numFmtId="178" fontId="65" fillId="8" borderId="16" xfId="123" applyNumberFormat="1" applyFont="1" applyFill="1" applyBorder="1" applyAlignment="1">
      <alignment vertical="center"/>
    </xf>
    <xf numFmtId="0" fontId="2" fillId="8" borderId="0" xfId="121" applyFill="1" applyAlignment="1">
      <alignment horizontal="left" indent="1"/>
    </xf>
    <xf numFmtId="0" fontId="68" fillId="8" borderId="0" xfId="121" applyFont="1" applyFill="1" applyAlignment="1">
      <alignment horizontal="right"/>
    </xf>
    <xf numFmtId="178" fontId="65" fillId="8" borderId="22" xfId="123" applyNumberFormat="1" applyFont="1" applyFill="1" applyBorder="1"/>
    <xf numFmtId="0" fontId="68" fillId="8" borderId="40" xfId="121" applyFont="1" applyFill="1" applyBorder="1" applyAlignment="1">
      <alignment horizontal="right"/>
    </xf>
    <xf numFmtId="178" fontId="65" fillId="8" borderId="8" xfId="123" applyNumberFormat="1" applyFont="1" applyFill="1" applyBorder="1"/>
    <xf numFmtId="183" fontId="2" fillId="8" borderId="0" xfId="121" applyNumberFormat="1" applyFill="1"/>
    <xf numFmtId="178" fontId="8" fillId="8" borderId="8" xfId="123" applyNumberFormat="1" applyFont="1" applyFill="1" applyBorder="1"/>
    <xf numFmtId="0" fontId="8" fillId="8" borderId="14" xfId="121" applyFont="1" applyFill="1" applyBorder="1"/>
    <xf numFmtId="0" fontId="2" fillId="8" borderId="14" xfId="121" applyFill="1" applyBorder="1"/>
    <xf numFmtId="49" fontId="7" fillId="8" borderId="67" xfId="0" applyNumberFormat="1" applyFont="1" applyFill="1" applyBorder="1" applyAlignment="1">
      <alignment vertical="center" wrapText="1"/>
    </xf>
    <xf numFmtId="164" fontId="0" fillId="0" borderId="67" xfId="0" applyNumberFormat="1" applyBorder="1" applyAlignment="1">
      <alignment vertical="center"/>
    </xf>
    <xf numFmtId="164" fontId="0" fillId="31" borderId="8" xfId="120" applyNumberFormat="1" applyFont="1" applyFill="1" applyBorder="1"/>
    <xf numFmtId="49" fontId="0" fillId="27" borderId="67" xfId="0" applyNumberFormat="1" applyFill="1" applyBorder="1" applyAlignment="1">
      <alignment vertical="center" wrapText="1"/>
    </xf>
    <xf numFmtId="0" fontId="0" fillId="0" borderId="67" xfId="0" applyBorder="1" applyAlignment="1">
      <alignment horizontal="center" vertical="center" wrapText="1"/>
    </xf>
    <xf numFmtId="49" fontId="7" fillId="27" borderId="67" xfId="0" applyNumberFormat="1" applyFont="1" applyFill="1" applyBorder="1" applyAlignment="1">
      <alignment vertical="center" wrapText="1"/>
    </xf>
    <xf numFmtId="0" fontId="0" fillId="0" borderId="68" xfId="0" applyBorder="1" applyAlignment="1">
      <alignment horizontal="center"/>
    </xf>
    <xf numFmtId="49" fontId="7" fillId="18" borderId="69" xfId="0" applyNumberFormat="1" applyFont="1" applyFill="1" applyBorder="1" applyAlignment="1">
      <alignment vertical="center" wrapText="1"/>
    </xf>
    <xf numFmtId="49" fontId="7" fillId="18" borderId="70" xfId="0" applyNumberFormat="1" applyFont="1" applyFill="1" applyBorder="1" applyAlignment="1">
      <alignment vertical="center" wrapText="1"/>
    </xf>
    <xf numFmtId="49" fontId="7" fillId="27" borderId="70" xfId="0" applyNumberFormat="1" applyFont="1" applyFill="1" applyBorder="1" applyAlignment="1">
      <alignment vertical="center" wrapText="1"/>
    </xf>
    <xf numFmtId="49" fontId="7" fillId="6" borderId="70" xfId="0" applyNumberFormat="1" applyFont="1" applyFill="1" applyBorder="1" applyAlignment="1">
      <alignment vertical="center" wrapText="1"/>
    </xf>
    <xf numFmtId="49" fontId="7" fillId="29" borderId="70" xfId="0" applyNumberFormat="1" applyFont="1" applyFill="1" applyBorder="1" applyAlignment="1">
      <alignment vertical="center" wrapText="1"/>
    </xf>
    <xf numFmtId="49" fontId="7" fillId="27" borderId="71" xfId="0" applyNumberFormat="1" applyFont="1" applyFill="1" applyBorder="1" applyAlignment="1">
      <alignment vertical="center" wrapText="1"/>
    </xf>
    <xf numFmtId="0" fontId="7" fillId="0" borderId="72" xfId="0" applyFont="1" applyBorder="1" applyAlignment="1">
      <alignment horizontal="center" vertical="center"/>
    </xf>
    <xf numFmtId="164" fontId="0" fillId="7" borderId="73" xfId="0" applyNumberFormat="1" applyFill="1" applyBorder="1" applyAlignment="1">
      <alignment vertical="center"/>
    </xf>
    <xf numFmtId="9" fontId="0" fillId="7" borderId="73" xfId="2" applyFont="1" applyFill="1" applyBorder="1" applyAlignment="1">
      <alignment horizontal="center" vertical="center"/>
    </xf>
    <xf numFmtId="9" fontId="8" fillId="7" borderId="73" xfId="2" applyFont="1" applyFill="1" applyBorder="1" applyAlignment="1">
      <alignment horizontal="center" vertical="center"/>
    </xf>
    <xf numFmtId="164" fontId="0" fillId="7" borderId="73" xfId="1" applyFont="1" applyFill="1" applyBorder="1" applyAlignment="1">
      <alignment vertical="center"/>
    </xf>
    <xf numFmtId="164" fontId="0" fillId="7" borderId="74" xfId="1" applyFont="1" applyFill="1" applyBorder="1" applyAlignment="1">
      <alignment vertical="center"/>
    </xf>
    <xf numFmtId="0" fontId="7" fillId="16" borderId="72" xfId="0" applyFont="1" applyFill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164" fontId="0" fillId="7" borderId="75" xfId="0" applyNumberFormat="1" applyFill="1" applyBorder="1" applyAlignment="1">
      <alignment vertical="center"/>
    </xf>
    <xf numFmtId="1" fontId="7" fillId="8" borderId="77" xfId="0" applyNumberFormat="1" applyFont="1" applyFill="1" applyBorder="1" applyAlignment="1">
      <alignment horizontal="center" vertical="center"/>
    </xf>
    <xf numFmtId="164" fontId="0" fillId="0" borderId="77" xfId="1" applyFont="1" applyBorder="1" applyAlignment="1">
      <alignment vertical="center"/>
    </xf>
    <xf numFmtId="164" fontId="0" fillId="0" borderId="77" xfId="0" applyNumberFormat="1" applyBorder="1" applyAlignment="1">
      <alignment vertical="center"/>
    </xf>
    <xf numFmtId="164" fontId="0" fillId="5" borderId="77" xfId="1" applyFont="1" applyFill="1" applyBorder="1" applyAlignment="1">
      <alignment vertical="center"/>
    </xf>
    <xf numFmtId="49" fontId="7" fillId="8" borderId="77" xfId="0" applyNumberFormat="1" applyFont="1" applyFill="1" applyBorder="1" applyAlignment="1">
      <alignment vertical="center" wrapText="1"/>
    </xf>
    <xf numFmtId="0" fontId="0" fillId="8" borderId="77" xfId="0" applyFill="1" applyBorder="1"/>
    <xf numFmtId="169" fontId="0" fillId="8" borderId="77" xfId="1" applyNumberFormat="1" applyFont="1" applyFill="1" applyBorder="1"/>
    <xf numFmtId="49" fontId="7" fillId="0" borderId="77" xfId="0" applyNumberFormat="1" applyFont="1" applyBorder="1" applyAlignment="1">
      <alignment horizontal="left" vertical="center" wrapText="1"/>
    </xf>
    <xf numFmtId="1" fontId="7" fillId="8" borderId="77" xfId="0" applyNumberFormat="1" applyFont="1" applyFill="1" applyBorder="1" applyAlignment="1">
      <alignment horizontal="right" vertical="center"/>
    </xf>
    <xf numFmtId="164" fontId="0" fillId="0" borderId="77" xfId="0" applyNumberFormat="1" applyBorder="1"/>
    <xf numFmtId="49" fontId="7" fillId="0" borderId="77" xfId="0" applyNumberFormat="1" applyFont="1" applyBorder="1" applyAlignment="1">
      <alignment horizontal="left" wrapText="1"/>
    </xf>
    <xf numFmtId="164" fontId="0" fillId="0" borderId="77" xfId="1" applyFont="1" applyBorder="1"/>
    <xf numFmtId="0" fontId="7" fillId="0" borderId="77" xfId="0" applyFont="1" applyBorder="1" applyAlignment="1">
      <alignment horizontal="left" wrapText="1"/>
    </xf>
    <xf numFmtId="49" fontId="7" fillId="8" borderId="77" xfId="0" applyNumberFormat="1" applyFont="1" applyFill="1" applyBorder="1" applyAlignment="1">
      <alignment horizontal="left" vertical="center" wrapText="1"/>
    </xf>
    <xf numFmtId="0" fontId="7" fillId="0" borderId="77" xfId="0" applyFont="1" applyBorder="1" applyAlignment="1">
      <alignment horizontal="left" vertical="center" wrapText="1"/>
    </xf>
    <xf numFmtId="2" fontId="37" fillId="32" borderId="77" xfId="0" applyNumberFormat="1" applyFont="1" applyFill="1" applyBorder="1"/>
    <xf numFmtId="164" fontId="0" fillId="5" borderId="77" xfId="1" applyFont="1" applyFill="1" applyBorder="1"/>
    <xf numFmtId="0" fontId="0" fillId="0" borderId="77" xfId="0" applyBorder="1" applyAlignment="1">
      <alignment horizontal="center" vertical="center"/>
    </xf>
    <xf numFmtId="164" fontId="0" fillId="8" borderId="77" xfId="1" applyFont="1" applyFill="1" applyBorder="1" applyAlignment="1">
      <alignment horizontal="center" vertical="center"/>
    </xf>
    <xf numFmtId="164" fontId="0" fillId="0" borderId="77" xfId="0" applyNumberFormat="1" applyBorder="1" applyAlignment="1">
      <alignment horizontal="center" vertical="center"/>
    </xf>
    <xf numFmtId="164" fontId="0" fillId="0" borderId="77" xfId="1" applyFont="1" applyFill="1" applyBorder="1" applyAlignment="1">
      <alignment vertical="center"/>
    </xf>
    <xf numFmtId="0" fontId="7" fillId="8" borderId="77" xfId="0" applyFont="1" applyFill="1" applyBorder="1" applyAlignment="1">
      <alignment horizontal="center" vertical="center"/>
    </xf>
    <xf numFmtId="164" fontId="0" fillId="8" borderId="77" xfId="1" applyFont="1" applyFill="1" applyBorder="1"/>
    <xf numFmtId="0" fontId="0" fillId="0" borderId="77" xfId="0" applyBorder="1" applyAlignment="1">
      <alignment horizontal="center"/>
    </xf>
    <xf numFmtId="164" fontId="0" fillId="0" borderId="77" xfId="1" applyFont="1" applyFill="1" applyBorder="1"/>
    <xf numFmtId="49" fontId="7" fillId="0" borderId="77" xfId="0" applyNumberFormat="1" applyFont="1" applyBorder="1" applyAlignment="1">
      <alignment vertical="center" wrapText="1"/>
    </xf>
    <xf numFmtId="49" fontId="7" fillId="0" borderId="77" xfId="0" applyNumberFormat="1" applyFont="1" applyBorder="1" applyAlignment="1">
      <alignment horizontal="center" vertical="center" wrapText="1"/>
    </xf>
    <xf numFmtId="1" fontId="7" fillId="0" borderId="77" xfId="0" applyNumberFormat="1" applyFont="1" applyBorder="1" applyAlignment="1">
      <alignment horizontal="center" vertical="center"/>
    </xf>
    <xf numFmtId="0" fontId="7" fillId="0" borderId="0" xfId="0" applyFont="1" applyAlignment="1">
      <alignment wrapText="1"/>
    </xf>
    <xf numFmtId="169" fontId="4" fillId="16" borderId="17" xfId="72" applyFill="1" applyBorder="1"/>
    <xf numFmtId="0" fontId="7" fillId="8" borderId="0" xfId="121" applyFont="1" applyFill="1"/>
    <xf numFmtId="0" fontId="9" fillId="43" borderId="8" xfId="121" applyFont="1" applyFill="1" applyBorder="1" applyAlignment="1">
      <alignment horizontal="center" vertical="center"/>
    </xf>
    <xf numFmtId="166" fontId="65" fillId="43" borderId="66" xfId="123" applyFont="1" applyFill="1" applyBorder="1" applyAlignment="1">
      <alignment vertical="center"/>
    </xf>
    <xf numFmtId="178" fontId="65" fillId="43" borderId="66" xfId="123" applyNumberFormat="1" applyFont="1" applyFill="1" applyBorder="1" applyAlignment="1">
      <alignment vertical="center"/>
    </xf>
    <xf numFmtId="164" fontId="2" fillId="33" borderId="0" xfId="1" applyFont="1" applyFill="1"/>
    <xf numFmtId="49" fontId="8" fillId="8" borderId="65" xfId="121" applyNumberFormat="1" applyFont="1" applyFill="1" applyBorder="1" applyProtection="1">
      <protection locked="0"/>
    </xf>
    <xf numFmtId="49" fontId="8" fillId="8" borderId="76" xfId="121" applyNumberFormat="1" applyFont="1" applyFill="1" applyBorder="1" applyProtection="1">
      <protection locked="0"/>
    </xf>
    <xf numFmtId="0" fontId="1" fillId="8" borderId="0" xfId="121" applyFont="1" applyFill="1"/>
    <xf numFmtId="175" fontId="69" fillId="8" borderId="0" xfId="121" applyNumberFormat="1" applyFont="1" applyFill="1" applyAlignment="1">
      <alignment horizontal="right"/>
    </xf>
    <xf numFmtId="0" fontId="70" fillId="31" borderId="0" xfId="0" applyFont="1" applyFill="1" applyAlignment="1">
      <alignment vertical="center"/>
    </xf>
    <xf numFmtId="0" fontId="70" fillId="31" borderId="0" xfId="0" applyFont="1" applyFill="1"/>
    <xf numFmtId="184" fontId="0" fillId="0" borderId="0" xfId="0" applyNumberFormat="1"/>
    <xf numFmtId="0" fontId="71" fillId="0" borderId="0" xfId="0" applyFont="1"/>
    <xf numFmtId="0" fontId="72" fillId="0" borderId="0" xfId="0" applyFont="1"/>
    <xf numFmtId="0" fontId="8" fillId="44" borderId="0" xfId="0" applyFont="1" applyFill="1"/>
    <xf numFmtId="0" fontId="0" fillId="45" borderId="0" xfId="0" applyFill="1"/>
    <xf numFmtId="14" fontId="0" fillId="45" borderId="0" xfId="0" applyNumberFormat="1" applyFill="1"/>
    <xf numFmtId="9" fontId="0" fillId="45" borderId="0" xfId="0" applyNumberFormat="1" applyFill="1"/>
    <xf numFmtId="0" fontId="29" fillId="0" borderId="0" xfId="0" applyFont="1"/>
    <xf numFmtId="0" fontId="73" fillId="0" borderId="0" xfId="0" applyFont="1"/>
    <xf numFmtId="169" fontId="74" fillId="0" borderId="0" xfId="72" applyFont="1"/>
    <xf numFmtId="0" fontId="75" fillId="47" borderId="0" xfId="0" applyFont="1" applyFill="1"/>
    <xf numFmtId="0" fontId="76" fillId="47" borderId="0" xfId="0" applyFont="1" applyFill="1"/>
    <xf numFmtId="0" fontId="77" fillId="47" borderId="0" xfId="0" applyFont="1" applyFill="1"/>
    <xf numFmtId="0" fontId="75" fillId="47" borderId="0" xfId="0" applyFont="1" applyFill="1" applyAlignment="1">
      <alignment vertical="top" wrapText="1"/>
    </xf>
    <xf numFmtId="0" fontId="78" fillId="47" borderId="0" xfId="0" applyFont="1" applyFill="1" applyAlignment="1">
      <alignment vertical="top"/>
    </xf>
    <xf numFmtId="0" fontId="81" fillId="46" borderId="0" xfId="0" applyFont="1" applyFill="1" applyAlignment="1">
      <alignment horizontal="left" vertical="center" indent="1"/>
    </xf>
    <xf numFmtId="0" fontId="78" fillId="47" borderId="78" xfId="0" applyFont="1" applyFill="1" applyBorder="1" applyAlignment="1">
      <alignment horizontal="left" vertical="top" indent="1"/>
    </xf>
    <xf numFmtId="0" fontId="75" fillId="47" borderId="78" xfId="0" applyFont="1" applyFill="1" applyBorder="1" applyAlignment="1">
      <alignment horizontal="left" vertical="top" wrapText="1" indent="1"/>
    </xf>
    <xf numFmtId="0" fontId="78" fillId="49" borderId="78" xfId="0" applyFont="1" applyFill="1" applyBorder="1" applyAlignment="1">
      <alignment horizontal="left" vertical="top" indent="1"/>
    </xf>
    <xf numFmtId="0" fontId="75" fillId="49" borderId="78" xfId="0" applyFont="1" applyFill="1" applyBorder="1" applyAlignment="1">
      <alignment horizontal="left" vertical="top" wrapText="1" indent="1"/>
    </xf>
    <xf numFmtId="0" fontId="82" fillId="50" borderId="0" xfId="0" applyFont="1" applyFill="1" applyAlignment="1">
      <alignment horizontal="left" vertical="top" indent="1"/>
    </xf>
    <xf numFmtId="0" fontId="75" fillId="50" borderId="0" xfId="0" applyFont="1" applyFill="1" applyAlignment="1">
      <alignment horizontal="left" vertical="top" wrapText="1" indent="1"/>
    </xf>
    <xf numFmtId="0" fontId="83" fillId="47" borderId="0" xfId="0" applyFont="1" applyFill="1" applyAlignment="1">
      <alignment horizontal="left" vertical="top" indent="1"/>
    </xf>
    <xf numFmtId="0" fontId="81" fillId="46" borderId="78" xfId="0" applyFont="1" applyFill="1" applyBorder="1" applyAlignment="1">
      <alignment horizontal="left" vertical="center" indent="1"/>
    </xf>
    <xf numFmtId="0" fontId="84" fillId="47" borderId="78" xfId="0" applyFont="1" applyFill="1" applyBorder="1" applyAlignment="1">
      <alignment horizontal="left" vertical="top" wrapText="1" indent="1"/>
    </xf>
    <xf numFmtId="0" fontId="84" fillId="49" borderId="78" xfId="0" applyFont="1" applyFill="1" applyBorder="1" applyAlignment="1">
      <alignment horizontal="left" vertical="top" wrapText="1" indent="1"/>
    </xf>
    <xf numFmtId="49" fontId="75" fillId="47" borderId="0" xfId="0" applyNumberFormat="1" applyFont="1" applyFill="1"/>
    <xf numFmtId="49" fontId="81" fillId="46" borderId="78" xfId="0" applyNumberFormat="1" applyFont="1" applyFill="1" applyBorder="1" applyAlignment="1">
      <alignment horizontal="left" vertical="center" indent="1"/>
    </xf>
    <xf numFmtId="0" fontId="78" fillId="47" borderId="78" xfId="0" applyFont="1" applyFill="1" applyBorder="1" applyAlignment="1">
      <alignment horizontal="left" vertical="top" wrapText="1" indent="1"/>
    </xf>
    <xf numFmtId="49" fontId="85" fillId="47" borderId="78" xfId="0" applyNumberFormat="1" applyFont="1" applyFill="1" applyBorder="1" applyAlignment="1">
      <alignment horizontal="left" vertical="top" wrapText="1" indent="1"/>
    </xf>
    <xf numFmtId="0" fontId="78" fillId="49" borderId="78" xfId="0" applyFont="1" applyFill="1" applyBorder="1" applyAlignment="1">
      <alignment horizontal="left" vertical="top" wrapText="1" indent="1"/>
    </xf>
    <xf numFmtId="49" fontId="85" fillId="49" borderId="78" xfId="0" applyNumberFormat="1" applyFont="1" applyFill="1" applyBorder="1" applyAlignment="1">
      <alignment horizontal="left" vertical="top" wrapText="1" indent="1"/>
    </xf>
    <xf numFmtId="0" fontId="82" fillId="50" borderId="78" xfId="0" applyFont="1" applyFill="1" applyBorder="1" applyAlignment="1">
      <alignment horizontal="left" vertical="top" indent="1"/>
    </xf>
    <xf numFmtId="0" fontId="72" fillId="0" borderId="0" xfId="119" applyFont="1"/>
    <xf numFmtId="0" fontId="8" fillId="0" borderId="0" xfId="119" applyFont="1"/>
    <xf numFmtId="185" fontId="66" fillId="8" borderId="8" xfId="121" applyNumberFormat="1" applyFont="1" applyFill="1" applyBorder="1" applyAlignment="1">
      <alignment horizontal="center" vertical="center"/>
    </xf>
    <xf numFmtId="187" fontId="67" fillId="8" borderId="8" xfId="123" applyNumberFormat="1" applyFont="1" applyFill="1" applyBorder="1" applyAlignment="1">
      <alignment vertical="center"/>
    </xf>
    <xf numFmtId="0" fontId="87" fillId="0" borderId="0" xfId="0" applyFont="1"/>
    <xf numFmtId="0" fontId="8" fillId="51" borderId="0" xfId="0" applyFont="1" applyFill="1"/>
    <xf numFmtId="0" fontId="70" fillId="52" borderId="2" xfId="0" applyFont="1" applyFill="1" applyBorder="1"/>
    <xf numFmtId="0" fontId="70" fillId="52" borderId="3" xfId="0" applyFont="1" applyFill="1" applyBorder="1"/>
    <xf numFmtId="0" fontId="70" fillId="52" borderId="4" xfId="0" applyFont="1" applyFill="1" applyBorder="1"/>
    <xf numFmtId="0" fontId="0" fillId="0" borderId="5" xfId="0" applyBorder="1"/>
    <xf numFmtId="0" fontId="0" fillId="0" borderId="79" xfId="0" applyBorder="1"/>
    <xf numFmtId="182" fontId="0" fillId="0" borderId="0" xfId="0" applyNumberFormat="1"/>
    <xf numFmtId="1" fontId="0" fillId="0" borderId="0" xfId="0" applyNumberFormat="1"/>
    <xf numFmtId="10" fontId="0" fillId="50" borderId="1" xfId="0" applyNumberFormat="1" applyFill="1" applyBorder="1"/>
    <xf numFmtId="182" fontId="8" fillId="0" borderId="1" xfId="0" applyNumberFormat="1" applyFont="1" applyBorder="1"/>
    <xf numFmtId="0" fontId="8" fillId="0" borderId="6" xfId="0" applyFont="1" applyBorder="1"/>
    <xf numFmtId="182" fontId="8" fillId="0" borderId="6" xfId="0" applyNumberFormat="1" applyFont="1" applyBorder="1"/>
    <xf numFmtId="184" fontId="0" fillId="50" borderId="1" xfId="0" applyNumberFormat="1" applyFill="1" applyBorder="1"/>
    <xf numFmtId="182" fontId="0" fillId="50" borderId="1" xfId="0" applyNumberFormat="1" applyFill="1" applyBorder="1"/>
    <xf numFmtId="1" fontId="0" fillId="50" borderId="1" xfId="0" applyNumberFormat="1" applyFill="1" applyBorder="1"/>
    <xf numFmtId="1" fontId="0" fillId="0" borderId="7" xfId="0" applyNumberFormat="1" applyBorder="1"/>
    <xf numFmtId="182" fontId="8" fillId="0" borderId="7" xfId="0" applyNumberFormat="1" applyFont="1" applyBorder="1"/>
    <xf numFmtId="0" fontId="70" fillId="52" borderId="0" xfId="0" applyFont="1" applyFill="1" applyAlignment="1">
      <alignment wrapText="1"/>
    </xf>
    <xf numFmtId="0" fontId="70" fillId="52" borderId="3" xfId="0" applyFont="1" applyFill="1" applyBorder="1"/>
    <xf numFmtId="0" fontId="70" fillId="52" borderId="4" xfId="0" applyFont="1" applyFill="1" applyBorder="1"/>
    <xf numFmtId="0" fontId="75" fillId="47" borderId="0" xfId="0" applyFont="1" applyFill="1" applyAlignment="1">
      <alignment vertical="top" wrapText="1"/>
    </xf>
    <xf numFmtId="0" fontId="79" fillId="48" borderId="0" xfId="0" applyFont="1" applyFill="1" applyAlignment="1">
      <alignment vertical="center"/>
    </xf>
    <xf numFmtId="0" fontId="75" fillId="48" borderId="0" xfId="0" applyFont="1" applyFill="1" applyAlignment="1">
      <alignment vertical="center"/>
    </xf>
    <xf numFmtId="0" fontId="80" fillId="47" borderId="0" xfId="0" applyFont="1" applyFill="1" applyAlignment="1">
      <alignment vertical="top" wrapText="1"/>
    </xf>
    <xf numFmtId="0" fontId="12" fillId="28" borderId="15" xfId="0" applyFont="1" applyFill="1" applyBorder="1" applyAlignment="1">
      <alignment horizontal="center" vertical="center"/>
    </xf>
    <xf numFmtId="0" fontId="12" fillId="28" borderId="14" xfId="0" applyFont="1" applyFill="1" applyBorder="1" applyAlignment="1">
      <alignment horizontal="center" vertical="center"/>
    </xf>
    <xf numFmtId="0" fontId="11" fillId="17" borderId="18" xfId="0" applyFont="1" applyFill="1" applyBorder="1" applyAlignment="1">
      <alignment horizontal="center" vertical="center"/>
    </xf>
    <xf numFmtId="0" fontId="11" fillId="17" borderId="14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/>
    </xf>
    <xf numFmtId="0" fontId="31" fillId="16" borderId="15" xfId="0" applyFont="1" applyFill="1" applyBorder="1" applyAlignment="1">
      <alignment horizontal="center" vertical="center"/>
    </xf>
    <xf numFmtId="0" fontId="31" fillId="16" borderId="16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7" fillId="16" borderId="28" xfId="0" applyFont="1" applyFill="1" applyBorder="1" applyAlignment="1">
      <alignment horizontal="center" vertical="center"/>
    </xf>
    <xf numFmtId="0" fontId="7" fillId="16" borderId="43" xfId="0" applyFont="1" applyFill="1" applyBorder="1" applyAlignment="1">
      <alignment horizontal="center" vertical="center"/>
    </xf>
    <xf numFmtId="0" fontId="7" fillId="16" borderId="27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horizontal="center" vertical="center"/>
    </xf>
    <xf numFmtId="0" fontId="12" fillId="17" borderId="14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textRotation="90"/>
    </xf>
    <xf numFmtId="0" fontId="8" fillId="3" borderId="0" xfId="0" applyFont="1" applyFill="1" applyAlignment="1">
      <alignment horizontal="center" vertical="center" textRotation="90"/>
    </xf>
    <xf numFmtId="0" fontId="8" fillId="3" borderId="38" xfId="0" applyFont="1" applyFill="1" applyBorder="1" applyAlignment="1">
      <alignment horizontal="center" vertical="center" textRotation="90"/>
    </xf>
    <xf numFmtId="169" fontId="48" fillId="0" borderId="9" xfId="118" applyFont="1" applyBorder="1" applyAlignment="1">
      <alignment horizontal="center" vertical="center" wrapText="1"/>
    </xf>
    <xf numFmtId="169" fontId="48" fillId="0" borderId="10" xfId="118" applyFont="1" applyBorder="1" applyAlignment="1">
      <alignment horizontal="center" vertical="center" wrapText="1"/>
    </xf>
    <xf numFmtId="169" fontId="48" fillId="0" borderId="11" xfId="118" applyFont="1" applyBorder="1" applyAlignment="1">
      <alignment horizontal="center" vertical="center" wrapText="1"/>
    </xf>
    <xf numFmtId="182" fontId="43" fillId="36" borderId="51" xfId="118" applyNumberFormat="1" applyFont="1" applyFill="1" applyBorder="1" applyAlignment="1">
      <alignment horizontal="center"/>
    </xf>
    <xf numFmtId="169" fontId="44" fillId="37" borderId="52" xfId="118" applyFont="1" applyFill="1" applyBorder="1"/>
    <xf numFmtId="182" fontId="46" fillId="26" borderId="9" xfId="118" applyNumberFormat="1" applyFont="1" applyFill="1" applyBorder="1" applyAlignment="1">
      <alignment horizontal="center" vertical="center"/>
    </xf>
    <xf numFmtId="182" fontId="46" fillId="26" borderId="10" xfId="118" applyNumberFormat="1" applyFont="1" applyFill="1" applyBorder="1" applyAlignment="1">
      <alignment horizontal="center" vertical="center"/>
    </xf>
    <xf numFmtId="182" fontId="46" fillId="26" borderId="11" xfId="118" applyNumberFormat="1" applyFont="1" applyFill="1" applyBorder="1" applyAlignment="1">
      <alignment horizontal="center" vertical="center"/>
    </xf>
    <xf numFmtId="164" fontId="9" fillId="0" borderId="8" xfId="118" applyNumberFormat="1" applyFont="1" applyBorder="1" applyAlignment="1">
      <alignment horizontal="center" vertical="center"/>
    </xf>
    <xf numFmtId="169" fontId="2" fillId="0" borderId="26" xfId="118" applyFont="1" applyBorder="1" applyAlignment="1">
      <alignment horizontal="center" vertical="center" wrapText="1"/>
    </xf>
    <xf numFmtId="49" fontId="9" fillId="0" borderId="8" xfId="118" applyNumberFormat="1" applyFont="1" applyBorder="1" applyAlignment="1">
      <alignment horizontal="center" vertical="center" wrapText="1"/>
    </xf>
    <xf numFmtId="164" fontId="9" fillId="0" borderId="8" xfId="118" applyNumberFormat="1" applyFont="1" applyBorder="1" applyAlignment="1">
      <alignment horizontal="center" vertical="center" wrapText="1"/>
    </xf>
    <xf numFmtId="49" fontId="47" fillId="0" borderId="8" xfId="118" applyNumberFormat="1" applyFont="1" applyBorder="1" applyAlignment="1">
      <alignment horizontal="left" vertical="center" wrapText="1"/>
    </xf>
    <xf numFmtId="186" fontId="67" fillId="8" borderId="9" xfId="123" applyNumberFormat="1" applyFont="1" applyFill="1" applyBorder="1" applyAlignment="1">
      <alignment horizontal="center" vertical="center" wrapText="1"/>
    </xf>
    <xf numFmtId="186" fontId="67" fillId="8" borderId="10" xfId="123" applyNumberFormat="1" applyFont="1" applyFill="1" applyBorder="1" applyAlignment="1">
      <alignment horizontal="center" vertical="center" wrapText="1"/>
    </xf>
    <xf numFmtId="186" fontId="67" fillId="8" borderId="11" xfId="123" applyNumberFormat="1" applyFont="1" applyFill="1" applyBorder="1" applyAlignment="1">
      <alignment horizontal="center" vertical="center" wrapText="1"/>
    </xf>
    <xf numFmtId="0" fontId="8" fillId="8" borderId="0" xfId="121" applyFont="1" applyFill="1" applyAlignment="1">
      <alignment horizontal="left"/>
    </xf>
    <xf numFmtId="0" fontId="8" fillId="8" borderId="0" xfId="121" applyFont="1" applyFill="1" applyAlignment="1">
      <alignment horizontal="left" wrapText="1"/>
    </xf>
    <xf numFmtId="0" fontId="8" fillId="0" borderId="9" xfId="121" applyFont="1" applyBorder="1" applyAlignment="1">
      <alignment horizontal="center"/>
    </xf>
    <xf numFmtId="0" fontId="8" fillId="0" borderId="10" xfId="121" applyFont="1" applyBorder="1" applyAlignment="1">
      <alignment horizontal="center"/>
    </xf>
    <xf numFmtId="0" fontId="8" fillId="0" borderId="11" xfId="121" applyFont="1" applyBorder="1" applyAlignment="1">
      <alignment horizontal="center"/>
    </xf>
    <xf numFmtId="49" fontId="8" fillId="8" borderId="76" xfId="121" applyNumberFormat="1" applyFont="1" applyFill="1" applyBorder="1" applyProtection="1">
      <protection locked="0"/>
    </xf>
    <xf numFmtId="0" fontId="2" fillId="8" borderId="0" xfId="121" applyFill="1"/>
    <xf numFmtId="0" fontId="2" fillId="8" borderId="0" xfId="121" applyFill="1" applyAlignment="1">
      <alignment horizontal="left" vertical="top" wrapText="1"/>
    </xf>
    <xf numFmtId="49" fontId="62" fillId="8" borderId="65" xfId="122" applyNumberFormat="1" applyFont="1" applyFill="1" applyBorder="1" applyAlignment="1" applyProtection="1">
      <protection locked="0"/>
    </xf>
    <xf numFmtId="49" fontId="7" fillId="8" borderId="76" xfId="121" applyNumberFormat="1" applyFont="1" applyFill="1" applyBorder="1" applyProtection="1">
      <protection locked="0"/>
    </xf>
    <xf numFmtId="49" fontId="0" fillId="8" borderId="76" xfId="121" applyNumberFormat="1" applyFont="1" applyFill="1" applyBorder="1" applyProtection="1">
      <protection locked="0"/>
    </xf>
    <xf numFmtId="0" fontId="38" fillId="37" borderId="9" xfId="121" applyFont="1" applyFill="1" applyBorder="1" applyAlignment="1">
      <alignment horizontal="center" vertical="center"/>
    </xf>
    <xf numFmtId="0" fontId="38" fillId="37" borderId="10" xfId="121" applyFont="1" applyFill="1" applyBorder="1" applyAlignment="1">
      <alignment horizontal="center" vertical="center"/>
    </xf>
    <xf numFmtId="0" fontId="38" fillId="37" borderId="11" xfId="121" applyFont="1" applyFill="1" applyBorder="1" applyAlignment="1">
      <alignment horizontal="center" vertical="center"/>
    </xf>
    <xf numFmtId="0" fontId="10" fillId="43" borderId="9" xfId="121" applyFont="1" applyFill="1" applyBorder="1" applyAlignment="1">
      <alignment horizontal="center" vertical="center"/>
    </xf>
    <xf numFmtId="0" fontId="10" fillId="43" borderId="10" xfId="121" applyFont="1" applyFill="1" applyBorder="1" applyAlignment="1">
      <alignment horizontal="center" vertical="center"/>
    </xf>
    <xf numFmtId="0" fontId="10" fillId="43" borderId="11" xfId="121" applyFont="1" applyFill="1" applyBorder="1" applyAlignment="1">
      <alignment horizontal="center" vertical="center"/>
    </xf>
    <xf numFmtId="0" fontId="38" fillId="17" borderId="0" xfId="0" applyFont="1" applyFill="1" applyAlignment="1">
      <alignment horizontal="right" vertical="center"/>
    </xf>
    <xf numFmtId="49" fontId="53" fillId="16" borderId="1" xfId="0" applyNumberFormat="1" applyFont="1" applyFill="1" applyBorder="1" applyAlignment="1">
      <alignment horizontal="center" vertical="center" wrapText="1"/>
    </xf>
    <xf numFmtId="0" fontId="53" fillId="16" borderId="1" xfId="0" applyFont="1" applyFill="1" applyBorder="1" applyAlignment="1">
      <alignment horizontal="center" vertical="center" wrapText="1"/>
    </xf>
    <xf numFmtId="0" fontId="8" fillId="2" borderId="77" xfId="0" applyFont="1" applyFill="1" applyBorder="1" applyAlignment="1">
      <alignment horizontal="center" vertical="center"/>
    </xf>
    <xf numFmtId="0" fontId="33" fillId="38" borderId="25" xfId="119" applyFont="1" applyFill="1" applyBorder="1" applyAlignment="1">
      <alignment horizontal="center" vertical="center"/>
    </xf>
    <xf numFmtId="0" fontId="33" fillId="38" borderId="22" xfId="119" applyFont="1" applyFill="1" applyBorder="1" applyAlignment="1">
      <alignment horizontal="center" vertical="center"/>
    </xf>
    <xf numFmtId="0" fontId="54" fillId="39" borderId="9" xfId="119" applyFont="1" applyFill="1" applyBorder="1" applyAlignment="1">
      <alignment horizontal="center" vertical="center"/>
    </xf>
    <xf numFmtId="0" fontId="54" fillId="39" borderId="10" xfId="119" applyFont="1" applyFill="1" applyBorder="1" applyAlignment="1">
      <alignment horizontal="center" vertical="center"/>
    </xf>
    <xf numFmtId="0" fontId="54" fillId="39" borderId="11" xfId="119" applyFont="1" applyFill="1" applyBorder="1" applyAlignment="1">
      <alignment horizontal="center" vertical="center"/>
    </xf>
    <xf numFmtId="0" fontId="54" fillId="9" borderId="15" xfId="119" applyFont="1" applyFill="1" applyBorder="1" applyAlignment="1">
      <alignment horizontal="center" vertical="center"/>
    </xf>
    <xf numFmtId="0" fontId="54" fillId="9" borderId="14" xfId="119" applyFont="1" applyFill="1" applyBorder="1" applyAlignment="1">
      <alignment horizontal="center" vertical="center"/>
    </xf>
    <xf numFmtId="0" fontId="54" fillId="9" borderId="16" xfId="119" applyFont="1" applyFill="1" applyBorder="1" applyAlignment="1">
      <alignment horizontal="center" vertical="center"/>
    </xf>
    <xf numFmtId="0" fontId="40" fillId="28" borderId="5" xfId="119" applyFont="1" applyFill="1" applyBorder="1" applyAlignment="1">
      <alignment horizontal="center" vertical="center"/>
    </xf>
    <xf numFmtId="0" fontId="40" fillId="28" borderId="0" xfId="119" applyFont="1" applyFill="1" applyAlignment="1">
      <alignment horizontal="center" vertical="center"/>
    </xf>
    <xf numFmtId="0" fontId="33" fillId="0" borderId="9" xfId="119" applyFont="1" applyBorder="1" applyAlignment="1">
      <alignment horizontal="center"/>
    </xf>
    <xf numFmtId="0" fontId="33" fillId="0" borderId="11" xfId="119" applyFont="1" applyBorder="1" applyAlignment="1">
      <alignment horizontal="center"/>
    </xf>
    <xf numFmtId="0" fontId="33" fillId="38" borderId="8" xfId="119" applyFont="1" applyFill="1" applyBorder="1" applyAlignment="1">
      <alignment horizontal="center" vertical="center"/>
    </xf>
    <xf numFmtId="0" fontId="54" fillId="39" borderId="8" xfId="119" applyFont="1" applyFill="1" applyBorder="1" applyAlignment="1">
      <alignment horizontal="center" vertical="center"/>
    </xf>
    <xf numFmtId="0" fontId="54" fillId="9" borderId="8" xfId="119" applyFont="1" applyFill="1" applyBorder="1" applyAlignment="1">
      <alignment horizontal="center" vertical="center"/>
    </xf>
    <xf numFmtId="0" fontId="40" fillId="28" borderId="18" xfId="119" applyFont="1" applyFill="1" applyBorder="1" applyAlignment="1">
      <alignment horizontal="center" vertical="center"/>
    </xf>
    <xf numFmtId="0" fontId="40" fillId="28" borderId="14" xfId="119" applyFont="1" applyFill="1" applyBorder="1" applyAlignment="1">
      <alignment horizontal="center" vertical="center"/>
    </xf>
    <xf numFmtId="0" fontId="33" fillId="0" borderId="8" xfId="119" applyFont="1" applyBorder="1" applyAlignment="1">
      <alignment horizontal="center"/>
    </xf>
    <xf numFmtId="0" fontId="40" fillId="28" borderId="40" xfId="119" applyFont="1" applyFill="1" applyBorder="1" applyAlignment="1">
      <alignment horizontal="center" vertical="center"/>
    </xf>
    <xf numFmtId="0" fontId="56" fillId="0" borderId="61" xfId="119" applyFont="1" applyBorder="1" applyAlignment="1">
      <alignment horizontal="center"/>
    </xf>
    <xf numFmtId="0" fontId="79" fillId="48" borderId="78" xfId="0" applyFont="1" applyFill="1" applyBorder="1" applyAlignment="1">
      <alignment vertical="center"/>
    </xf>
    <xf numFmtId="0" fontId="75" fillId="48" borderId="78" xfId="0" applyFont="1" applyFill="1" applyBorder="1" applyAlignment="1">
      <alignment vertical="center"/>
    </xf>
    <xf numFmtId="49" fontId="86" fillId="50" borderId="78" xfId="0" applyNumberFormat="1" applyFont="1" applyFill="1" applyBorder="1" applyAlignment="1">
      <alignment horizontal="left" vertical="top" wrapText="1" indent="1"/>
    </xf>
    <xf numFmtId="49" fontId="75" fillId="50" borderId="78" xfId="0" applyNumberFormat="1" applyFont="1" applyFill="1" applyBorder="1" applyAlignment="1">
      <alignment horizontal="left" vertical="top" wrapText="1" indent="1"/>
    </xf>
    <xf numFmtId="0" fontId="88" fillId="8" borderId="0" xfId="121" applyFont="1" applyFill="1"/>
    <xf numFmtId="0" fontId="0" fillId="0" borderId="0" xfId="0" applyBorder="1"/>
    <xf numFmtId="182" fontId="0" fillId="0" borderId="0" xfId="0" applyNumberFormat="1" applyBorder="1"/>
    <xf numFmtId="182" fontId="0" fillId="50" borderId="0" xfId="0" applyNumberFormat="1" applyFill="1" applyBorder="1"/>
    <xf numFmtId="0" fontId="8" fillId="0" borderId="0" xfId="0" applyFont="1" applyBorder="1"/>
    <xf numFmtId="182" fontId="8" fillId="0" borderId="0" xfId="0" applyNumberFormat="1" applyFont="1" applyBorder="1"/>
    <xf numFmtId="1" fontId="0" fillId="50" borderId="0" xfId="0" applyNumberFormat="1" applyFill="1" applyBorder="1"/>
    <xf numFmtId="1" fontId="0" fillId="0" borderId="0" xfId="0" applyNumberFormat="1" applyBorder="1"/>
  </cellXfs>
  <cellStyles count="124">
    <cellStyle name="Comma" xfId="70" builtinId="3"/>
    <cellStyle name="Comma 2" xfId="20" xr:uid="{00000000-0005-0000-0000-000000000000}"/>
    <cellStyle name="Comma 2 2" xfId="73" xr:uid="{3733361B-61F7-4007-AF93-8D779A2001B6}"/>
    <cellStyle name="Currency" xfId="1" builtinId="4"/>
    <cellStyle name="Currency 2" xfId="21" xr:uid="{00000000-0005-0000-0000-000001000000}"/>
    <cellStyle name="Grid" xfId="15" xr:uid="{00000000-0005-0000-0000-000002000000}"/>
    <cellStyle name="Header0" xfId="8" xr:uid="{00000000-0005-0000-0000-000003000000}"/>
    <cellStyle name="Header1" xfId="9" xr:uid="{00000000-0005-0000-0000-000004000000}"/>
    <cellStyle name="Header2" xfId="13" xr:uid="{00000000-0005-0000-0000-000005000000}"/>
    <cellStyle name="Header3" xfId="14" xr:uid="{00000000-0005-0000-0000-000006000000}"/>
    <cellStyle name="Hipervínculo 2" xfId="122" xr:uid="{DF9404D6-01AE-41E0-AAF4-2734E281DCCB}"/>
    <cellStyle name="Millares 2" xfId="69" xr:uid="{E442F1C2-3D9C-4C9F-83A8-FB0BEB6ACE81}"/>
    <cellStyle name="Millares 2 2" xfId="117" xr:uid="{CE5474F4-002B-4EDA-90FE-98CDEAAE81B5}"/>
    <cellStyle name="Millares 3" xfId="16" xr:uid="{00000000-0005-0000-0000-000008000000}"/>
    <cellStyle name="Millares 4" xfId="10" xr:uid="{00000000-0005-0000-0000-000009000000}"/>
    <cellStyle name="Moneda 2" xfId="3" xr:uid="{00000000-0005-0000-0000-00000B000000}"/>
    <cellStyle name="Moneda 3" xfId="57" xr:uid="{00000000-0005-0000-0000-00000C000000}"/>
    <cellStyle name="Moneda 4" xfId="120" xr:uid="{2C317908-F7CB-49F0-8A7D-CC8B392056CB}"/>
    <cellStyle name="Moneda 5" xfId="123" xr:uid="{43A908F2-31A0-4744-9645-E7E7A4631E4C}"/>
    <cellStyle name="Normal" xfId="0" builtinId="0"/>
    <cellStyle name="Normal 10" xfId="72" xr:uid="{6E7297D4-9DD5-486A-8709-FD8DB0E2AE05}"/>
    <cellStyle name="Normal 10 2" xfId="24" xr:uid="{00000000-0005-0000-0000-00000E000000}"/>
    <cellStyle name="Normal 11" xfId="121" xr:uid="{6AC0E52E-C620-4ACF-B5F8-8A1BA79998E1}"/>
    <cellStyle name="Normal 2" xfId="19" xr:uid="{00000000-0005-0000-0000-00000F000000}"/>
    <cellStyle name="Normal 2 2" xfId="66" xr:uid="{00000000-0005-0000-0000-000010000000}"/>
    <cellStyle name="Normal 2 2 2 2" xfId="4" xr:uid="{00000000-0005-0000-0000-000011000000}"/>
    <cellStyle name="Normal 2 2 6" xfId="5" xr:uid="{00000000-0005-0000-0000-000012000000}"/>
    <cellStyle name="Normal 3" xfId="25" xr:uid="{00000000-0005-0000-0000-000013000000}"/>
    <cellStyle name="Normal 3 2" xfId="76" xr:uid="{BE3BBCE8-F090-447E-AB89-08B739690049}"/>
    <cellStyle name="Normal 4" xfId="40" xr:uid="{00000000-0005-0000-0000-000014000000}"/>
    <cellStyle name="Normal 4 2" xfId="7" xr:uid="{00000000-0005-0000-0000-000015000000}"/>
    <cellStyle name="Normal 4 2 2" xfId="67" xr:uid="{00000000-0005-0000-0000-000016000000}"/>
    <cellStyle name="Normal 4 2 2 2" xfId="115" xr:uid="{EC8B2C90-E1A7-4E37-8592-1EE01C41D9D6}"/>
    <cellStyle name="Normal 4 2 3" xfId="22" xr:uid="{00000000-0005-0000-0000-000017000000}"/>
    <cellStyle name="Normal 4 2 3 2" xfId="26" xr:uid="{00000000-0005-0000-0000-000018000000}"/>
    <cellStyle name="Normal 4 2 3 2 2" xfId="45" xr:uid="{00000000-0005-0000-0000-000019000000}"/>
    <cellStyle name="Normal 4 2 3 2 2 2" xfId="96" xr:uid="{559F9CAE-9DEF-4D53-8E0F-6771CBE00E28}"/>
    <cellStyle name="Normal 4 2 3 2 3" xfId="51" xr:uid="{00000000-0005-0000-0000-00001A000000}"/>
    <cellStyle name="Normal 4 2 3 2 3 2" xfId="63" xr:uid="{00000000-0005-0000-0000-00001B000000}"/>
    <cellStyle name="Normal 4 2 3 2 3 2 2" xfId="112" xr:uid="{918CDA3A-9114-40C7-897E-8513D16C14D8}"/>
    <cellStyle name="Normal 4 2 3 2 3 3" xfId="102" xr:uid="{ACB2F819-7D8D-4F00-89DF-4A5D99B9E530}"/>
    <cellStyle name="Normal 4 2 3 2 4" xfId="77" xr:uid="{D3881AAC-0C56-4BAA-B409-1EED6223A048}"/>
    <cellStyle name="Normal 4 2 3 3" xfId="74" xr:uid="{0F5B564D-BC44-46C0-B88F-6A6EC8EA0097}"/>
    <cellStyle name="Normal 4 3" xfId="91" xr:uid="{E76ABF5D-F96A-4325-A8A0-19786B319F4C}"/>
    <cellStyle name="Normal 4 4" xfId="119" xr:uid="{6FF7CE92-2E47-4F82-B721-ED0788A612D8}"/>
    <cellStyle name="Normal 5" xfId="65" xr:uid="{00000000-0005-0000-0000-00001C000000}"/>
    <cellStyle name="Normal 5 2" xfId="114" xr:uid="{651B8250-7887-4B1C-9A80-5D1329172332}"/>
    <cellStyle name="Normal 6" xfId="17" xr:uid="{00000000-0005-0000-0000-00001D000000}"/>
    <cellStyle name="Normal 7" xfId="18" xr:uid="{00000000-0005-0000-0000-00001E000000}"/>
    <cellStyle name="Normal 8" xfId="68" xr:uid="{00000000-0005-0000-0000-00001F000000}"/>
    <cellStyle name="Normal 8 2" xfId="116" xr:uid="{1F7C0F86-3051-4277-8EC5-4A5EF5AD95A3}"/>
    <cellStyle name="Normal 9" xfId="71" xr:uid="{FA7301D0-EE09-40A5-B055-DF271ABD5F7F}"/>
    <cellStyle name="Normal 9 2" xfId="118" xr:uid="{3221900F-C30B-415B-8CD7-8E1AE45783E8}"/>
    <cellStyle name="Percent" xfId="2" builtinId="5"/>
    <cellStyle name="Percent 4 2 3" xfId="23" xr:uid="{00000000-0005-0000-0000-000020000000}"/>
    <cellStyle name="Percent 4 2 3 2" xfId="27" xr:uid="{00000000-0005-0000-0000-000021000000}"/>
    <cellStyle name="Percent 4 2 3 2 2" xfId="46" xr:uid="{00000000-0005-0000-0000-000022000000}"/>
    <cellStyle name="Percent 4 2 3 2 2 2" xfId="97" xr:uid="{90D74A41-262D-46AF-8F30-F713DAF9CF43}"/>
    <cellStyle name="Percent 4 2 3 2 3" xfId="52" xr:uid="{00000000-0005-0000-0000-000023000000}"/>
    <cellStyle name="Percent 4 2 3 2 3 2" xfId="64" xr:uid="{00000000-0005-0000-0000-000024000000}"/>
    <cellStyle name="Percent 4 2 3 2 3 2 2" xfId="113" xr:uid="{C8F93226-2904-4432-AE51-B234075A0AF9}"/>
    <cellStyle name="Percent 4 2 3 2 3 3" xfId="103" xr:uid="{BB5C9871-B47D-4658-B361-F7FE975BE61F}"/>
    <cellStyle name="Percent 4 2 3 2 4" xfId="78" xr:uid="{66B81F71-DAD8-4B38-8029-4AE8133363B4}"/>
    <cellStyle name="Percent 4 2 3 3" xfId="75" xr:uid="{2F75642F-8C33-4CDB-A0B5-3E73BC2937FC}"/>
    <cellStyle name="Porcentaje 2" xfId="58" xr:uid="{00000000-0005-0000-0000-000026000000}"/>
    <cellStyle name="Sheet_Header" xfId="6" xr:uid="{00000000-0005-0000-0000-000027000000}"/>
    <cellStyle name="Table_Heading" xfId="12" xr:uid="{00000000-0005-0000-0000-000028000000}"/>
    <cellStyle name="unit" xfId="11" xr:uid="{00000000-0005-0000-0000-000029000000}"/>
    <cellStyle name="통화 2" xfId="29" xr:uid="{00000000-0005-0000-0000-00002A000000}"/>
    <cellStyle name="통화 2 2" xfId="31" xr:uid="{00000000-0005-0000-0000-00002B000000}"/>
    <cellStyle name="통화 2 2 2" xfId="35" xr:uid="{00000000-0005-0000-0000-00002C000000}"/>
    <cellStyle name="통화 2 2 2 2" xfId="39" xr:uid="{00000000-0005-0000-0000-00002D000000}"/>
    <cellStyle name="통화 2 2 2 2 2" xfId="44" xr:uid="{00000000-0005-0000-0000-00002E000000}"/>
    <cellStyle name="통화 2 2 2 2 2 2" xfId="56" xr:uid="{00000000-0005-0000-0000-00002F000000}"/>
    <cellStyle name="통화 2 2 2 2 2 2 2" xfId="62" xr:uid="{00000000-0005-0000-0000-000030000000}"/>
    <cellStyle name="통화 2 2 2 2 2 2 2 2" xfId="111" xr:uid="{3A0ECA69-0B25-4CD1-AADE-10EFEEE03100}"/>
    <cellStyle name="통화 2 2 2 2 2 2 3" xfId="107" xr:uid="{F324D6FF-DE5F-425C-B223-0CAB0DDC2885}"/>
    <cellStyle name="통화 2 2 2 2 2 3" xfId="95" xr:uid="{87031157-1E0C-4176-B5FE-3280AD1022FA}"/>
    <cellStyle name="통화 2 2 2 2 3" xfId="50" xr:uid="{00000000-0005-0000-0000-000031000000}"/>
    <cellStyle name="통화 2 2 2 2 3 2" xfId="101" xr:uid="{60575317-E0D5-43A7-A0B3-CD0973A8A304}"/>
    <cellStyle name="통화 2 2 2 2 4" xfId="90" xr:uid="{81276E98-10B9-44FC-908C-FF3090A4DA2E}"/>
    <cellStyle name="통화 2 2 2 3" xfId="86" xr:uid="{14C0AEE3-A735-4B1A-88D5-BD97231211BA}"/>
    <cellStyle name="통화 2 2 3" xfId="82" xr:uid="{057FC8C4-744F-4B6D-BB25-2E74B1127C3D}"/>
    <cellStyle name="통화 2 3" xfId="33" xr:uid="{00000000-0005-0000-0000-000032000000}"/>
    <cellStyle name="통화 2 3 2" xfId="37" xr:uid="{00000000-0005-0000-0000-000033000000}"/>
    <cellStyle name="통화 2 3 2 2" xfId="42" xr:uid="{00000000-0005-0000-0000-000034000000}"/>
    <cellStyle name="통화 2 3 2 2 2" xfId="54" xr:uid="{00000000-0005-0000-0000-000035000000}"/>
    <cellStyle name="통화 2 3 2 2 2 2" xfId="60" xr:uid="{00000000-0005-0000-0000-000036000000}"/>
    <cellStyle name="통화 2 3 2 2 2 2 2" xfId="109" xr:uid="{F1615B12-4E6C-4935-A464-B9ADA0918F04}"/>
    <cellStyle name="통화 2 3 2 2 2 3" xfId="105" xr:uid="{D0C098F4-5562-488E-9BFA-F1EAAE6907B5}"/>
    <cellStyle name="통화 2 3 2 2 3" xfId="93" xr:uid="{DE0C2B6A-5585-419A-82BC-2350E2190AA1}"/>
    <cellStyle name="통화 2 3 2 3" xfId="48" xr:uid="{00000000-0005-0000-0000-000037000000}"/>
    <cellStyle name="통화 2 3 2 3 2" xfId="99" xr:uid="{E11B4892-BC1F-4238-9E1B-E20969B46897}"/>
    <cellStyle name="통화 2 3 2 4" xfId="88" xr:uid="{627D78FC-78B0-4D60-9E81-63F7BB5D472A}"/>
    <cellStyle name="통화 2 3 3" xfId="84" xr:uid="{E66ECA19-BAD6-4C60-8062-9AD04B7C240B}"/>
    <cellStyle name="통화 2 4" xfId="80" xr:uid="{751B9157-836A-4548-A4F4-3F3E15253B5B}"/>
    <cellStyle name="표준 2" xfId="28" xr:uid="{00000000-0005-0000-0000-000038000000}"/>
    <cellStyle name="표준 2 2" xfId="30" xr:uid="{00000000-0005-0000-0000-000039000000}"/>
    <cellStyle name="표준 2 2 2" xfId="34" xr:uid="{00000000-0005-0000-0000-00003A000000}"/>
    <cellStyle name="표준 2 2 2 2" xfId="38" xr:uid="{00000000-0005-0000-0000-00003B000000}"/>
    <cellStyle name="표준 2 2 2 2 2" xfId="43" xr:uid="{00000000-0005-0000-0000-00003C000000}"/>
    <cellStyle name="표준 2 2 2 2 2 2" xfId="55" xr:uid="{00000000-0005-0000-0000-00003D000000}"/>
    <cellStyle name="표준 2 2 2 2 2 2 2" xfId="61" xr:uid="{00000000-0005-0000-0000-00003E000000}"/>
    <cellStyle name="표준 2 2 2 2 2 2 2 2" xfId="110" xr:uid="{DEDF8871-6311-4E41-89AD-369D5572A411}"/>
    <cellStyle name="표준 2 2 2 2 2 2 3" xfId="106" xr:uid="{312E1B3B-8C45-4328-886B-64C14319C7E7}"/>
    <cellStyle name="표준 2 2 2 2 2 3" xfId="94" xr:uid="{7271B345-58AD-4193-B0EE-E484AD43DEFD}"/>
    <cellStyle name="표준 2 2 2 2 3" xfId="49" xr:uid="{00000000-0005-0000-0000-00003F000000}"/>
    <cellStyle name="표준 2 2 2 2 3 2" xfId="100" xr:uid="{5DD374F5-1308-45AE-A6C6-0545F6BDD173}"/>
    <cellStyle name="표준 2 2 2 2 4" xfId="89" xr:uid="{12B077E9-6CFE-44A3-88F1-506314813DFA}"/>
    <cellStyle name="표준 2 2 2 3" xfId="85" xr:uid="{F36B381D-BD25-4095-B809-1E0129743ECE}"/>
    <cellStyle name="표준 2 2 3" xfId="81" xr:uid="{1DF0CB25-30C8-4A8F-9F37-E69113AF986A}"/>
    <cellStyle name="표준 2 3" xfId="32" xr:uid="{00000000-0005-0000-0000-000040000000}"/>
    <cellStyle name="표준 2 3 2" xfId="36" xr:uid="{00000000-0005-0000-0000-000041000000}"/>
    <cellStyle name="표준 2 3 2 2" xfId="41" xr:uid="{00000000-0005-0000-0000-000042000000}"/>
    <cellStyle name="표준 2 3 2 2 2" xfId="53" xr:uid="{00000000-0005-0000-0000-000043000000}"/>
    <cellStyle name="표준 2 3 2 2 2 2" xfId="59" xr:uid="{00000000-0005-0000-0000-000044000000}"/>
    <cellStyle name="표준 2 3 2 2 2 2 2" xfId="108" xr:uid="{AB9BE009-7073-46CA-BFCC-5DF91E258573}"/>
    <cellStyle name="표준 2 3 2 2 2 3" xfId="104" xr:uid="{3CF421E6-E75A-4B7E-9FE6-CED77AA69B9E}"/>
    <cellStyle name="표준 2 3 2 2 3" xfId="92" xr:uid="{7AAF82A5-B43C-49FC-B54A-658D71077B22}"/>
    <cellStyle name="표준 2 3 2 3" xfId="47" xr:uid="{00000000-0005-0000-0000-000045000000}"/>
    <cellStyle name="표준 2 3 2 3 2" xfId="98" xr:uid="{F4749341-4BDC-4235-B071-4FAD298A089A}"/>
    <cellStyle name="표준 2 3 2 4" xfId="87" xr:uid="{91D079D5-432D-4FE1-8E1C-E02ECB65DD13}"/>
    <cellStyle name="표준 2 3 3" xfId="83" xr:uid="{C413F009-0964-43E3-93BC-727DCB01A9D6}"/>
    <cellStyle name="표준 2 4" xfId="79" xr:uid="{E2C3F81D-972A-428D-AC99-34F10A2626FE}"/>
  </cellStyles>
  <dxfs count="38">
    <dxf>
      <border>
        <bottom style="thin">
          <color rgb="FFBFBFBF"/>
        </bottom>
      </border>
    </dxf>
    <dxf>
      <border>
        <bottom style="thin">
          <color rgb="FFBFBFBF"/>
        </bottom>
      </border>
    </dxf>
    <dxf>
      <font>
        <sz val="11"/>
        <color rgb="FF006100"/>
        <name val="Calibri"/>
      </font>
      <numFmt numFmtId="171" formatCode="_-[$$-540A]* #,##0.00_ ;_-[$$-540A]* \-#,##0.00\ ;_-[$$-540A]* \-??_ ;_-@_ "/>
      <fill>
        <patternFill>
          <bgColor rgb="FFC6EFCE"/>
        </patternFill>
      </fill>
    </dxf>
    <dxf>
      <font>
        <sz val="11"/>
        <color rgb="FFFFFFFF"/>
        <name val="Calibri"/>
      </font>
      <numFmt numFmtId="171" formatCode="_-[$$-540A]* #,##0.00_ ;_-[$$-540A]* \-#,##0.00\ ;_-[$$-540A]* \-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indent="0" justifyLastLine="0" shrinkToFit="0" readingOrder="0"/>
    </dxf>
    <dxf>
      <alignment vertical="center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13" formatCode="0%"/>
      <fill>
        <patternFill patternType="solid">
          <fgColor indexed="64"/>
          <bgColor theme="6" tint="0.599963377788628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numFmt numFmtId="164" formatCode="_(&quot;$&quot;* #,##0.00_);_(&quot;$&quot;* \(#,##0.00\);_(&quot;$&quot;* &quot;-&quot;??_);_(@_)"/>
      <alignment vertical="center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vertical="center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vertical="center" indent="0" justifyLastLine="0" shrinkToFit="0" readingOrder="0"/>
    </dxf>
    <dxf>
      <border>
        <bottom style="thin">
          <color rgb="FF000000"/>
        </bottom>
      </border>
    </dxf>
    <dxf>
      <font>
        <b/>
      </font>
      <alignment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indent="0" justifyLastLine="0" shrinkToFit="0" readingOrder="0"/>
    </dxf>
    <dxf>
      <alignment vertical="center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13" formatCode="0%"/>
      <fill>
        <patternFill patternType="solid">
          <fgColor indexed="64"/>
          <bgColor theme="6" tint="0.599963377788628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numFmt numFmtId="164" formatCode="_(&quot;$&quot;* #,##0.00_);_(&quot;$&quot;* \(#,##0.00\);_(&quot;$&quot;* &quot;-&quot;??_);_(@_)"/>
      <alignment vertical="center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vertical="center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vertical="center" indent="0" justifyLastLine="0" shrinkToFit="0" readingOrder="0"/>
    </dxf>
    <dxf>
      <border>
        <bottom style="thin">
          <color indexed="64"/>
        </bottom>
      </border>
    </dxf>
    <dxf>
      <font>
        <b/>
      </font>
      <alignment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(&quot;$&quot;* #,##0.00_);_(&quot;$&quot;* \(#,##0.00\);_(&quot;$&quot;* &quot;-&quot;??_);_(@_)"/>
      <alignment vertical="center" indent="0" justifyLastLine="0" shrinkToFit="0" readingOrder="0"/>
    </dxf>
    <dxf>
      <alignment vertical="center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indent="0" justifyLastLine="0" shrinkToFit="0" readingOrder="0"/>
    </dxf>
    <dxf>
      <alignment vertical="center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numFmt numFmtId="164" formatCode="_(&quot;$&quot;* #,##0.00_);_(&quot;$&quot;* \(#,##0.00\);_(&quot;$&quot;* &quot;-&quot;??_);_(@_)"/>
      <alignment vertical="center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vertical="center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vertical="center" indent="0" justifyLastLine="0" shrinkToFit="0" readingOrder="0"/>
    </dxf>
    <dxf>
      <border>
        <bottom style="thin">
          <color rgb="FF000000"/>
        </bottom>
      </border>
    </dxf>
    <dxf>
      <font>
        <b/>
      </font>
      <alignment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CC0099"/>
      <color rgb="FFEE3A3A"/>
      <color rgb="FF00CC00"/>
      <color rgb="FF00FFCC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1042148</xdr:colOff>
      <xdr:row>37</xdr:row>
      <xdr:rowOff>145676</xdr:rowOff>
    </xdr:from>
    <xdr:to>
      <xdr:col>5</xdr:col>
      <xdr:colOff>518128</xdr:colOff>
      <xdr:row>57</xdr:row>
      <xdr:rowOff>59458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1F773F-C04C-43FA-ADEE-F30D6DBAB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148" y="9995647"/>
          <a:ext cx="7428571" cy="30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74839</xdr:colOff>
      <xdr:row>26</xdr:row>
      <xdr:rowOff>60174</xdr:rowOff>
    </xdr:from>
    <xdr:to>
      <xdr:col>5</xdr:col>
      <xdr:colOff>942521</xdr:colOff>
      <xdr:row>30</xdr:row>
      <xdr:rowOff>196505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F7AD2-1DAA-4ADA-B90E-65526075C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839" y="5720745"/>
          <a:ext cx="1983468" cy="554070"/>
        </a:xfrm>
        <a:prstGeom prst="rect">
          <a:avLst/>
        </a:prstGeom>
      </xdr:spPr>
    </xdr:pic>
    <xdr:clientData/>
  </xdr:twoCellAnchor>
  <xdr:oneCellAnchor>
    <xdr:from>
      <xdr:col>1</xdr:col>
      <xdr:colOff>115660</xdr:colOff>
      <xdr:row>47</xdr:row>
      <xdr:rowOff>87388</xdr:rowOff>
    </xdr:from>
    <xdr:ext cx="1983468" cy="554070"/>
    <xdr:pic>
      <xdr:nvPicPr>
        <xdr:cNvPr id="3" name="Picture 1">
          <a:extLst>
            <a:ext uri="{FF2B5EF4-FFF2-40B4-BE49-F238E27FC236}">
              <a16:creationId xmlns:a16="http://schemas.microsoft.com/office/drawing/2014/main" id="{62C792A9-7139-4B69-9BCC-3809DD0F0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660" y="13626495"/>
          <a:ext cx="1983468" cy="554070"/>
        </a:xfrm>
        <a:prstGeom prst="rect">
          <a:avLst/>
        </a:prstGeom>
      </xdr:spPr>
    </xdr:pic>
    <xdr:clientData/>
  </xdr:oneCellAnchor>
  <xdr:twoCellAnchor editAs="oneCell">
    <xdr:from>
      <xdr:col>5</xdr:col>
      <xdr:colOff>707573</xdr:colOff>
      <xdr:row>45</xdr:row>
      <xdr:rowOff>108858</xdr:rowOff>
    </xdr:from>
    <xdr:to>
      <xdr:col>5</xdr:col>
      <xdr:colOff>1891393</xdr:colOff>
      <xdr:row>45</xdr:row>
      <xdr:rowOff>1937936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F25121-0514-42CA-B9BB-2228612D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3359" y="13579929"/>
          <a:ext cx="1183820" cy="18290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174203</xdr:colOff>
      <xdr:row>10</xdr:row>
      <xdr:rowOff>130810</xdr:rowOff>
    </xdr:from>
    <xdr:to>
      <xdr:col>7</xdr:col>
      <xdr:colOff>583567</xdr:colOff>
      <xdr:row>17</xdr:row>
      <xdr:rowOff>31750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75129B9-3185-47E1-AFC8-A943F34B283B}"/>
            </a:ext>
          </a:extLst>
        </xdr:cNvPr>
        <xdr:cNvSpPr>
          <a:spLocks noChangeArrowheads="1"/>
        </xdr:cNvSpPr>
      </xdr:nvSpPr>
      <xdr:spPr bwMode="auto">
        <a:xfrm>
          <a:off x="174203" y="2109893"/>
          <a:ext cx="5764531" cy="1160357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1809750</xdr:colOff>
      <xdr:row>10</xdr:row>
      <xdr:rowOff>6064</xdr:rowOff>
    </xdr:from>
    <xdr:to>
      <xdr:col>9</xdr:col>
      <xdr:colOff>1136431</xdr:colOff>
      <xdr:row>18</xdr:row>
      <xdr:rowOff>1485</xdr:rowOff>
    </xdr:to>
    <xdr:sp macro="" textlink="">
      <xdr:nvSpPr>
        <xdr:cNvPr id="3" name="INVB2">
          <a:extLst>
            <a:ext uri="{FF2B5EF4-FFF2-40B4-BE49-F238E27FC236}">
              <a16:creationId xmlns:a16="http://schemas.microsoft.com/office/drawing/2014/main" id="{DCFD8C16-5076-4F0D-A433-1E84D60605CA}"/>
            </a:ext>
          </a:extLst>
        </xdr:cNvPr>
        <xdr:cNvSpPr>
          <a:spLocks noChangeArrowheads="1"/>
        </xdr:cNvSpPr>
      </xdr:nvSpPr>
      <xdr:spPr bwMode="auto">
        <a:xfrm>
          <a:off x="6541770" y="1911064"/>
          <a:ext cx="2222281" cy="909821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4</xdr:col>
      <xdr:colOff>608965</xdr:colOff>
      <xdr:row>4</xdr:row>
      <xdr:rowOff>127000</xdr:rowOff>
    </xdr:from>
    <xdr:to>
      <xdr:col>7</xdr:col>
      <xdr:colOff>1731645</xdr:colOff>
      <xdr:row>7</xdr:row>
      <xdr:rowOff>40005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827A1F57-4021-43E6-A932-CD28D992A652}"/>
            </a:ext>
          </a:extLst>
        </xdr:cNvPr>
        <xdr:cNvSpPr txBox="1">
          <a:spLocks noChangeArrowheads="1"/>
        </xdr:cNvSpPr>
      </xdr:nvSpPr>
      <xdr:spPr bwMode="auto">
        <a:xfrm>
          <a:off x="3550285" y="858520"/>
          <a:ext cx="2913380" cy="7893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Arial"/>
              <a:cs typeface="Arial"/>
            </a:rPr>
            <a:t>C</a:t>
          </a:r>
          <a:r>
            <a:rPr lang="en-US" sz="1600" b="1" i="1" strike="noStrike" baseline="0">
              <a:solidFill>
                <a:srgbClr val="000000"/>
              </a:solidFill>
              <a:latin typeface="Arial"/>
              <a:cs typeface="Arial"/>
            </a:rPr>
            <a:t> O T I Z A C I Ó N</a:t>
          </a:r>
          <a:endParaRPr lang="en-US" sz="16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57150</xdr:colOff>
      <xdr:row>71</xdr:row>
      <xdr:rowOff>0</xdr:rowOff>
    </xdr:from>
    <xdr:to>
      <xdr:col>2</xdr:col>
      <xdr:colOff>590550</xdr:colOff>
      <xdr:row>71</xdr:row>
      <xdr:rowOff>0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B7F3B61F-D5DD-4E13-BA0C-EFE976E628E9}"/>
            </a:ext>
          </a:extLst>
        </xdr:cNvPr>
        <xdr:cNvSpPr txBox="1">
          <a:spLocks noChangeArrowheads="1"/>
        </xdr:cNvSpPr>
      </xdr:nvSpPr>
      <xdr:spPr bwMode="auto">
        <a:xfrm>
          <a:off x="57150" y="3589020"/>
          <a:ext cx="146304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strike="noStrike">
              <a:solidFill>
                <a:srgbClr val="000000"/>
              </a:solidFill>
              <a:latin typeface="Arial"/>
              <a:cs typeface="Arial"/>
            </a:rPr>
            <a:t>Observaciones:</a:t>
          </a:r>
        </a:p>
      </xdr:txBody>
    </xdr:sp>
    <xdr:clientData/>
  </xdr:twoCellAnchor>
  <xdr:twoCellAnchor>
    <xdr:from>
      <xdr:col>1</xdr:col>
      <xdr:colOff>2839</xdr:colOff>
      <xdr:row>79</xdr:row>
      <xdr:rowOff>83633</xdr:rowOff>
    </xdr:from>
    <xdr:to>
      <xdr:col>10</xdr:col>
      <xdr:colOff>0</xdr:colOff>
      <xdr:row>83</xdr:row>
      <xdr:rowOff>134815</xdr:rowOff>
    </xdr:to>
    <xdr:sp macro="" textlink="" fLocksText="0">
      <xdr:nvSpPr>
        <xdr:cNvPr id="6" name="Text Box 12">
          <a:extLst>
            <a:ext uri="{FF2B5EF4-FFF2-40B4-BE49-F238E27FC236}">
              <a16:creationId xmlns:a16="http://schemas.microsoft.com/office/drawing/2014/main" id="{F4A4D5E8-CAE5-438F-A8E4-5D05FACE071B}"/>
            </a:ext>
          </a:extLst>
        </xdr:cNvPr>
        <xdr:cNvSpPr txBox="1">
          <a:spLocks noChangeArrowheads="1"/>
        </xdr:cNvSpPr>
      </xdr:nvSpPr>
      <xdr:spPr bwMode="auto">
        <a:xfrm>
          <a:off x="239059" y="4762313"/>
          <a:ext cx="8523941" cy="93510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Forma</a:t>
          </a:r>
          <a:r>
            <a:rPr lang="en-US" sz="800" b="0" i="0" strike="noStrike" baseline="0">
              <a:solidFill>
                <a:srgbClr val="000000"/>
              </a:solidFill>
              <a:latin typeface="Arial"/>
              <a:cs typeface="Arial"/>
            </a:rPr>
            <a:t> de pago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:</a:t>
          </a:r>
          <a:r>
            <a:rPr lang="en-US" sz="800" b="0" i="0" strike="noStrike" baseline="0">
              <a:solidFill>
                <a:srgbClr val="000000"/>
              </a:solidFill>
              <a:latin typeface="Arial"/>
              <a:cs typeface="Arial"/>
            </a:rPr>
            <a:t> 50% adelanto y 50% contra entrega del proyecto.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TIEMPO DE ENTREGA: </a:t>
          </a:r>
          <a:r>
            <a:rPr lang="es-ES" sz="900" b="0" i="0" strike="noStrike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según se detalla la oferta.</a:t>
          </a:r>
          <a:r>
            <a:rPr lang="es-ES" sz="900" b="0" i="0" strike="noStrike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es-ES" sz="900" b="0" i="0" strike="noStrike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HN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Estos precios son entregados en Costa</a:t>
          </a:r>
          <a:r>
            <a:rPr lang="es-HN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Rica</a:t>
          </a:r>
          <a:r>
            <a:rPr lang="es-HN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HN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Precio</a:t>
          </a:r>
          <a:r>
            <a:rPr lang="es-HN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sujeto a cambio una vez finalizado el tiempo de validez de esta oferta.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HN" sz="8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Garantía: 12 meses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HN" sz="8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Observación: </a:t>
          </a:r>
        </a:p>
      </xdr:txBody>
    </xdr:sp>
    <xdr:clientData fLocksWithSheet="0"/>
  </xdr:twoCellAnchor>
  <xdr:oneCellAnchor>
    <xdr:from>
      <xdr:col>1</xdr:col>
      <xdr:colOff>23008</xdr:colOff>
      <xdr:row>0</xdr:row>
      <xdr:rowOff>24280</xdr:rowOff>
    </xdr:from>
    <xdr:ext cx="2781152" cy="698859"/>
    <xdr:pic>
      <xdr:nvPicPr>
        <xdr:cNvPr id="7" name="Imagen 1" descr="Logo Grupo Vision 320.jpg">
          <a:extLst>
            <a:ext uri="{FF2B5EF4-FFF2-40B4-BE49-F238E27FC236}">
              <a16:creationId xmlns:a16="http://schemas.microsoft.com/office/drawing/2014/main" id="{D71E0480-0AC1-47E1-BB7E-E882AF0DD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228" y="24280"/>
          <a:ext cx="2781152" cy="698859"/>
        </a:xfrm>
        <a:prstGeom prst="rect">
          <a:avLst/>
        </a:prstGeom>
      </xdr:spPr>
    </xdr:pic>
    <xdr:clientData/>
  </xdr:oneCellAnchor>
  <xdr:oneCellAnchor>
    <xdr:from>
      <xdr:col>5</xdr:col>
      <xdr:colOff>577709</xdr:colOff>
      <xdr:row>85</xdr:row>
      <xdr:rowOff>19603</xdr:rowOff>
    </xdr:from>
    <xdr:ext cx="1163671" cy="1114352"/>
    <xdr:pic>
      <xdr:nvPicPr>
        <xdr:cNvPr id="8" name="Imagen 2">
          <a:extLst>
            <a:ext uri="{FF2B5EF4-FFF2-40B4-BE49-F238E27FC236}">
              <a16:creationId xmlns:a16="http://schemas.microsoft.com/office/drawing/2014/main" id="{F90CE891-B1EC-4E42-A313-CCB4EADC57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7470" b="90964" l="53991" r="97183">
                      <a14:foregroundMark x1="61550" y1="18869" x2="57981" y2="18072"/>
                      <a14:foregroundMark x1="57981" y1="18072" x2="57981" y2="18072"/>
                      <a14:foregroundMark x1="58920" y1="16265" x2="55869" y2="27711"/>
                      <a14:foregroundMark x1="55869" y1="27711" x2="54225" y2="40361"/>
                      <a14:foregroundMark x1="54225" y1="40361" x2="55634" y2="39759"/>
                      <a14:foregroundMark x1="93781" y1="60914" x2="97183" y2="68675"/>
                      <a14:foregroundMark x1="97183" y1="68675" x2="93548" y2="82668"/>
                      <a14:foregroundMark x1="93212" y1="83208" x2="88263" y2="84940"/>
                      <a14:foregroundMark x1="92958" y1="86145" x2="91549" y2="87952"/>
                      <a14:foregroundMark x1="93427" y1="89759" x2="92958" y2="91566"/>
                      <a14:foregroundMark x1="68545" y1="39157" x2="73239" y2="43976"/>
                      <a14:foregroundMark x1="64789" y1="31928" x2="70657" y2="37952"/>
                      <a14:foregroundMark x1="74883" y1="42771" x2="89437" y2="56627"/>
                      <a14:foregroundMark x1="89437" y1="56627" x2="92019" y2="65060"/>
                      <a14:foregroundMark x1="92019" y1="65060" x2="92019" y2="65663"/>
                      <a14:foregroundMark x1="93192" y1="71687" x2="91784" y2="75301"/>
                      <a14:foregroundMark x1="78169" y1="44578" x2="74413" y2="39157"/>
                      <a14:foregroundMark x1="75352" y1="59036" x2="66432" y2="47590"/>
                      <a14:foregroundMark x1="74178" y1="40964" x2="74883" y2="40964"/>
                      <a14:foregroundMark x1="92488" y1="75904" x2="91549" y2="77108"/>
                      <a14:foregroundMark x1="61972" y1="19880" x2="67371" y2="25904"/>
                      <a14:foregroundMark x1="67840" y1="26506" x2="71596" y2="31325"/>
                      <a14:foregroundMark x1="71596" y1="31325" x2="73239" y2="33133"/>
                      <a14:foregroundMark x1="72770" y1="31928" x2="78638" y2="40361"/>
                      <a14:foregroundMark x1="78638" y1="40361" x2="78638" y2="40361"/>
                      <a14:foregroundMark x1="76995" y1="37349" x2="83568" y2="45783"/>
                      <a14:foregroundMark x1="82629" y1="43976" x2="97183" y2="63253"/>
                      <a14:backgroundMark x1="62732" y1="17615" x2="61737" y2="15060"/>
                      <a14:backgroundMark x1="62412" y1="18570" x2="61268" y2="17470"/>
                    </a14:backgroundRemoval>
                  </a14:imgEffect>
                </a14:imgLayer>
              </a14:imgProps>
            </a:ext>
          </a:extLst>
        </a:blip>
        <a:srcRect l="52762" t="9341" r="1241" b="6358"/>
        <a:stretch/>
      </xdr:blipFill>
      <xdr:spPr>
        <a:xfrm>
          <a:off x="4980376" y="9777436"/>
          <a:ext cx="1163671" cy="111435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174203</xdr:colOff>
      <xdr:row>10</xdr:row>
      <xdr:rowOff>130810</xdr:rowOff>
    </xdr:from>
    <xdr:to>
      <xdr:col>7</xdr:col>
      <xdr:colOff>583567</xdr:colOff>
      <xdr:row>17</xdr:row>
      <xdr:rowOff>31750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793095D-BFC6-4F89-A5BF-FA5608EF39D8}"/>
            </a:ext>
          </a:extLst>
        </xdr:cNvPr>
        <xdr:cNvSpPr>
          <a:spLocks noChangeArrowheads="1"/>
        </xdr:cNvSpPr>
      </xdr:nvSpPr>
      <xdr:spPr bwMode="auto">
        <a:xfrm>
          <a:off x="174203" y="2118360"/>
          <a:ext cx="5724314" cy="1158240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1809750</xdr:colOff>
      <xdr:row>10</xdr:row>
      <xdr:rowOff>6064</xdr:rowOff>
    </xdr:from>
    <xdr:to>
      <xdr:col>9</xdr:col>
      <xdr:colOff>1136431</xdr:colOff>
      <xdr:row>18</xdr:row>
      <xdr:rowOff>1485</xdr:rowOff>
    </xdr:to>
    <xdr:sp macro="" textlink="">
      <xdr:nvSpPr>
        <xdr:cNvPr id="3" name="INVB2">
          <a:extLst>
            <a:ext uri="{FF2B5EF4-FFF2-40B4-BE49-F238E27FC236}">
              <a16:creationId xmlns:a16="http://schemas.microsoft.com/office/drawing/2014/main" id="{9F105F37-924B-4E79-B8CA-66B3213B1430}"/>
            </a:ext>
          </a:extLst>
        </xdr:cNvPr>
        <xdr:cNvSpPr>
          <a:spLocks noChangeArrowheads="1"/>
        </xdr:cNvSpPr>
      </xdr:nvSpPr>
      <xdr:spPr bwMode="auto">
        <a:xfrm>
          <a:off x="7124700" y="1993614"/>
          <a:ext cx="2381031" cy="1284471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4</xdr:col>
      <xdr:colOff>608965</xdr:colOff>
      <xdr:row>4</xdr:row>
      <xdr:rowOff>127000</xdr:rowOff>
    </xdr:from>
    <xdr:to>
      <xdr:col>7</xdr:col>
      <xdr:colOff>1731645</xdr:colOff>
      <xdr:row>7</xdr:row>
      <xdr:rowOff>40005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F9E9F851-9D5B-446D-92E4-4B79FF3B16A3}"/>
            </a:ext>
          </a:extLst>
        </xdr:cNvPr>
        <xdr:cNvSpPr txBox="1">
          <a:spLocks noChangeArrowheads="1"/>
        </xdr:cNvSpPr>
      </xdr:nvSpPr>
      <xdr:spPr bwMode="auto">
        <a:xfrm>
          <a:off x="4095115" y="863600"/>
          <a:ext cx="2951480" cy="5099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1600" b="1" i="1" strike="noStrike">
              <a:solidFill>
                <a:srgbClr val="000000"/>
              </a:solidFill>
              <a:latin typeface="Arial"/>
              <a:cs typeface="Arial"/>
            </a:rPr>
            <a:t>C</a:t>
          </a:r>
          <a:r>
            <a:rPr lang="en-US" sz="1600" b="1" i="1" strike="noStrike" baseline="0">
              <a:solidFill>
                <a:srgbClr val="000000"/>
              </a:solidFill>
              <a:latin typeface="Arial"/>
              <a:cs typeface="Arial"/>
            </a:rPr>
            <a:t> O T I Z A C I Ó N</a:t>
          </a:r>
          <a:endParaRPr lang="en-US" sz="16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57150</xdr:colOff>
      <xdr:row>71</xdr:row>
      <xdr:rowOff>0</xdr:rowOff>
    </xdr:from>
    <xdr:to>
      <xdr:col>2</xdr:col>
      <xdr:colOff>590550</xdr:colOff>
      <xdr:row>71</xdr:row>
      <xdr:rowOff>0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C9D474D1-457E-4A72-87CE-1117C75773A4}"/>
            </a:ext>
          </a:extLst>
        </xdr:cNvPr>
        <xdr:cNvSpPr txBox="1">
          <a:spLocks noChangeArrowheads="1"/>
        </xdr:cNvSpPr>
      </xdr:nvSpPr>
      <xdr:spPr bwMode="auto">
        <a:xfrm>
          <a:off x="57150" y="37287200"/>
          <a:ext cx="19431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strike="noStrike">
              <a:solidFill>
                <a:srgbClr val="000000"/>
              </a:solidFill>
              <a:latin typeface="Arial"/>
              <a:cs typeface="Arial"/>
            </a:rPr>
            <a:t>Observaciones:</a:t>
          </a:r>
        </a:p>
      </xdr:txBody>
    </xdr:sp>
    <xdr:clientData/>
  </xdr:twoCellAnchor>
  <xdr:twoCellAnchor>
    <xdr:from>
      <xdr:col>1</xdr:col>
      <xdr:colOff>2839</xdr:colOff>
      <xdr:row>79</xdr:row>
      <xdr:rowOff>83633</xdr:rowOff>
    </xdr:from>
    <xdr:to>
      <xdr:col>10</xdr:col>
      <xdr:colOff>0</xdr:colOff>
      <xdr:row>83</xdr:row>
      <xdr:rowOff>134815</xdr:rowOff>
    </xdr:to>
    <xdr:sp macro="" textlink="" fLocksText="0">
      <xdr:nvSpPr>
        <xdr:cNvPr id="6" name="Text Box 12">
          <a:extLst>
            <a:ext uri="{FF2B5EF4-FFF2-40B4-BE49-F238E27FC236}">
              <a16:creationId xmlns:a16="http://schemas.microsoft.com/office/drawing/2014/main" id="{D7409C5E-F0EB-4AE0-8A52-82063B46EF70}"/>
            </a:ext>
          </a:extLst>
        </xdr:cNvPr>
        <xdr:cNvSpPr txBox="1">
          <a:spLocks noChangeArrowheads="1"/>
        </xdr:cNvSpPr>
      </xdr:nvSpPr>
      <xdr:spPr bwMode="auto">
        <a:xfrm>
          <a:off x="244139" y="38920233"/>
          <a:ext cx="9293561" cy="9401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Forma</a:t>
          </a:r>
          <a:r>
            <a:rPr lang="en-US" sz="800" b="0" i="0" strike="noStrike" baseline="0">
              <a:solidFill>
                <a:srgbClr val="000000"/>
              </a:solidFill>
              <a:latin typeface="Arial"/>
              <a:cs typeface="Arial"/>
            </a:rPr>
            <a:t> de pago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:</a:t>
          </a:r>
          <a:r>
            <a:rPr lang="en-US" sz="800" b="0" i="0" strike="noStrike" baseline="0">
              <a:solidFill>
                <a:srgbClr val="000000"/>
              </a:solidFill>
              <a:latin typeface="Arial"/>
              <a:cs typeface="Arial"/>
            </a:rPr>
            <a:t> 50% adelanto y 50% contra entrega del proyecto.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TIEMPO DE ENTREGA: </a:t>
          </a:r>
          <a:r>
            <a:rPr lang="es-ES" sz="900" b="0" i="0" strike="noStrike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según se detalla la oferta.</a:t>
          </a:r>
          <a:r>
            <a:rPr lang="es-ES" sz="900" b="0" i="0" strike="noStrike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es-ES" sz="900" b="0" i="0" strike="noStrike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HN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Estos precios son entregados en Costa</a:t>
          </a:r>
          <a:r>
            <a:rPr lang="es-HN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Rica</a:t>
          </a:r>
          <a:r>
            <a:rPr lang="es-HN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HN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Precio</a:t>
          </a:r>
          <a:r>
            <a:rPr lang="es-HN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sujeto a cambio una vez finalizado el tiempo de validez de esta oferta.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HN" sz="8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Garantía: 12 meses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HN" sz="8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Observación: </a:t>
          </a:r>
        </a:p>
      </xdr:txBody>
    </xdr:sp>
    <xdr:clientData fLocksWithSheet="0"/>
  </xdr:twoCellAnchor>
  <xdr:oneCellAnchor>
    <xdr:from>
      <xdr:col>1</xdr:col>
      <xdr:colOff>23008</xdr:colOff>
      <xdr:row>0</xdr:row>
      <xdr:rowOff>24280</xdr:rowOff>
    </xdr:from>
    <xdr:ext cx="2781152" cy="698859"/>
    <xdr:pic>
      <xdr:nvPicPr>
        <xdr:cNvPr id="7" name="Imagen 1" descr="Logo Grupo Vision 320.jpg">
          <a:extLst>
            <a:ext uri="{FF2B5EF4-FFF2-40B4-BE49-F238E27FC236}">
              <a16:creationId xmlns:a16="http://schemas.microsoft.com/office/drawing/2014/main" id="{E529199C-9726-4A91-A533-1DD45DFBD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08" y="24280"/>
          <a:ext cx="2781152" cy="698859"/>
        </a:xfrm>
        <a:prstGeom prst="rect">
          <a:avLst/>
        </a:prstGeom>
      </xdr:spPr>
    </xdr:pic>
    <xdr:clientData/>
  </xdr:oneCellAnchor>
  <xdr:oneCellAnchor>
    <xdr:from>
      <xdr:col>5</xdr:col>
      <xdr:colOff>577709</xdr:colOff>
      <xdr:row>85</xdr:row>
      <xdr:rowOff>19603</xdr:rowOff>
    </xdr:from>
    <xdr:ext cx="1163671" cy="1114352"/>
    <xdr:pic>
      <xdr:nvPicPr>
        <xdr:cNvPr id="8" name="Imagen 2">
          <a:extLst>
            <a:ext uri="{FF2B5EF4-FFF2-40B4-BE49-F238E27FC236}">
              <a16:creationId xmlns:a16="http://schemas.microsoft.com/office/drawing/2014/main" id="{22468E6A-01A3-4CC2-8BE7-362861CEC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7470" b="90964" l="53991" r="97183">
                      <a14:foregroundMark x1="61550" y1="18869" x2="57981" y2="18072"/>
                      <a14:foregroundMark x1="57981" y1="18072" x2="57981" y2="18072"/>
                      <a14:foregroundMark x1="58920" y1="16265" x2="55869" y2="27711"/>
                      <a14:foregroundMark x1="55869" y1="27711" x2="54225" y2="40361"/>
                      <a14:foregroundMark x1="54225" y1="40361" x2="55634" y2="39759"/>
                      <a14:foregroundMark x1="93781" y1="60914" x2="97183" y2="68675"/>
                      <a14:foregroundMark x1="97183" y1="68675" x2="93548" y2="82668"/>
                      <a14:foregroundMark x1="93212" y1="83208" x2="88263" y2="84940"/>
                      <a14:foregroundMark x1="92958" y1="86145" x2="91549" y2="87952"/>
                      <a14:foregroundMark x1="93427" y1="89759" x2="92958" y2="91566"/>
                      <a14:foregroundMark x1="68545" y1="39157" x2="73239" y2="43976"/>
                      <a14:foregroundMark x1="64789" y1="31928" x2="70657" y2="37952"/>
                      <a14:foregroundMark x1="74883" y1="42771" x2="89437" y2="56627"/>
                      <a14:foregroundMark x1="89437" y1="56627" x2="92019" y2="65060"/>
                      <a14:foregroundMark x1="92019" y1="65060" x2="92019" y2="65663"/>
                      <a14:foregroundMark x1="93192" y1="71687" x2="91784" y2="75301"/>
                      <a14:foregroundMark x1="78169" y1="44578" x2="74413" y2="39157"/>
                      <a14:foregroundMark x1="75352" y1="59036" x2="66432" y2="47590"/>
                      <a14:foregroundMark x1="74178" y1="40964" x2="74883" y2="40964"/>
                      <a14:foregroundMark x1="92488" y1="75904" x2="91549" y2="77108"/>
                      <a14:foregroundMark x1="61972" y1="19880" x2="67371" y2="25904"/>
                      <a14:foregroundMark x1="67840" y1="26506" x2="71596" y2="31325"/>
                      <a14:foregroundMark x1="71596" y1="31325" x2="73239" y2="33133"/>
                      <a14:foregroundMark x1="72770" y1="31928" x2="78638" y2="40361"/>
                      <a14:foregroundMark x1="78638" y1="40361" x2="78638" y2="40361"/>
                      <a14:foregroundMark x1="76995" y1="37349" x2="83568" y2="45783"/>
                      <a14:foregroundMark x1="82629" y1="43976" x2="97183" y2="63253"/>
                      <a14:backgroundMark x1="62732" y1="17615" x2="61737" y2="15060"/>
                      <a14:backgroundMark x1="62412" y1="18570" x2="61268" y2="17470"/>
                    </a14:backgroundRemoval>
                  </a14:imgEffect>
                </a14:imgLayer>
              </a14:imgProps>
            </a:ext>
          </a:extLst>
        </a:blip>
        <a:srcRect l="52762" t="9341" r="1241" b="6358"/>
        <a:stretch/>
      </xdr:blipFill>
      <xdr:spPr>
        <a:xfrm>
          <a:off x="5054459" y="40113503"/>
          <a:ext cx="1163671" cy="111435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1042148</xdr:colOff>
      <xdr:row>37</xdr:row>
      <xdr:rowOff>145676</xdr:rowOff>
    </xdr:from>
    <xdr:to>
      <xdr:col>5</xdr:col>
      <xdr:colOff>525748</xdr:colOff>
      <xdr:row>57</xdr:row>
      <xdr:rowOff>55648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C7A5D2-6EBE-4E4C-B6F2-8DB40BDEB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148" y="10270751"/>
          <a:ext cx="7417925" cy="31484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mena\Mis%20documentos\Megatel\EF%20y%20trafico\marzo%2004\Financial%20statements%20analysis%20marzo04%20modi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visionorg-my.sharepoint.com/Users/Elmer%20Constanza/Desktop/ESCRITORIO/2020/GV%202020/Regionales/Panama/Proyectos/ATLAS/MEF/MEF%20911%20Colon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visionorg-my.sharepoint.com/Users/aoviedo/Desktop/09092019/Tecnisign%20proyeccion/MEF%20Tecnisign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RHASBUN\Termicos\Nuevos%20210\210%20completos\Nuevo%20proceso\ENERSA%20105mw%20a%20precio%20de%20lufussa%20ver%2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rrueda\LOCALS~1\Temp\Analisis%20de%20Cogeneracion%20Kimberly%20Clark%20(v2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visionorg-my.sharepoint.com/Users/ECarias/Desktop/GRUPO%20VISI&#211;N/Cogeneracion%20Gildan%20v.3.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rodriguezs\Mis%20documentos\Finanzas\Estados%20Financieros\EF-Diciembre%20Finales%20Promedio%202%20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visionorg-my.sharepoint.com/Users/jsanchez/Documents/Grupo%20Vision/Modelos%20Financieros%20GV/Cafe%20Maya/VALORACION%20CAFE%20Version%202%20060916%20J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MQ\Megatel%20de%20Honduras\Modelos\Modelo%20financiero%20English%20ver%2010%20Interes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mobiliaria\Modelo%20Financiero%20FMO%2040M%20r.5%20(M)%2090_10%20scenario%2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visionorg-my.sharepoint.com/Users/ECarias/Desktop/GRUPO%20VISI&#211;N/Pr&#233;stamo%20para%20Inversi&#243;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visionorg-my.sharepoint.com/Users/atoscano/AppData/Local/Microsoft/Windows/INetCache/Content.Outlook/FFG5AD9L/MCV_Actualizaci&#243;n%20Soporte%20Genetec%20DSA_v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visionorg-my.sharepoint.com/Users/Adanis/Desktop/GV/ACB/CLIENTES/MERCADO%20VALORES/2020/Cambio%20de%20Control%20de%20Acceso%20y%20temperatura/oferta/Matriz%20CR%20Control%20Acceso%20y%20temperatura%20MValor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https://grupovisionorg-my.sharepoint.com/personal/jlezcano_grupovision_org/Documents/JAIRO/2020/Ofertas%20con%20una%20semana%20despues%20de%20entregadas/III%20Cuat/Condominio%20Bella%20Vista-2020/CONDOMINIOBV/Matriz%20Condominio%20BV%20nueva%20visita.xlsx?6B3256B2" TargetMode="External"/><Relationship Id="rId1" Type="http://schemas.openxmlformats.org/officeDocument/2006/relationships/externalLinkPath" Target="file:///\\6B3256B2\Matriz%20Condominio%20BV%20nueva%20visit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rodriguezs\Mis%20documentos\Finanzas\Estados%20Financieros\EF-Diciembre%20Finales%20Promedio%20200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EHERNA~1\LOCALS~1\Temp\Modelo%20valor%20de%20rescat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rodriguezs\Mis%20documentos\Finanzas\Estados%20Financieros\Marzo%20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arcia\PUBLICO\Mis%20documentos\Rhasbun\Cogeneracion\Modelo%20de%20Cogeneraci&#243;n%20Gildan%20ver%204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rodriguezs\Mis%20documentos\Finanzas\Estados%20Financieros\Febrero%202004%20Finales%20Promedi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visionorg-my.sharepoint.com/Documents%20and%20Settings/Ronaldo/Mis%20documentos/Terra/Hidro%20XACLBAL%20v.9.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upuestos"/>
      <sheetName val="Est Result"/>
      <sheetName val="B Gral"/>
      <sheetName val="Conciliación "/>
      <sheetName val="Flujo de Efectivo"/>
      <sheetName val="Análisis Porcentual"/>
      <sheetName val="Análisis de Crecimiento"/>
      <sheetName val="Razones Financieras"/>
      <sheetName val="Indices"/>
      <sheetName val="P.E."/>
      <sheetName val="Indicadores"/>
      <sheetName val="Comparativo Gts Lps"/>
      <sheetName val="Comparativo Gts US$"/>
      <sheetName val="E.R Dic."/>
      <sheetName val="E.R. Enero "/>
      <sheetName val="E.R. Febrero"/>
      <sheetName val="E.R. mes Marzo"/>
      <sheetName val="B$D"/>
      <sheetName val="B$E"/>
      <sheetName val="Balance U$ Feb."/>
      <sheetName val="Balance u$ Mar."/>
      <sheetName val="Integracion u$ Dic."/>
      <sheetName val="Integracion u$ Ene."/>
      <sheetName val="Integracion u$ Feb."/>
      <sheetName val="Integracion u$ Marz."/>
      <sheetName val="Diciembre"/>
      <sheetName val="Enero"/>
      <sheetName val="Febrero"/>
      <sheetName val="Marzo"/>
      <sheetName val="Activos"/>
      <sheetName val="Pasivos"/>
      <sheetName val="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MO C"/>
      <sheetName val="Ptmo P"/>
      <sheetName val="Variables Escenarios"/>
      <sheetName val="Analisis"/>
      <sheetName val="BAL GRAL"/>
      <sheetName val="ESTADO DE RESULTADOS"/>
      <sheetName val="Hoja1"/>
      <sheetName val="ESTADO DE RESULTADOS (2)"/>
      <sheetName val="GUNSHOTS"/>
      <sheetName val="OPEX"/>
      <sheetName val="Planilla"/>
      <sheetName val="COMPUTADOR Y MOVILES"/>
      <sheetName val="UB y POSTES"/>
      <sheetName val="HW IT"/>
      <sheetName val="BIOMETRICOS"/>
      <sheetName val="HW FACE RECOGN"/>
      <sheetName val="DATA CENTER"/>
      <sheetName val="SW RED"/>
      <sheetName val="VIDEOWALL"/>
      <sheetName val="AUDIO - MEGAFONOS"/>
      <sheetName val="BOTONES"/>
      <sheetName val="Genetec SW VMS"/>
      <sheetName val="HEXAGON CAD SW"/>
      <sheetName val="Partes y Repuestos"/>
      <sheetName val="ACTIVOS"/>
      <sheetName val="RESUMEN"/>
      <sheetName val="CAPEX R"/>
      <sheetName val="GPS VEHICULOS"/>
      <sheetName val="VARIOS"/>
      <sheetName val="MANTENIMIENTO"/>
      <sheetName val="Riesgo No. 3"/>
      <sheetName val="Riesgo N.4"/>
      <sheetName val="PRUEBA"/>
      <sheetName val="BOM"/>
      <sheetName val="MAP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"/>
      <sheetName val="Premisas"/>
      <sheetName val="Graficos"/>
      <sheetName val="EF"/>
      <sheetName val="OPEX"/>
      <sheetName val="OPEX (G)"/>
      <sheetName val="Data OPEX"/>
      <sheetName val="Capex CECO"/>
      <sheetName val="Capex CECO (2)"/>
      <sheetName val="Data por centro"/>
      <sheetName val="Tax data"/>
      <sheetName val="depreciaciones"/>
      <sheetName val="Ingresos-Costos"/>
      <sheetName val="Ptmo P (2)"/>
      <sheetName val="PTMO C"/>
      <sheetName val="MEF Tecnisign v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SA"/>
      <sheetName val="Opciones de ubicacion"/>
      <sheetName val="RESUMEN"/>
      <sheetName val="FLUJO DE CAJA"/>
      <sheetName val="Inversion"/>
      <sheetName val="Labor"/>
      <sheetName val="Operacion"/>
      <sheetName val="Performance"/>
      <sheetName val="Fuel-USCG"/>
      <sheetName val="Pricing"/>
      <sheetName val="Pricing2"/>
      <sheetName val="Intereses durante construccion"/>
      <sheetName val="Financiamiento-Operacion"/>
      <sheetName val="Pricing Terminal"/>
      <sheetName val="Transporte Terminal"/>
      <sheetName val="Module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as"/>
      <sheetName val="Ofertas"/>
      <sheetName val="Resultados"/>
      <sheetName val="Resumen"/>
      <sheetName val="Flujo de Caja"/>
      <sheetName val="Simulacion"/>
      <sheetName val="Plan de Inversion"/>
      <sheetName val="Labor O&amp;M"/>
      <sheetName val="O&amp;M"/>
      <sheetName val="Precios kWh"/>
      <sheetName val="Variables"/>
      <sheetName val="Combustibles"/>
      <sheetName val="Financiamiento"/>
      <sheetName val="Intereses Construcción"/>
      <sheetName val="E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&amp;M"/>
      <sheetName val="CF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de Comprobacion"/>
      <sheetName val="Resultados Lps"/>
      <sheetName val="Integracion u$"/>
      <sheetName val="Balance Lps"/>
      <sheetName val="Balance U$$"/>
      <sheetName val="Integracion Lps"/>
      <sheetName val="Resultados U$$ Promedio"/>
      <sheetName val="Balance U$$ Promedio"/>
      <sheetName val="Resultados U$$"/>
      <sheetName val="Comparativo"/>
      <sheetName val="comparativo noviembre"/>
      <sheetName val="Comparativo Diciembre"/>
      <sheetName val="Comparativo Preliminar"/>
      <sheetName val="Proyeccion Cuentas"/>
      <sheetName val="Aportacion Capital"/>
      <sheetName val="Cona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aque"/>
      <sheetName val="base"/>
      <sheetName val="IS Mensual"/>
      <sheetName val="Representaciones"/>
      <sheetName val="Hoja1"/>
      <sheetName val="IS CF GV"/>
      <sheetName val="IS"/>
      <sheetName val="ER CAFE MAYA JULIO 2016 0808201"/>
      <sheetName val="BG JULIO 2016 08082016"/>
      <sheetName val="BG"/>
      <sheetName val="Debt Actual"/>
      <sheetName val="Debt WC"/>
      <sheetName val="Dep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 costos de red"/>
      <sheetName val="Expenses (2)"/>
      <sheetName val="Portada"/>
      <sheetName val="Price"/>
      <sheetName val="Executive Summary"/>
      <sheetName val="Dev. Exp."/>
      <sheetName val="Op. Cash Flow"/>
      <sheetName val="Disponibilidad"/>
      <sheetName val="Fin stat"/>
      <sheetName val="Finan.-Oper."/>
      <sheetName val="IDC"/>
      <sheetName val="Loan"/>
      <sheetName val="Traffic"/>
      <sheetName val="Rev&amp;COGS"/>
      <sheetName val="Forecast"/>
      <sheetName val="Descto"/>
      <sheetName val="Handsets"/>
      <sheetName val="Market size"/>
      <sheetName val="Subs"/>
      <sheetName val="SubsBrut"/>
      <sheetName val="SubsBrut2 "/>
      <sheetName val="Subsbrut3"/>
      <sheetName val="Staffing"/>
      <sheetName val="CAPEX"/>
      <sheetName val="Sitios 1"/>
      <sheetName val="Notas"/>
      <sheetName val="Edificios"/>
      <sheetName val="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Executive Summary"/>
      <sheetName val="DCF"/>
      <sheetName val="Mark. Share"/>
      <sheetName val="IS"/>
      <sheetName val="Balance"/>
      <sheetName val="CF"/>
      <sheetName val="Fees"/>
      <sheetName val="Debt FMO"/>
      <sheetName val="WC"/>
      <sheetName val="CAPEX"/>
      <sheetName val="Subsidies"/>
      <sheetName val="WACC"/>
      <sheetName val="Rev&amp;COGS"/>
      <sheetName val="Op. Cash Flow"/>
      <sheetName val="Price"/>
      <sheetName val="betas"/>
      <sheetName val="Finan.-Oper."/>
      <sheetName val="Subs"/>
      <sheetName val="Staffing"/>
      <sheetName val="IS (2)"/>
      <sheetName val="Fibra Optica"/>
      <sheetName val=" Ing."/>
      <sheetName val="Dev. Exp."/>
      <sheetName val="Com. TC"/>
      <sheetName val="Edificios"/>
      <sheetName val="IT compras"/>
      <sheetName val="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dora de préstamos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Evaluacion"/>
      <sheetName val="MCV_1 año"/>
      <sheetName val="MCV_2 años"/>
      <sheetName val="MCV_3 años"/>
      <sheetName val="MCV_5 años"/>
      <sheetName val="Gira"/>
      <sheetName val="Resumen"/>
      <sheetName val="Costos Instalación"/>
      <sheetName val="Amo_Prtmo"/>
      <sheetName val="Referencias"/>
    </sheetNames>
    <sheetDataSet>
      <sheetData sheetId="0"/>
      <sheetData sheetId="1"/>
      <sheetData sheetId="2"/>
      <sheetData sheetId="3">
        <row r="226">
          <cell r="E226">
            <v>0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A1" t="str">
            <v>Programación de la amortización para Financiamiento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>
            <v>0</v>
          </cell>
          <cell r="B4" t="str">
            <v>Especificar valores</v>
          </cell>
          <cell r="C4">
            <v>0</v>
          </cell>
          <cell r="D4">
            <v>0</v>
          </cell>
          <cell r="E4">
            <v>0</v>
          </cell>
          <cell r="H4" t="str">
            <v>Resumen del préstamo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 t="str">
            <v>Importe del préstamo</v>
          </cell>
          <cell r="D5">
            <v>49999.990168850592</v>
          </cell>
          <cell r="E5">
            <v>0</v>
          </cell>
          <cell r="H5">
            <v>0</v>
          </cell>
          <cell r="I5" t="str">
            <v>Pago programado</v>
          </cell>
          <cell r="J5" t="e">
            <v>#REF!</v>
          </cell>
        </row>
        <row r="6">
          <cell r="A6">
            <v>0</v>
          </cell>
          <cell r="B6">
            <v>0</v>
          </cell>
          <cell r="C6" t="str">
            <v>Tasa de interés anual</v>
          </cell>
          <cell r="D6">
            <v>0.12</v>
          </cell>
          <cell r="E6">
            <v>0</v>
          </cell>
          <cell r="H6">
            <v>0</v>
          </cell>
          <cell r="I6" t="str">
            <v>Número de pagos programado</v>
          </cell>
          <cell r="J6" t="e">
            <v>#REF!</v>
          </cell>
        </row>
        <row r="7">
          <cell r="A7">
            <v>0</v>
          </cell>
          <cell r="B7">
            <v>0</v>
          </cell>
          <cell r="C7" t="str">
            <v>Plazo del préstamo en años</v>
          </cell>
          <cell r="D7">
            <v>1</v>
          </cell>
          <cell r="E7">
            <v>0</v>
          </cell>
          <cell r="H7">
            <v>0</v>
          </cell>
          <cell r="I7" t="str">
            <v>Número de pagos real</v>
          </cell>
          <cell r="J7" t="e">
            <v>#REF!</v>
          </cell>
        </row>
        <row r="8">
          <cell r="A8">
            <v>0</v>
          </cell>
          <cell r="B8">
            <v>0</v>
          </cell>
          <cell r="C8" t="str">
            <v>Número de pagos al año</v>
          </cell>
          <cell r="D8">
            <v>12</v>
          </cell>
          <cell r="E8">
            <v>0</v>
          </cell>
          <cell r="H8">
            <v>0</v>
          </cell>
          <cell r="I8" t="str">
            <v>Total de pagos anticipados</v>
          </cell>
          <cell r="J8" t="e">
            <v>#REF!</v>
          </cell>
        </row>
        <row r="9">
          <cell r="A9">
            <v>0</v>
          </cell>
          <cell r="B9">
            <v>0</v>
          </cell>
          <cell r="C9" t="str">
            <v>Fecha inicial del préstamo</v>
          </cell>
          <cell r="D9">
            <v>43191</v>
          </cell>
          <cell r="E9">
            <v>0</v>
          </cell>
          <cell r="H9">
            <v>0</v>
          </cell>
          <cell r="I9" t="str">
            <v>Interés total</v>
          </cell>
          <cell r="J9" t="e">
            <v>#REF!</v>
          </cell>
        </row>
        <row r="10">
          <cell r="A10">
            <v>0</v>
          </cell>
          <cell r="B10">
            <v>0</v>
          </cell>
          <cell r="C10" t="str">
            <v>Pagos adicionales opcionales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Total valor requerido ya con financiamiento</v>
          </cell>
          <cell r="I11">
            <v>0</v>
          </cell>
          <cell r="J11" t="e">
            <v>#REF!</v>
          </cell>
        </row>
        <row r="12">
          <cell r="A12">
            <v>0</v>
          </cell>
          <cell r="B12" t="str">
            <v>Nombre de entidad de crédito: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Nº Pago</v>
          </cell>
          <cell r="B16" t="str">
            <v>Fecha de pago</v>
          </cell>
          <cell r="C16" t="str">
            <v>Saldo inicial</v>
          </cell>
          <cell r="D16" t="str">
            <v>Pago programado</v>
          </cell>
          <cell r="E16" t="str">
            <v>Pago adicional</v>
          </cell>
          <cell r="F16" t="str">
            <v>Pago total</v>
          </cell>
          <cell r="G16" t="str">
            <v>Capital</v>
          </cell>
          <cell r="H16" t="str">
            <v>Interés</v>
          </cell>
          <cell r="I16" t="str">
            <v>Saldo final</v>
          </cell>
          <cell r="J16" t="str">
            <v>Interés acumulativo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  <cell r="E321" t="e">
            <v>#REF!</v>
          </cell>
          <cell r="F321" t="e">
            <v>#REF!</v>
          </cell>
          <cell r="G321" t="e">
            <v>#REF!</v>
          </cell>
          <cell r="H321" t="e">
            <v>#REF!</v>
          </cell>
          <cell r="I321" t="e">
            <v>#REF!</v>
          </cell>
          <cell r="J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  <cell r="F322" t="e">
            <v>#REF!</v>
          </cell>
          <cell r="G322" t="e">
            <v>#REF!</v>
          </cell>
          <cell r="H322" t="e">
            <v>#REF!</v>
          </cell>
          <cell r="I322" t="e">
            <v>#REF!</v>
          </cell>
          <cell r="J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  <cell r="E323" t="e">
            <v>#REF!</v>
          </cell>
          <cell r="F323" t="e">
            <v>#REF!</v>
          </cell>
          <cell r="G323" t="e">
            <v>#REF!</v>
          </cell>
          <cell r="H323" t="e">
            <v>#REF!</v>
          </cell>
          <cell r="I323" t="e">
            <v>#REF!</v>
          </cell>
          <cell r="J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  <cell r="F324" t="e">
            <v>#REF!</v>
          </cell>
          <cell r="G324" t="e">
            <v>#REF!</v>
          </cell>
          <cell r="H324" t="e">
            <v>#REF!</v>
          </cell>
          <cell r="I324" t="e">
            <v>#REF!</v>
          </cell>
          <cell r="J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  <cell r="E325" t="e">
            <v>#REF!</v>
          </cell>
          <cell r="F325" t="e">
            <v>#REF!</v>
          </cell>
          <cell r="G325" t="e">
            <v>#REF!</v>
          </cell>
          <cell r="H325" t="e">
            <v>#REF!</v>
          </cell>
          <cell r="I325" t="e">
            <v>#REF!</v>
          </cell>
          <cell r="J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  <cell r="F326" t="e">
            <v>#REF!</v>
          </cell>
          <cell r="G326" t="e">
            <v>#REF!</v>
          </cell>
          <cell r="H326" t="e">
            <v>#REF!</v>
          </cell>
          <cell r="I326" t="e">
            <v>#REF!</v>
          </cell>
          <cell r="J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  <cell r="E327" t="e">
            <v>#REF!</v>
          </cell>
          <cell r="F327" t="e">
            <v>#REF!</v>
          </cell>
          <cell r="G327" t="e">
            <v>#REF!</v>
          </cell>
          <cell r="H327" t="e">
            <v>#REF!</v>
          </cell>
          <cell r="I327" t="e">
            <v>#REF!</v>
          </cell>
          <cell r="J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  <cell r="F328" t="e">
            <v>#REF!</v>
          </cell>
          <cell r="G328" t="e">
            <v>#REF!</v>
          </cell>
          <cell r="H328" t="e">
            <v>#REF!</v>
          </cell>
          <cell r="I328" t="e">
            <v>#REF!</v>
          </cell>
          <cell r="J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  <cell r="E329" t="e">
            <v>#REF!</v>
          </cell>
          <cell r="F329" t="e">
            <v>#REF!</v>
          </cell>
          <cell r="G329" t="e">
            <v>#REF!</v>
          </cell>
          <cell r="H329" t="e">
            <v>#REF!</v>
          </cell>
          <cell r="I329" t="e">
            <v>#REF!</v>
          </cell>
          <cell r="J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  <cell r="F330" t="e">
            <v>#REF!</v>
          </cell>
          <cell r="G330" t="e">
            <v>#REF!</v>
          </cell>
          <cell r="H330" t="e">
            <v>#REF!</v>
          </cell>
          <cell r="I330" t="e">
            <v>#REF!</v>
          </cell>
          <cell r="J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  <cell r="E331" t="e">
            <v>#REF!</v>
          </cell>
          <cell r="F331" t="e">
            <v>#REF!</v>
          </cell>
          <cell r="G331" t="e">
            <v>#REF!</v>
          </cell>
          <cell r="H331" t="e">
            <v>#REF!</v>
          </cell>
          <cell r="I331" t="e">
            <v>#REF!</v>
          </cell>
          <cell r="J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  <cell r="F332" t="e">
            <v>#REF!</v>
          </cell>
          <cell r="G332" t="e">
            <v>#REF!</v>
          </cell>
          <cell r="H332" t="e">
            <v>#REF!</v>
          </cell>
          <cell r="I332" t="e">
            <v>#REF!</v>
          </cell>
          <cell r="J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  <cell r="E333" t="e">
            <v>#REF!</v>
          </cell>
          <cell r="F333" t="e">
            <v>#REF!</v>
          </cell>
          <cell r="G333" t="e">
            <v>#REF!</v>
          </cell>
          <cell r="H333" t="e">
            <v>#REF!</v>
          </cell>
          <cell r="I333" t="e">
            <v>#REF!</v>
          </cell>
          <cell r="J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  <cell r="F334" t="e">
            <v>#REF!</v>
          </cell>
          <cell r="G334" t="e">
            <v>#REF!</v>
          </cell>
          <cell r="H334" t="e">
            <v>#REF!</v>
          </cell>
          <cell r="I334" t="e">
            <v>#REF!</v>
          </cell>
          <cell r="J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  <cell r="E335" t="e">
            <v>#REF!</v>
          </cell>
          <cell r="F335" t="e">
            <v>#REF!</v>
          </cell>
          <cell r="G335" t="e">
            <v>#REF!</v>
          </cell>
          <cell r="H335" t="e">
            <v>#REF!</v>
          </cell>
          <cell r="I335" t="e">
            <v>#REF!</v>
          </cell>
          <cell r="J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  <cell r="F336" t="e">
            <v>#REF!</v>
          </cell>
          <cell r="G336" t="e">
            <v>#REF!</v>
          </cell>
          <cell r="H336" t="e">
            <v>#REF!</v>
          </cell>
          <cell r="I336" t="e">
            <v>#REF!</v>
          </cell>
          <cell r="J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  <cell r="E337" t="e">
            <v>#REF!</v>
          </cell>
          <cell r="F337" t="e">
            <v>#REF!</v>
          </cell>
          <cell r="G337" t="e">
            <v>#REF!</v>
          </cell>
          <cell r="H337" t="e">
            <v>#REF!</v>
          </cell>
          <cell r="I337" t="e">
            <v>#REF!</v>
          </cell>
          <cell r="J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  <cell r="F338" t="e">
            <v>#REF!</v>
          </cell>
          <cell r="G338" t="e">
            <v>#REF!</v>
          </cell>
          <cell r="H338" t="e">
            <v>#REF!</v>
          </cell>
          <cell r="I338" t="e">
            <v>#REF!</v>
          </cell>
          <cell r="J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  <cell r="E339" t="e">
            <v>#REF!</v>
          </cell>
          <cell r="F339" t="e">
            <v>#REF!</v>
          </cell>
          <cell r="G339" t="e">
            <v>#REF!</v>
          </cell>
          <cell r="H339" t="e">
            <v>#REF!</v>
          </cell>
          <cell r="I339" t="e">
            <v>#REF!</v>
          </cell>
          <cell r="J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  <cell r="F340" t="e">
            <v>#REF!</v>
          </cell>
          <cell r="G340" t="e">
            <v>#REF!</v>
          </cell>
          <cell r="H340" t="e">
            <v>#REF!</v>
          </cell>
          <cell r="I340" t="e">
            <v>#REF!</v>
          </cell>
          <cell r="J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  <cell r="E341" t="e">
            <v>#REF!</v>
          </cell>
          <cell r="F341" t="e">
            <v>#REF!</v>
          </cell>
          <cell r="G341" t="e">
            <v>#REF!</v>
          </cell>
          <cell r="H341" t="e">
            <v>#REF!</v>
          </cell>
          <cell r="I341" t="e">
            <v>#REF!</v>
          </cell>
          <cell r="J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  <cell r="F342" t="e">
            <v>#REF!</v>
          </cell>
          <cell r="G342" t="e">
            <v>#REF!</v>
          </cell>
          <cell r="H342" t="e">
            <v>#REF!</v>
          </cell>
          <cell r="I342" t="e">
            <v>#REF!</v>
          </cell>
          <cell r="J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  <cell r="E343" t="e">
            <v>#REF!</v>
          </cell>
          <cell r="F343" t="e">
            <v>#REF!</v>
          </cell>
          <cell r="G343" t="e">
            <v>#REF!</v>
          </cell>
          <cell r="H343" t="e">
            <v>#REF!</v>
          </cell>
          <cell r="I343" t="e">
            <v>#REF!</v>
          </cell>
          <cell r="J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  <cell r="F344" t="e">
            <v>#REF!</v>
          </cell>
          <cell r="G344" t="e">
            <v>#REF!</v>
          </cell>
          <cell r="H344" t="e">
            <v>#REF!</v>
          </cell>
          <cell r="I344" t="e">
            <v>#REF!</v>
          </cell>
          <cell r="J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  <cell r="E345" t="e">
            <v>#REF!</v>
          </cell>
          <cell r="F345" t="e">
            <v>#REF!</v>
          </cell>
          <cell r="G345" t="e">
            <v>#REF!</v>
          </cell>
          <cell r="H345" t="e">
            <v>#REF!</v>
          </cell>
          <cell r="I345" t="e">
            <v>#REF!</v>
          </cell>
          <cell r="J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  <cell r="F346" t="e">
            <v>#REF!</v>
          </cell>
          <cell r="G346" t="e">
            <v>#REF!</v>
          </cell>
          <cell r="H346" t="e">
            <v>#REF!</v>
          </cell>
          <cell r="I346" t="e">
            <v>#REF!</v>
          </cell>
          <cell r="J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  <cell r="E347" t="e">
            <v>#REF!</v>
          </cell>
          <cell r="F347" t="e">
            <v>#REF!</v>
          </cell>
          <cell r="G347" t="e">
            <v>#REF!</v>
          </cell>
          <cell r="H347" t="e">
            <v>#REF!</v>
          </cell>
          <cell r="I347" t="e">
            <v>#REF!</v>
          </cell>
          <cell r="J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  <cell r="F348" t="e">
            <v>#REF!</v>
          </cell>
          <cell r="G348" t="e">
            <v>#REF!</v>
          </cell>
          <cell r="H348" t="e">
            <v>#REF!</v>
          </cell>
          <cell r="I348" t="e">
            <v>#REF!</v>
          </cell>
          <cell r="J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  <cell r="E349" t="e">
            <v>#REF!</v>
          </cell>
          <cell r="F349" t="e">
            <v>#REF!</v>
          </cell>
          <cell r="G349" t="e">
            <v>#REF!</v>
          </cell>
          <cell r="H349" t="e">
            <v>#REF!</v>
          </cell>
          <cell r="I349" t="e">
            <v>#REF!</v>
          </cell>
          <cell r="J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  <cell r="F350" t="e">
            <v>#REF!</v>
          </cell>
          <cell r="G350" t="e">
            <v>#REF!</v>
          </cell>
          <cell r="H350" t="e">
            <v>#REF!</v>
          </cell>
          <cell r="I350" t="e">
            <v>#REF!</v>
          </cell>
          <cell r="J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  <cell r="E351" t="e">
            <v>#REF!</v>
          </cell>
          <cell r="F351" t="e">
            <v>#REF!</v>
          </cell>
          <cell r="G351" t="e">
            <v>#REF!</v>
          </cell>
          <cell r="H351" t="e">
            <v>#REF!</v>
          </cell>
          <cell r="I351" t="e">
            <v>#REF!</v>
          </cell>
          <cell r="J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  <cell r="F352" t="e">
            <v>#REF!</v>
          </cell>
          <cell r="G352" t="e">
            <v>#REF!</v>
          </cell>
          <cell r="H352" t="e">
            <v>#REF!</v>
          </cell>
          <cell r="I352" t="e">
            <v>#REF!</v>
          </cell>
          <cell r="J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  <cell r="E353" t="e">
            <v>#REF!</v>
          </cell>
          <cell r="F353" t="e">
            <v>#REF!</v>
          </cell>
          <cell r="G353" t="e">
            <v>#REF!</v>
          </cell>
          <cell r="H353" t="e">
            <v>#REF!</v>
          </cell>
          <cell r="I353" t="e">
            <v>#REF!</v>
          </cell>
          <cell r="J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  <cell r="F354" t="e">
            <v>#REF!</v>
          </cell>
          <cell r="G354" t="e">
            <v>#REF!</v>
          </cell>
          <cell r="H354" t="e">
            <v>#REF!</v>
          </cell>
          <cell r="I354" t="e">
            <v>#REF!</v>
          </cell>
          <cell r="J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  <cell r="E355" t="e">
            <v>#REF!</v>
          </cell>
          <cell r="F355" t="e">
            <v>#REF!</v>
          </cell>
          <cell r="G355" t="e">
            <v>#REF!</v>
          </cell>
          <cell r="H355" t="e">
            <v>#REF!</v>
          </cell>
          <cell r="I355" t="e">
            <v>#REF!</v>
          </cell>
          <cell r="J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  <cell r="F356" t="e">
            <v>#REF!</v>
          </cell>
          <cell r="G356" t="e">
            <v>#REF!</v>
          </cell>
          <cell r="H356" t="e">
            <v>#REF!</v>
          </cell>
          <cell r="I356" t="e">
            <v>#REF!</v>
          </cell>
          <cell r="J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  <cell r="E357" t="e">
            <v>#REF!</v>
          </cell>
          <cell r="F357" t="e">
            <v>#REF!</v>
          </cell>
          <cell r="G357" t="e">
            <v>#REF!</v>
          </cell>
          <cell r="H357" t="e">
            <v>#REF!</v>
          </cell>
          <cell r="I357" t="e">
            <v>#REF!</v>
          </cell>
          <cell r="J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  <cell r="F358" t="e">
            <v>#REF!</v>
          </cell>
          <cell r="G358" t="e">
            <v>#REF!</v>
          </cell>
          <cell r="H358" t="e">
            <v>#REF!</v>
          </cell>
          <cell r="I358" t="e">
            <v>#REF!</v>
          </cell>
          <cell r="J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  <cell r="E359" t="e">
            <v>#REF!</v>
          </cell>
          <cell r="F359" t="e">
            <v>#REF!</v>
          </cell>
          <cell r="G359" t="e">
            <v>#REF!</v>
          </cell>
          <cell r="H359" t="e">
            <v>#REF!</v>
          </cell>
          <cell r="I359" t="e">
            <v>#REF!</v>
          </cell>
          <cell r="J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  <cell r="F360" t="e">
            <v>#REF!</v>
          </cell>
          <cell r="G360" t="e">
            <v>#REF!</v>
          </cell>
          <cell r="H360" t="e">
            <v>#REF!</v>
          </cell>
          <cell r="I360" t="e">
            <v>#REF!</v>
          </cell>
          <cell r="J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  <cell r="E361" t="e">
            <v>#REF!</v>
          </cell>
          <cell r="F361" t="e">
            <v>#REF!</v>
          </cell>
          <cell r="G361" t="e">
            <v>#REF!</v>
          </cell>
          <cell r="H361" t="e">
            <v>#REF!</v>
          </cell>
          <cell r="I361" t="e">
            <v>#REF!</v>
          </cell>
          <cell r="J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  <cell r="F362" t="e">
            <v>#REF!</v>
          </cell>
          <cell r="G362" t="e">
            <v>#REF!</v>
          </cell>
          <cell r="H362" t="e">
            <v>#REF!</v>
          </cell>
          <cell r="I362" t="e">
            <v>#REF!</v>
          </cell>
          <cell r="J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  <cell r="E363" t="e">
            <v>#REF!</v>
          </cell>
          <cell r="F363" t="e">
            <v>#REF!</v>
          </cell>
          <cell r="G363" t="e">
            <v>#REF!</v>
          </cell>
          <cell r="H363" t="e">
            <v>#REF!</v>
          </cell>
          <cell r="I363" t="e">
            <v>#REF!</v>
          </cell>
          <cell r="J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  <cell r="F364" t="e">
            <v>#REF!</v>
          </cell>
          <cell r="G364" t="e">
            <v>#REF!</v>
          </cell>
          <cell r="H364" t="e">
            <v>#REF!</v>
          </cell>
          <cell r="I364" t="e">
            <v>#REF!</v>
          </cell>
          <cell r="J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  <cell r="E365" t="e">
            <v>#REF!</v>
          </cell>
          <cell r="F365" t="e">
            <v>#REF!</v>
          </cell>
          <cell r="G365" t="e">
            <v>#REF!</v>
          </cell>
          <cell r="H365" t="e">
            <v>#REF!</v>
          </cell>
          <cell r="I365" t="e">
            <v>#REF!</v>
          </cell>
          <cell r="J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  <cell r="F366" t="e">
            <v>#REF!</v>
          </cell>
          <cell r="G366" t="e">
            <v>#REF!</v>
          </cell>
          <cell r="H366" t="e">
            <v>#REF!</v>
          </cell>
          <cell r="I366" t="e">
            <v>#REF!</v>
          </cell>
          <cell r="J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  <cell r="E367" t="e">
            <v>#REF!</v>
          </cell>
          <cell r="F367" t="e">
            <v>#REF!</v>
          </cell>
          <cell r="G367" t="e">
            <v>#REF!</v>
          </cell>
          <cell r="H367" t="e">
            <v>#REF!</v>
          </cell>
          <cell r="I367" t="e">
            <v>#REF!</v>
          </cell>
          <cell r="J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  <cell r="F368" t="e">
            <v>#REF!</v>
          </cell>
          <cell r="G368" t="e">
            <v>#REF!</v>
          </cell>
          <cell r="H368" t="e">
            <v>#REF!</v>
          </cell>
          <cell r="I368" t="e">
            <v>#REF!</v>
          </cell>
          <cell r="J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  <cell r="E369" t="e">
            <v>#REF!</v>
          </cell>
          <cell r="F369" t="e">
            <v>#REF!</v>
          </cell>
          <cell r="G369" t="e">
            <v>#REF!</v>
          </cell>
          <cell r="H369" t="e">
            <v>#REF!</v>
          </cell>
          <cell r="I369" t="e">
            <v>#REF!</v>
          </cell>
          <cell r="J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  <cell r="F370" t="e">
            <v>#REF!</v>
          </cell>
          <cell r="G370" t="e">
            <v>#REF!</v>
          </cell>
          <cell r="H370" t="e">
            <v>#REF!</v>
          </cell>
          <cell r="I370" t="e">
            <v>#REF!</v>
          </cell>
          <cell r="J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  <cell r="E371" t="e">
            <v>#REF!</v>
          </cell>
          <cell r="F371" t="e">
            <v>#REF!</v>
          </cell>
          <cell r="G371" t="e">
            <v>#REF!</v>
          </cell>
          <cell r="H371" t="e">
            <v>#REF!</v>
          </cell>
          <cell r="I371" t="e">
            <v>#REF!</v>
          </cell>
          <cell r="J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  <cell r="F372" t="e">
            <v>#REF!</v>
          </cell>
          <cell r="G372" t="e">
            <v>#REF!</v>
          </cell>
          <cell r="H372" t="e">
            <v>#REF!</v>
          </cell>
          <cell r="I372" t="e">
            <v>#REF!</v>
          </cell>
          <cell r="J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  <cell r="E373" t="e">
            <v>#REF!</v>
          </cell>
          <cell r="F373" t="e">
            <v>#REF!</v>
          </cell>
          <cell r="G373" t="e">
            <v>#REF!</v>
          </cell>
          <cell r="H373" t="e">
            <v>#REF!</v>
          </cell>
          <cell r="I373" t="e">
            <v>#REF!</v>
          </cell>
          <cell r="J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  <cell r="F374" t="e">
            <v>#REF!</v>
          </cell>
          <cell r="G374" t="e">
            <v>#REF!</v>
          </cell>
          <cell r="H374" t="e">
            <v>#REF!</v>
          </cell>
          <cell r="I374" t="e">
            <v>#REF!</v>
          </cell>
          <cell r="J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  <cell r="E375" t="e">
            <v>#REF!</v>
          </cell>
          <cell r="F375" t="e">
            <v>#REF!</v>
          </cell>
          <cell r="G375" t="e">
            <v>#REF!</v>
          </cell>
          <cell r="H375" t="e">
            <v>#REF!</v>
          </cell>
          <cell r="I375" t="e">
            <v>#REF!</v>
          </cell>
          <cell r="J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  <cell r="F376" t="e">
            <v>#REF!</v>
          </cell>
          <cell r="G376" t="e">
            <v>#REF!</v>
          </cell>
          <cell r="H376" t="e">
            <v>#REF!</v>
          </cell>
          <cell r="I376" t="e">
            <v>#REF!</v>
          </cell>
          <cell r="J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  <cell r="E377" t="e">
            <v>#REF!</v>
          </cell>
          <cell r="F377" t="e">
            <v>#REF!</v>
          </cell>
          <cell r="G377" t="e">
            <v>#REF!</v>
          </cell>
          <cell r="H377" t="e">
            <v>#REF!</v>
          </cell>
          <cell r="I377" t="e">
            <v>#REF!</v>
          </cell>
          <cell r="J377" t="e">
            <v>#REF!</v>
          </cell>
        </row>
        <row r="378">
          <cell r="A378" t="e">
            <v>#REF!</v>
          </cell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  <cell r="F378" t="e">
            <v>#REF!</v>
          </cell>
          <cell r="G378" t="e">
            <v>#REF!</v>
          </cell>
          <cell r="H378" t="e">
            <v>#REF!</v>
          </cell>
          <cell r="I378" t="e">
            <v>#REF!</v>
          </cell>
          <cell r="J378" t="e">
            <v>#REF!</v>
          </cell>
        </row>
        <row r="379">
          <cell r="A379" t="e">
            <v>#REF!</v>
          </cell>
          <cell r="B379" t="e">
            <v>#REF!</v>
          </cell>
          <cell r="C379" t="e">
            <v>#REF!</v>
          </cell>
          <cell r="D379" t="e">
            <v>#REF!</v>
          </cell>
          <cell r="E379" t="e">
            <v>#REF!</v>
          </cell>
          <cell r="F379" t="e">
            <v>#REF!</v>
          </cell>
          <cell r="G379" t="e">
            <v>#REF!</v>
          </cell>
          <cell r="H379" t="e">
            <v>#REF!</v>
          </cell>
          <cell r="I379" t="e">
            <v>#REF!</v>
          </cell>
          <cell r="J379" t="e">
            <v>#REF!</v>
          </cell>
        </row>
        <row r="380">
          <cell r="A380" t="e">
            <v>#REF!</v>
          </cell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  <cell r="F380" t="e">
            <v>#REF!</v>
          </cell>
          <cell r="G380" t="e">
            <v>#REF!</v>
          </cell>
          <cell r="H380" t="e">
            <v>#REF!</v>
          </cell>
          <cell r="I380" t="e">
            <v>#REF!</v>
          </cell>
          <cell r="J380" t="e">
            <v>#REF!</v>
          </cell>
        </row>
        <row r="381">
          <cell r="A381" t="e">
            <v>#REF!</v>
          </cell>
          <cell r="B381" t="e">
            <v>#REF!</v>
          </cell>
          <cell r="C381" t="e">
            <v>#REF!</v>
          </cell>
          <cell r="D381" t="e">
            <v>#REF!</v>
          </cell>
          <cell r="E381" t="e">
            <v>#REF!</v>
          </cell>
          <cell r="F381" t="e">
            <v>#REF!</v>
          </cell>
          <cell r="G381" t="e">
            <v>#REF!</v>
          </cell>
          <cell r="H381" t="e">
            <v>#REF!</v>
          </cell>
          <cell r="I381" t="e">
            <v>#REF!</v>
          </cell>
          <cell r="J381" t="e">
            <v>#REF!</v>
          </cell>
        </row>
        <row r="382">
          <cell r="A382" t="e">
            <v>#REF!</v>
          </cell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  <cell r="F382" t="e">
            <v>#REF!</v>
          </cell>
          <cell r="G382" t="e">
            <v>#REF!</v>
          </cell>
          <cell r="H382" t="e">
            <v>#REF!</v>
          </cell>
          <cell r="I382" t="e">
            <v>#REF!</v>
          </cell>
          <cell r="J382" t="e">
            <v>#REF!</v>
          </cell>
        </row>
        <row r="383">
          <cell r="A383" t="e">
            <v>#REF!</v>
          </cell>
          <cell r="B383" t="e">
            <v>#REF!</v>
          </cell>
          <cell r="C383" t="e">
            <v>#REF!</v>
          </cell>
          <cell r="D383" t="e">
            <v>#REF!</v>
          </cell>
          <cell r="E383" t="e">
            <v>#REF!</v>
          </cell>
          <cell r="F383" t="e">
            <v>#REF!</v>
          </cell>
          <cell r="G383" t="e">
            <v>#REF!</v>
          </cell>
          <cell r="H383" t="e">
            <v>#REF!</v>
          </cell>
          <cell r="I383" t="e">
            <v>#REF!</v>
          </cell>
          <cell r="J383" t="e">
            <v>#REF!</v>
          </cell>
        </row>
        <row r="384">
          <cell r="A384" t="e">
            <v>#REF!</v>
          </cell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  <cell r="F384" t="e">
            <v>#REF!</v>
          </cell>
          <cell r="G384" t="e">
            <v>#REF!</v>
          </cell>
          <cell r="H384" t="e">
            <v>#REF!</v>
          </cell>
          <cell r="I384" t="e">
            <v>#REF!</v>
          </cell>
          <cell r="J384" t="e">
            <v>#REF!</v>
          </cell>
        </row>
        <row r="385">
          <cell r="A385" t="e">
            <v>#REF!</v>
          </cell>
          <cell r="B385" t="e">
            <v>#REF!</v>
          </cell>
          <cell r="C385" t="e">
            <v>#REF!</v>
          </cell>
          <cell r="D385" t="e">
            <v>#REF!</v>
          </cell>
          <cell r="E385" t="e">
            <v>#REF!</v>
          </cell>
          <cell r="F385" t="e">
            <v>#REF!</v>
          </cell>
          <cell r="G385" t="e">
            <v>#REF!</v>
          </cell>
          <cell r="H385" t="e">
            <v>#REF!</v>
          </cell>
          <cell r="I385" t="e">
            <v>#REF!</v>
          </cell>
          <cell r="J385" t="e">
            <v>#REF!</v>
          </cell>
        </row>
        <row r="386">
          <cell r="A386" t="e">
            <v>#REF!</v>
          </cell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  <cell r="F386" t="e">
            <v>#REF!</v>
          </cell>
          <cell r="G386" t="e">
            <v>#REF!</v>
          </cell>
          <cell r="H386" t="e">
            <v>#REF!</v>
          </cell>
          <cell r="I386" t="e">
            <v>#REF!</v>
          </cell>
          <cell r="J386" t="e">
            <v>#REF!</v>
          </cell>
        </row>
        <row r="387">
          <cell r="A387" t="e">
            <v>#REF!</v>
          </cell>
          <cell r="B387" t="e">
            <v>#REF!</v>
          </cell>
          <cell r="C387" t="e">
            <v>#REF!</v>
          </cell>
          <cell r="D387" t="e">
            <v>#REF!</v>
          </cell>
          <cell r="E387" t="e">
            <v>#REF!</v>
          </cell>
          <cell r="F387" t="e">
            <v>#REF!</v>
          </cell>
          <cell r="G387" t="e">
            <v>#REF!</v>
          </cell>
          <cell r="H387" t="e">
            <v>#REF!</v>
          </cell>
          <cell r="I387" t="e">
            <v>#REF!</v>
          </cell>
          <cell r="J387" t="e">
            <v>#REF!</v>
          </cell>
        </row>
        <row r="388">
          <cell r="A388" t="e">
            <v>#REF!</v>
          </cell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  <cell r="F388" t="e">
            <v>#REF!</v>
          </cell>
          <cell r="G388" t="e">
            <v>#REF!</v>
          </cell>
          <cell r="H388" t="e">
            <v>#REF!</v>
          </cell>
          <cell r="I388" t="e">
            <v>#REF!</v>
          </cell>
          <cell r="J388" t="e">
            <v>#REF!</v>
          </cell>
        </row>
        <row r="389">
          <cell r="A389" t="e">
            <v>#REF!</v>
          </cell>
          <cell r="B389" t="e">
            <v>#REF!</v>
          </cell>
          <cell r="C389" t="e">
            <v>#REF!</v>
          </cell>
          <cell r="D389" t="e">
            <v>#REF!</v>
          </cell>
          <cell r="E389" t="e">
            <v>#REF!</v>
          </cell>
          <cell r="F389" t="e">
            <v>#REF!</v>
          </cell>
          <cell r="G389" t="e">
            <v>#REF!</v>
          </cell>
          <cell r="H389" t="e">
            <v>#REF!</v>
          </cell>
          <cell r="I389" t="e">
            <v>#REF!</v>
          </cell>
          <cell r="J389" t="e">
            <v>#REF!</v>
          </cell>
        </row>
        <row r="390">
          <cell r="A390" t="e">
            <v>#REF!</v>
          </cell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  <cell r="F390" t="e">
            <v>#REF!</v>
          </cell>
          <cell r="G390" t="e">
            <v>#REF!</v>
          </cell>
          <cell r="H390" t="e">
            <v>#REF!</v>
          </cell>
          <cell r="I390" t="e">
            <v>#REF!</v>
          </cell>
          <cell r="J390" t="e">
            <v>#REF!</v>
          </cell>
        </row>
        <row r="391">
          <cell r="A391" t="e">
            <v>#REF!</v>
          </cell>
          <cell r="B391" t="e">
            <v>#REF!</v>
          </cell>
          <cell r="C391" t="e">
            <v>#REF!</v>
          </cell>
          <cell r="D391" t="e">
            <v>#REF!</v>
          </cell>
          <cell r="E391" t="e">
            <v>#REF!</v>
          </cell>
          <cell r="F391" t="e">
            <v>#REF!</v>
          </cell>
          <cell r="G391" t="e">
            <v>#REF!</v>
          </cell>
          <cell r="H391" t="e">
            <v>#REF!</v>
          </cell>
          <cell r="I391" t="e">
            <v>#REF!</v>
          </cell>
          <cell r="J391" t="e">
            <v>#REF!</v>
          </cell>
        </row>
        <row r="392">
          <cell r="A392" t="e">
            <v>#REF!</v>
          </cell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  <cell r="F392" t="e">
            <v>#REF!</v>
          </cell>
          <cell r="G392" t="e">
            <v>#REF!</v>
          </cell>
          <cell r="H392" t="e">
            <v>#REF!</v>
          </cell>
          <cell r="I392" t="e">
            <v>#REF!</v>
          </cell>
          <cell r="J392" t="e">
            <v>#REF!</v>
          </cell>
        </row>
        <row r="393">
          <cell r="A393" t="e">
            <v>#REF!</v>
          </cell>
          <cell r="B393" t="e">
            <v>#REF!</v>
          </cell>
          <cell r="C393" t="e">
            <v>#REF!</v>
          </cell>
          <cell r="D393" t="e">
            <v>#REF!</v>
          </cell>
          <cell r="E393" t="e">
            <v>#REF!</v>
          </cell>
          <cell r="F393" t="e">
            <v>#REF!</v>
          </cell>
          <cell r="G393" t="e">
            <v>#REF!</v>
          </cell>
          <cell r="H393" t="e">
            <v>#REF!</v>
          </cell>
          <cell r="I393" t="e">
            <v>#REF!</v>
          </cell>
          <cell r="J393" t="e">
            <v>#REF!</v>
          </cell>
        </row>
        <row r="394">
          <cell r="A394" t="e">
            <v>#REF!</v>
          </cell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  <cell r="F394" t="e">
            <v>#REF!</v>
          </cell>
          <cell r="G394" t="e">
            <v>#REF!</v>
          </cell>
          <cell r="H394" t="e">
            <v>#REF!</v>
          </cell>
          <cell r="I394" t="e">
            <v>#REF!</v>
          </cell>
          <cell r="J394" t="e">
            <v>#REF!</v>
          </cell>
        </row>
        <row r="395">
          <cell r="A395" t="e">
            <v>#REF!</v>
          </cell>
          <cell r="B395" t="e">
            <v>#REF!</v>
          </cell>
          <cell r="C395" t="e">
            <v>#REF!</v>
          </cell>
          <cell r="D395" t="e">
            <v>#REF!</v>
          </cell>
          <cell r="E395" t="e">
            <v>#REF!</v>
          </cell>
          <cell r="F395" t="e">
            <v>#REF!</v>
          </cell>
          <cell r="G395" t="e">
            <v>#REF!</v>
          </cell>
          <cell r="H395" t="e">
            <v>#REF!</v>
          </cell>
          <cell r="I395" t="e">
            <v>#REF!</v>
          </cell>
          <cell r="J395" t="e">
            <v>#REF!</v>
          </cell>
        </row>
        <row r="396">
          <cell r="A396" t="e">
            <v>#REF!</v>
          </cell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  <cell r="F396" t="e">
            <v>#REF!</v>
          </cell>
          <cell r="G396" t="e">
            <v>#REF!</v>
          </cell>
          <cell r="H396" t="e">
            <v>#REF!</v>
          </cell>
          <cell r="I396" t="e">
            <v>#REF!</v>
          </cell>
          <cell r="J396" t="e">
            <v>#REF!</v>
          </cell>
        </row>
        <row r="397">
          <cell r="A397" t="e">
            <v>#REF!</v>
          </cell>
          <cell r="B397" t="e">
            <v>#REF!</v>
          </cell>
          <cell r="C397" t="e">
            <v>#REF!</v>
          </cell>
          <cell r="D397" t="e">
            <v>#REF!</v>
          </cell>
          <cell r="E397" t="e">
            <v>#REF!</v>
          </cell>
          <cell r="F397" t="e">
            <v>#REF!</v>
          </cell>
          <cell r="G397" t="e">
            <v>#REF!</v>
          </cell>
          <cell r="H397" t="e">
            <v>#REF!</v>
          </cell>
          <cell r="I397" t="e">
            <v>#REF!</v>
          </cell>
          <cell r="J397" t="e">
            <v>#REF!</v>
          </cell>
        </row>
        <row r="398">
          <cell r="A398" t="e">
            <v>#REF!</v>
          </cell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  <cell r="F398" t="e">
            <v>#REF!</v>
          </cell>
          <cell r="G398" t="e">
            <v>#REF!</v>
          </cell>
          <cell r="H398" t="e">
            <v>#REF!</v>
          </cell>
          <cell r="I398" t="e">
            <v>#REF!</v>
          </cell>
          <cell r="J398" t="e">
            <v>#REF!</v>
          </cell>
        </row>
        <row r="399">
          <cell r="A399" t="e">
            <v>#REF!</v>
          </cell>
          <cell r="B399" t="e">
            <v>#REF!</v>
          </cell>
          <cell r="C399" t="e">
            <v>#REF!</v>
          </cell>
          <cell r="D399" t="e">
            <v>#REF!</v>
          </cell>
          <cell r="E399" t="e">
            <v>#REF!</v>
          </cell>
          <cell r="F399" t="e">
            <v>#REF!</v>
          </cell>
          <cell r="G399" t="e">
            <v>#REF!</v>
          </cell>
          <cell r="H399" t="e">
            <v>#REF!</v>
          </cell>
          <cell r="I399" t="e">
            <v>#REF!</v>
          </cell>
          <cell r="J399" t="e">
            <v>#REF!</v>
          </cell>
        </row>
        <row r="400">
          <cell r="A400" t="e">
            <v>#REF!</v>
          </cell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  <cell r="F400" t="e">
            <v>#REF!</v>
          </cell>
          <cell r="G400" t="e">
            <v>#REF!</v>
          </cell>
          <cell r="H400" t="e">
            <v>#REF!</v>
          </cell>
          <cell r="I400" t="e">
            <v>#REF!</v>
          </cell>
          <cell r="J400" t="e">
            <v>#REF!</v>
          </cell>
        </row>
        <row r="401">
          <cell r="A401" t="e">
            <v>#REF!</v>
          </cell>
          <cell r="B401" t="e">
            <v>#REF!</v>
          </cell>
          <cell r="C401" t="e">
            <v>#REF!</v>
          </cell>
          <cell r="D401" t="e">
            <v>#REF!</v>
          </cell>
          <cell r="E401" t="e">
            <v>#REF!</v>
          </cell>
          <cell r="F401" t="e">
            <v>#REF!</v>
          </cell>
          <cell r="G401" t="e">
            <v>#REF!</v>
          </cell>
          <cell r="H401" t="e">
            <v>#REF!</v>
          </cell>
          <cell r="I401" t="e">
            <v>#REF!</v>
          </cell>
          <cell r="J401" t="e">
            <v>#REF!</v>
          </cell>
        </row>
        <row r="402">
          <cell r="A402" t="e">
            <v>#REF!</v>
          </cell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  <cell r="F402" t="e">
            <v>#REF!</v>
          </cell>
          <cell r="G402" t="e">
            <v>#REF!</v>
          </cell>
          <cell r="H402" t="e">
            <v>#REF!</v>
          </cell>
          <cell r="I402" t="e">
            <v>#REF!</v>
          </cell>
          <cell r="J402" t="e">
            <v>#REF!</v>
          </cell>
        </row>
        <row r="403">
          <cell r="A403" t="e">
            <v>#REF!</v>
          </cell>
          <cell r="B403" t="e">
            <v>#REF!</v>
          </cell>
          <cell r="C403" t="e">
            <v>#REF!</v>
          </cell>
          <cell r="D403" t="e">
            <v>#REF!</v>
          </cell>
          <cell r="E403" t="e">
            <v>#REF!</v>
          </cell>
          <cell r="F403" t="e">
            <v>#REF!</v>
          </cell>
          <cell r="G403" t="e">
            <v>#REF!</v>
          </cell>
          <cell r="H403" t="e">
            <v>#REF!</v>
          </cell>
          <cell r="I403" t="e">
            <v>#REF!</v>
          </cell>
          <cell r="J403" t="e">
            <v>#REF!</v>
          </cell>
        </row>
        <row r="404">
          <cell r="A404" t="e">
            <v>#REF!</v>
          </cell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  <cell r="F404" t="e">
            <v>#REF!</v>
          </cell>
          <cell r="G404" t="e">
            <v>#REF!</v>
          </cell>
          <cell r="H404" t="e">
            <v>#REF!</v>
          </cell>
          <cell r="I404" t="e">
            <v>#REF!</v>
          </cell>
          <cell r="J404" t="e">
            <v>#REF!</v>
          </cell>
        </row>
        <row r="405">
          <cell r="A405" t="e">
            <v>#REF!</v>
          </cell>
          <cell r="B405" t="e">
            <v>#REF!</v>
          </cell>
          <cell r="C405" t="e">
            <v>#REF!</v>
          </cell>
          <cell r="D405" t="e">
            <v>#REF!</v>
          </cell>
          <cell r="E405" t="e">
            <v>#REF!</v>
          </cell>
          <cell r="F405" t="e">
            <v>#REF!</v>
          </cell>
          <cell r="G405" t="e">
            <v>#REF!</v>
          </cell>
          <cell r="H405" t="e">
            <v>#REF!</v>
          </cell>
          <cell r="I405" t="e">
            <v>#REF!</v>
          </cell>
          <cell r="J405" t="e">
            <v>#REF!</v>
          </cell>
        </row>
        <row r="406">
          <cell r="A406" t="e">
            <v>#REF!</v>
          </cell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  <cell r="F406" t="e">
            <v>#REF!</v>
          </cell>
          <cell r="G406" t="e">
            <v>#REF!</v>
          </cell>
          <cell r="H406" t="e">
            <v>#REF!</v>
          </cell>
          <cell r="I406" t="e">
            <v>#REF!</v>
          </cell>
          <cell r="J406" t="e">
            <v>#REF!</v>
          </cell>
        </row>
        <row r="407">
          <cell r="A407" t="e">
            <v>#REF!</v>
          </cell>
          <cell r="B407" t="e">
            <v>#REF!</v>
          </cell>
          <cell r="C407" t="e">
            <v>#REF!</v>
          </cell>
          <cell r="D407" t="e">
            <v>#REF!</v>
          </cell>
          <cell r="E407" t="e">
            <v>#REF!</v>
          </cell>
          <cell r="F407" t="e">
            <v>#REF!</v>
          </cell>
          <cell r="G407" t="e">
            <v>#REF!</v>
          </cell>
          <cell r="H407" t="e">
            <v>#REF!</v>
          </cell>
          <cell r="I407" t="e">
            <v>#REF!</v>
          </cell>
          <cell r="J407" t="e">
            <v>#REF!</v>
          </cell>
        </row>
        <row r="408">
          <cell r="A408" t="e">
            <v>#REF!</v>
          </cell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  <cell r="F408" t="e">
            <v>#REF!</v>
          </cell>
          <cell r="G408" t="e">
            <v>#REF!</v>
          </cell>
          <cell r="H408" t="e">
            <v>#REF!</v>
          </cell>
          <cell r="I408" t="e">
            <v>#REF!</v>
          </cell>
          <cell r="J408" t="e">
            <v>#REF!</v>
          </cell>
        </row>
        <row r="409">
          <cell r="A409" t="e">
            <v>#REF!</v>
          </cell>
          <cell r="B409" t="e">
            <v>#REF!</v>
          </cell>
          <cell r="C409" t="e">
            <v>#REF!</v>
          </cell>
          <cell r="D409" t="e">
            <v>#REF!</v>
          </cell>
          <cell r="E409" t="e">
            <v>#REF!</v>
          </cell>
          <cell r="F409" t="e">
            <v>#REF!</v>
          </cell>
          <cell r="G409" t="e">
            <v>#REF!</v>
          </cell>
          <cell r="H409" t="e">
            <v>#REF!</v>
          </cell>
          <cell r="I409" t="e">
            <v>#REF!</v>
          </cell>
          <cell r="J409" t="e">
            <v>#REF!</v>
          </cell>
        </row>
        <row r="410">
          <cell r="A410" t="e">
            <v>#REF!</v>
          </cell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  <cell r="F410" t="e">
            <v>#REF!</v>
          </cell>
          <cell r="G410" t="e">
            <v>#REF!</v>
          </cell>
          <cell r="H410" t="e">
            <v>#REF!</v>
          </cell>
          <cell r="I410" t="e">
            <v>#REF!</v>
          </cell>
          <cell r="J410" t="e">
            <v>#REF!</v>
          </cell>
        </row>
        <row r="411">
          <cell r="A411" t="e">
            <v>#REF!</v>
          </cell>
          <cell r="B411" t="e">
            <v>#REF!</v>
          </cell>
          <cell r="C411" t="e">
            <v>#REF!</v>
          </cell>
          <cell r="D411" t="e">
            <v>#REF!</v>
          </cell>
          <cell r="E411" t="e">
            <v>#REF!</v>
          </cell>
          <cell r="F411" t="e">
            <v>#REF!</v>
          </cell>
          <cell r="G411" t="e">
            <v>#REF!</v>
          </cell>
          <cell r="H411" t="e">
            <v>#REF!</v>
          </cell>
          <cell r="I411" t="e">
            <v>#REF!</v>
          </cell>
          <cell r="J411" t="e">
            <v>#REF!</v>
          </cell>
        </row>
        <row r="412">
          <cell r="A412" t="e">
            <v>#REF!</v>
          </cell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  <cell r="F412" t="e">
            <v>#REF!</v>
          </cell>
          <cell r="G412" t="e">
            <v>#REF!</v>
          </cell>
          <cell r="H412" t="e">
            <v>#REF!</v>
          </cell>
          <cell r="I412" t="e">
            <v>#REF!</v>
          </cell>
          <cell r="J412" t="e">
            <v>#REF!</v>
          </cell>
        </row>
        <row r="413">
          <cell r="A413" t="e">
            <v>#REF!</v>
          </cell>
          <cell r="B413" t="e">
            <v>#REF!</v>
          </cell>
          <cell r="C413" t="e">
            <v>#REF!</v>
          </cell>
          <cell r="D413" t="e">
            <v>#REF!</v>
          </cell>
          <cell r="E413" t="e">
            <v>#REF!</v>
          </cell>
          <cell r="F413" t="e">
            <v>#REF!</v>
          </cell>
          <cell r="G413" t="e">
            <v>#REF!</v>
          </cell>
          <cell r="H413" t="e">
            <v>#REF!</v>
          </cell>
          <cell r="I413" t="e">
            <v>#REF!</v>
          </cell>
          <cell r="J413" t="e">
            <v>#REF!</v>
          </cell>
        </row>
        <row r="414">
          <cell r="A414" t="e">
            <v>#REF!</v>
          </cell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  <cell r="F414" t="e">
            <v>#REF!</v>
          </cell>
          <cell r="G414" t="e">
            <v>#REF!</v>
          </cell>
          <cell r="H414" t="e">
            <v>#REF!</v>
          </cell>
          <cell r="I414" t="e">
            <v>#REF!</v>
          </cell>
          <cell r="J414" t="e">
            <v>#REF!</v>
          </cell>
        </row>
        <row r="415">
          <cell r="A415" t="e">
            <v>#REF!</v>
          </cell>
          <cell r="B415" t="e">
            <v>#REF!</v>
          </cell>
          <cell r="C415" t="e">
            <v>#REF!</v>
          </cell>
          <cell r="D415" t="e">
            <v>#REF!</v>
          </cell>
          <cell r="E415" t="e">
            <v>#REF!</v>
          </cell>
          <cell r="F415" t="e">
            <v>#REF!</v>
          </cell>
          <cell r="G415" t="e">
            <v>#REF!</v>
          </cell>
          <cell r="H415" t="e">
            <v>#REF!</v>
          </cell>
          <cell r="I415" t="e">
            <v>#REF!</v>
          </cell>
          <cell r="J415" t="e">
            <v>#REF!</v>
          </cell>
        </row>
        <row r="416">
          <cell r="A416" t="e">
            <v>#REF!</v>
          </cell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  <cell r="F416" t="e">
            <v>#REF!</v>
          </cell>
          <cell r="G416" t="e">
            <v>#REF!</v>
          </cell>
          <cell r="H416" t="e">
            <v>#REF!</v>
          </cell>
          <cell r="I416" t="e">
            <v>#REF!</v>
          </cell>
          <cell r="J416" t="e">
            <v>#REF!</v>
          </cell>
        </row>
        <row r="417">
          <cell r="A417" t="e">
            <v>#REF!</v>
          </cell>
          <cell r="B417" t="e">
            <v>#REF!</v>
          </cell>
          <cell r="C417" t="e">
            <v>#REF!</v>
          </cell>
          <cell r="D417" t="e">
            <v>#REF!</v>
          </cell>
          <cell r="E417" t="e">
            <v>#REF!</v>
          </cell>
          <cell r="F417" t="e">
            <v>#REF!</v>
          </cell>
          <cell r="G417" t="e">
            <v>#REF!</v>
          </cell>
          <cell r="H417" t="e">
            <v>#REF!</v>
          </cell>
          <cell r="I417" t="e">
            <v>#REF!</v>
          </cell>
          <cell r="J417" t="e">
            <v>#REF!</v>
          </cell>
        </row>
        <row r="418">
          <cell r="A418" t="e">
            <v>#REF!</v>
          </cell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  <cell r="F418" t="e">
            <v>#REF!</v>
          </cell>
          <cell r="G418" t="e">
            <v>#REF!</v>
          </cell>
          <cell r="H418" t="e">
            <v>#REF!</v>
          </cell>
          <cell r="I418" t="e">
            <v>#REF!</v>
          </cell>
          <cell r="J418" t="e">
            <v>#REF!</v>
          </cell>
        </row>
        <row r="419">
          <cell r="A419" t="e">
            <v>#REF!</v>
          </cell>
          <cell r="B419" t="e">
            <v>#REF!</v>
          </cell>
          <cell r="C419" t="e">
            <v>#REF!</v>
          </cell>
          <cell r="D419" t="e">
            <v>#REF!</v>
          </cell>
          <cell r="E419" t="e">
            <v>#REF!</v>
          </cell>
          <cell r="F419" t="e">
            <v>#REF!</v>
          </cell>
          <cell r="G419" t="e">
            <v>#REF!</v>
          </cell>
          <cell r="H419" t="e">
            <v>#REF!</v>
          </cell>
          <cell r="I419" t="e">
            <v>#REF!</v>
          </cell>
          <cell r="J419" t="e">
            <v>#REF!</v>
          </cell>
        </row>
        <row r="420">
          <cell r="A420" t="e">
            <v>#REF!</v>
          </cell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  <cell r="F420" t="e">
            <v>#REF!</v>
          </cell>
          <cell r="G420" t="e">
            <v>#REF!</v>
          </cell>
          <cell r="H420" t="e">
            <v>#REF!</v>
          </cell>
          <cell r="I420" t="e">
            <v>#REF!</v>
          </cell>
          <cell r="J420" t="e">
            <v>#REF!</v>
          </cell>
        </row>
        <row r="421">
          <cell r="A421" t="e">
            <v>#REF!</v>
          </cell>
          <cell r="B421" t="e">
            <v>#REF!</v>
          </cell>
          <cell r="C421" t="e">
            <v>#REF!</v>
          </cell>
          <cell r="D421" t="e">
            <v>#REF!</v>
          </cell>
          <cell r="E421" t="e">
            <v>#REF!</v>
          </cell>
          <cell r="F421" t="e">
            <v>#REF!</v>
          </cell>
          <cell r="G421" t="e">
            <v>#REF!</v>
          </cell>
          <cell r="H421" t="e">
            <v>#REF!</v>
          </cell>
          <cell r="I421" t="e">
            <v>#REF!</v>
          </cell>
          <cell r="J421" t="e">
            <v>#REF!</v>
          </cell>
        </row>
        <row r="422">
          <cell r="A422" t="e">
            <v>#REF!</v>
          </cell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  <cell r="F422" t="e">
            <v>#REF!</v>
          </cell>
          <cell r="G422" t="e">
            <v>#REF!</v>
          </cell>
          <cell r="H422" t="e">
            <v>#REF!</v>
          </cell>
          <cell r="I422" t="e">
            <v>#REF!</v>
          </cell>
          <cell r="J422" t="e">
            <v>#REF!</v>
          </cell>
        </row>
        <row r="423">
          <cell r="A423" t="e">
            <v>#REF!</v>
          </cell>
          <cell r="B423" t="e">
            <v>#REF!</v>
          </cell>
          <cell r="C423" t="e">
            <v>#REF!</v>
          </cell>
          <cell r="D423" t="e">
            <v>#REF!</v>
          </cell>
          <cell r="E423" t="e">
            <v>#REF!</v>
          </cell>
          <cell r="F423" t="e">
            <v>#REF!</v>
          </cell>
          <cell r="G423" t="e">
            <v>#REF!</v>
          </cell>
          <cell r="H423" t="e">
            <v>#REF!</v>
          </cell>
          <cell r="I423" t="e">
            <v>#REF!</v>
          </cell>
          <cell r="J423" t="e">
            <v>#REF!</v>
          </cell>
        </row>
        <row r="424">
          <cell r="A424" t="e">
            <v>#REF!</v>
          </cell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  <cell r="F424" t="e">
            <v>#REF!</v>
          </cell>
          <cell r="G424" t="e">
            <v>#REF!</v>
          </cell>
          <cell r="H424" t="e">
            <v>#REF!</v>
          </cell>
          <cell r="I424" t="e">
            <v>#REF!</v>
          </cell>
          <cell r="J424" t="e">
            <v>#REF!</v>
          </cell>
        </row>
        <row r="425">
          <cell r="A425" t="e">
            <v>#REF!</v>
          </cell>
          <cell r="B425" t="e">
            <v>#REF!</v>
          </cell>
          <cell r="C425" t="e">
            <v>#REF!</v>
          </cell>
          <cell r="D425" t="e">
            <v>#REF!</v>
          </cell>
          <cell r="E425" t="e">
            <v>#REF!</v>
          </cell>
          <cell r="F425" t="e">
            <v>#REF!</v>
          </cell>
          <cell r="G425" t="e">
            <v>#REF!</v>
          </cell>
          <cell r="H425" t="e">
            <v>#REF!</v>
          </cell>
          <cell r="I425" t="e">
            <v>#REF!</v>
          </cell>
          <cell r="J425" t="e">
            <v>#REF!</v>
          </cell>
        </row>
        <row r="426">
          <cell r="A426" t="e">
            <v>#REF!</v>
          </cell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  <cell r="F426" t="e">
            <v>#REF!</v>
          </cell>
          <cell r="G426" t="e">
            <v>#REF!</v>
          </cell>
          <cell r="H426" t="e">
            <v>#REF!</v>
          </cell>
          <cell r="I426" t="e">
            <v>#REF!</v>
          </cell>
          <cell r="J426" t="e">
            <v>#REF!</v>
          </cell>
        </row>
        <row r="427">
          <cell r="A427" t="e">
            <v>#REF!</v>
          </cell>
          <cell r="B427" t="e">
            <v>#REF!</v>
          </cell>
          <cell r="C427" t="e">
            <v>#REF!</v>
          </cell>
          <cell r="D427" t="e">
            <v>#REF!</v>
          </cell>
          <cell r="E427" t="e">
            <v>#REF!</v>
          </cell>
          <cell r="F427" t="e">
            <v>#REF!</v>
          </cell>
          <cell r="G427" t="e">
            <v>#REF!</v>
          </cell>
          <cell r="H427" t="e">
            <v>#REF!</v>
          </cell>
          <cell r="I427" t="e">
            <v>#REF!</v>
          </cell>
          <cell r="J427" t="e">
            <v>#REF!</v>
          </cell>
        </row>
        <row r="428">
          <cell r="A428" t="e">
            <v>#REF!</v>
          </cell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  <cell r="F428" t="e">
            <v>#REF!</v>
          </cell>
          <cell r="G428" t="e">
            <v>#REF!</v>
          </cell>
          <cell r="H428" t="e">
            <v>#REF!</v>
          </cell>
          <cell r="I428" t="e">
            <v>#REF!</v>
          </cell>
          <cell r="J428" t="e">
            <v>#REF!</v>
          </cell>
        </row>
        <row r="429">
          <cell r="A429" t="e">
            <v>#REF!</v>
          </cell>
          <cell r="B429" t="e">
            <v>#REF!</v>
          </cell>
          <cell r="C429" t="e">
            <v>#REF!</v>
          </cell>
          <cell r="D429" t="e">
            <v>#REF!</v>
          </cell>
          <cell r="E429" t="e">
            <v>#REF!</v>
          </cell>
          <cell r="F429" t="e">
            <v>#REF!</v>
          </cell>
          <cell r="G429" t="e">
            <v>#REF!</v>
          </cell>
          <cell r="H429" t="e">
            <v>#REF!</v>
          </cell>
          <cell r="I429" t="e">
            <v>#REF!</v>
          </cell>
          <cell r="J429" t="e">
            <v>#REF!</v>
          </cell>
        </row>
        <row r="430">
          <cell r="A430" t="e">
            <v>#REF!</v>
          </cell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  <cell r="F430" t="e">
            <v>#REF!</v>
          </cell>
          <cell r="G430" t="e">
            <v>#REF!</v>
          </cell>
          <cell r="H430" t="e">
            <v>#REF!</v>
          </cell>
          <cell r="I430" t="e">
            <v>#REF!</v>
          </cell>
          <cell r="J430" t="e">
            <v>#REF!</v>
          </cell>
        </row>
        <row r="431">
          <cell r="A431" t="e">
            <v>#REF!</v>
          </cell>
          <cell r="B431" t="e">
            <v>#REF!</v>
          </cell>
          <cell r="C431" t="e">
            <v>#REF!</v>
          </cell>
          <cell r="D431" t="e">
            <v>#REF!</v>
          </cell>
          <cell r="E431" t="e">
            <v>#REF!</v>
          </cell>
          <cell r="F431" t="e">
            <v>#REF!</v>
          </cell>
          <cell r="G431" t="e">
            <v>#REF!</v>
          </cell>
          <cell r="H431" t="e">
            <v>#REF!</v>
          </cell>
          <cell r="I431" t="e">
            <v>#REF!</v>
          </cell>
          <cell r="J431" t="e">
            <v>#REF!</v>
          </cell>
        </row>
        <row r="432">
          <cell r="A432" t="e">
            <v>#REF!</v>
          </cell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  <cell r="F432" t="e">
            <v>#REF!</v>
          </cell>
          <cell r="G432" t="e">
            <v>#REF!</v>
          </cell>
          <cell r="H432" t="e">
            <v>#REF!</v>
          </cell>
          <cell r="I432" t="e">
            <v>#REF!</v>
          </cell>
          <cell r="J432" t="e">
            <v>#REF!</v>
          </cell>
        </row>
        <row r="433">
          <cell r="A433" t="e">
            <v>#REF!</v>
          </cell>
          <cell r="B433" t="e">
            <v>#REF!</v>
          </cell>
          <cell r="C433" t="e">
            <v>#REF!</v>
          </cell>
          <cell r="D433" t="e">
            <v>#REF!</v>
          </cell>
          <cell r="E433" t="e">
            <v>#REF!</v>
          </cell>
          <cell r="F433" t="e">
            <v>#REF!</v>
          </cell>
          <cell r="G433" t="e">
            <v>#REF!</v>
          </cell>
          <cell r="H433" t="e">
            <v>#REF!</v>
          </cell>
          <cell r="I433" t="e">
            <v>#REF!</v>
          </cell>
          <cell r="J433" t="e">
            <v>#REF!</v>
          </cell>
        </row>
        <row r="434">
          <cell r="A434" t="e">
            <v>#REF!</v>
          </cell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  <cell r="F434" t="e">
            <v>#REF!</v>
          </cell>
          <cell r="G434" t="e">
            <v>#REF!</v>
          </cell>
          <cell r="H434" t="e">
            <v>#REF!</v>
          </cell>
          <cell r="I434" t="e">
            <v>#REF!</v>
          </cell>
          <cell r="J434" t="e">
            <v>#REF!</v>
          </cell>
        </row>
        <row r="435">
          <cell r="A435" t="e">
            <v>#REF!</v>
          </cell>
          <cell r="B435" t="e">
            <v>#REF!</v>
          </cell>
          <cell r="C435" t="e">
            <v>#REF!</v>
          </cell>
          <cell r="D435" t="e">
            <v>#REF!</v>
          </cell>
          <cell r="E435" t="e">
            <v>#REF!</v>
          </cell>
          <cell r="F435" t="e">
            <v>#REF!</v>
          </cell>
          <cell r="G435" t="e">
            <v>#REF!</v>
          </cell>
          <cell r="H435" t="e">
            <v>#REF!</v>
          </cell>
          <cell r="I435" t="e">
            <v>#REF!</v>
          </cell>
          <cell r="J435" t="e">
            <v>#REF!</v>
          </cell>
        </row>
        <row r="436">
          <cell r="A436" t="e">
            <v>#REF!</v>
          </cell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  <cell r="F436" t="e">
            <v>#REF!</v>
          </cell>
          <cell r="G436" t="e">
            <v>#REF!</v>
          </cell>
          <cell r="H436" t="e">
            <v>#REF!</v>
          </cell>
          <cell r="I436" t="e">
            <v>#REF!</v>
          </cell>
          <cell r="J436" t="e">
            <v>#REF!</v>
          </cell>
        </row>
        <row r="437">
          <cell r="A437" t="e">
            <v>#REF!</v>
          </cell>
          <cell r="B437" t="e">
            <v>#REF!</v>
          </cell>
          <cell r="C437" t="e">
            <v>#REF!</v>
          </cell>
          <cell r="D437" t="e">
            <v>#REF!</v>
          </cell>
          <cell r="E437" t="e">
            <v>#REF!</v>
          </cell>
          <cell r="F437" t="e">
            <v>#REF!</v>
          </cell>
          <cell r="G437" t="e">
            <v>#REF!</v>
          </cell>
          <cell r="H437" t="e">
            <v>#REF!</v>
          </cell>
          <cell r="I437" t="e">
            <v>#REF!</v>
          </cell>
          <cell r="J437" t="e">
            <v>#REF!</v>
          </cell>
        </row>
        <row r="438">
          <cell r="A438" t="e">
            <v>#REF!</v>
          </cell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  <cell r="F438" t="e">
            <v>#REF!</v>
          </cell>
          <cell r="G438" t="e">
            <v>#REF!</v>
          </cell>
          <cell r="H438" t="e">
            <v>#REF!</v>
          </cell>
          <cell r="I438" t="e">
            <v>#REF!</v>
          </cell>
          <cell r="J438" t="e">
            <v>#REF!</v>
          </cell>
        </row>
        <row r="439">
          <cell r="A439" t="e">
            <v>#REF!</v>
          </cell>
          <cell r="B439" t="e">
            <v>#REF!</v>
          </cell>
          <cell r="C439" t="e">
            <v>#REF!</v>
          </cell>
          <cell r="D439" t="e">
            <v>#REF!</v>
          </cell>
          <cell r="E439" t="e">
            <v>#REF!</v>
          </cell>
          <cell r="F439" t="e">
            <v>#REF!</v>
          </cell>
          <cell r="G439" t="e">
            <v>#REF!</v>
          </cell>
          <cell r="H439" t="e">
            <v>#REF!</v>
          </cell>
          <cell r="I439" t="e">
            <v>#REF!</v>
          </cell>
          <cell r="J439" t="e">
            <v>#REF!</v>
          </cell>
        </row>
        <row r="440">
          <cell r="A440" t="e">
            <v>#REF!</v>
          </cell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  <cell r="F440" t="e">
            <v>#REF!</v>
          </cell>
          <cell r="G440" t="e">
            <v>#REF!</v>
          </cell>
          <cell r="H440" t="e">
            <v>#REF!</v>
          </cell>
          <cell r="I440" t="e">
            <v>#REF!</v>
          </cell>
          <cell r="J440" t="e">
            <v>#REF!</v>
          </cell>
        </row>
        <row r="441">
          <cell r="A441" t="e">
            <v>#REF!</v>
          </cell>
          <cell r="B441" t="e">
            <v>#REF!</v>
          </cell>
          <cell r="C441" t="e">
            <v>#REF!</v>
          </cell>
          <cell r="D441" t="e">
            <v>#REF!</v>
          </cell>
          <cell r="E441" t="e">
            <v>#REF!</v>
          </cell>
          <cell r="F441" t="e">
            <v>#REF!</v>
          </cell>
          <cell r="G441" t="e">
            <v>#REF!</v>
          </cell>
          <cell r="H441" t="e">
            <v>#REF!</v>
          </cell>
          <cell r="I441" t="e">
            <v>#REF!</v>
          </cell>
          <cell r="J441" t="e">
            <v>#REF!</v>
          </cell>
        </row>
        <row r="442">
          <cell r="A442" t="e">
            <v>#REF!</v>
          </cell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  <cell r="F442" t="e">
            <v>#REF!</v>
          </cell>
          <cell r="G442" t="e">
            <v>#REF!</v>
          </cell>
          <cell r="H442" t="e">
            <v>#REF!</v>
          </cell>
          <cell r="I442" t="e">
            <v>#REF!</v>
          </cell>
          <cell r="J442" t="e">
            <v>#REF!</v>
          </cell>
        </row>
        <row r="443">
          <cell r="A443" t="e">
            <v>#REF!</v>
          </cell>
          <cell r="B443" t="e">
            <v>#REF!</v>
          </cell>
          <cell r="C443" t="e">
            <v>#REF!</v>
          </cell>
          <cell r="D443" t="e">
            <v>#REF!</v>
          </cell>
          <cell r="E443" t="e">
            <v>#REF!</v>
          </cell>
          <cell r="F443" t="e">
            <v>#REF!</v>
          </cell>
          <cell r="G443" t="e">
            <v>#REF!</v>
          </cell>
          <cell r="H443" t="e">
            <v>#REF!</v>
          </cell>
          <cell r="I443" t="e">
            <v>#REF!</v>
          </cell>
          <cell r="J443" t="e">
            <v>#REF!</v>
          </cell>
        </row>
        <row r="444">
          <cell r="A444" t="e">
            <v>#REF!</v>
          </cell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  <cell r="F444" t="e">
            <v>#REF!</v>
          </cell>
          <cell r="G444" t="e">
            <v>#REF!</v>
          </cell>
          <cell r="H444" t="e">
            <v>#REF!</v>
          </cell>
          <cell r="I444" t="e">
            <v>#REF!</v>
          </cell>
          <cell r="J444" t="e">
            <v>#REF!</v>
          </cell>
        </row>
        <row r="445">
          <cell r="A445" t="e">
            <v>#REF!</v>
          </cell>
          <cell r="B445" t="e">
            <v>#REF!</v>
          </cell>
          <cell r="C445" t="e">
            <v>#REF!</v>
          </cell>
          <cell r="D445" t="e">
            <v>#REF!</v>
          </cell>
          <cell r="E445" t="e">
            <v>#REF!</v>
          </cell>
          <cell r="F445" t="e">
            <v>#REF!</v>
          </cell>
          <cell r="G445" t="e">
            <v>#REF!</v>
          </cell>
          <cell r="H445" t="e">
            <v>#REF!</v>
          </cell>
          <cell r="I445" t="e">
            <v>#REF!</v>
          </cell>
          <cell r="J445" t="e">
            <v>#REF!</v>
          </cell>
        </row>
        <row r="446">
          <cell r="A446" t="e">
            <v>#REF!</v>
          </cell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  <cell r="F446" t="e">
            <v>#REF!</v>
          </cell>
          <cell r="G446" t="e">
            <v>#REF!</v>
          </cell>
          <cell r="H446" t="e">
            <v>#REF!</v>
          </cell>
          <cell r="I446" t="e">
            <v>#REF!</v>
          </cell>
          <cell r="J446" t="e">
            <v>#REF!</v>
          </cell>
        </row>
        <row r="447">
          <cell r="A447" t="e">
            <v>#REF!</v>
          </cell>
          <cell r="B447" t="e">
            <v>#REF!</v>
          </cell>
          <cell r="C447" t="e">
            <v>#REF!</v>
          </cell>
          <cell r="D447" t="e">
            <v>#REF!</v>
          </cell>
          <cell r="E447" t="e">
            <v>#REF!</v>
          </cell>
          <cell r="F447" t="e">
            <v>#REF!</v>
          </cell>
          <cell r="G447" t="e">
            <v>#REF!</v>
          </cell>
          <cell r="H447" t="e">
            <v>#REF!</v>
          </cell>
          <cell r="I447" t="e">
            <v>#REF!</v>
          </cell>
          <cell r="J447" t="e">
            <v>#REF!</v>
          </cell>
        </row>
        <row r="448">
          <cell r="A448" t="e">
            <v>#REF!</v>
          </cell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  <cell r="F448" t="e">
            <v>#REF!</v>
          </cell>
          <cell r="G448" t="e">
            <v>#REF!</v>
          </cell>
          <cell r="H448" t="e">
            <v>#REF!</v>
          </cell>
          <cell r="I448" t="e">
            <v>#REF!</v>
          </cell>
          <cell r="J448" t="e">
            <v>#REF!</v>
          </cell>
        </row>
        <row r="449">
          <cell r="A449" t="e">
            <v>#REF!</v>
          </cell>
          <cell r="B449" t="e">
            <v>#REF!</v>
          </cell>
          <cell r="C449" t="e">
            <v>#REF!</v>
          </cell>
          <cell r="D449" t="e">
            <v>#REF!</v>
          </cell>
          <cell r="E449" t="e">
            <v>#REF!</v>
          </cell>
          <cell r="F449" t="e">
            <v>#REF!</v>
          </cell>
          <cell r="G449" t="e">
            <v>#REF!</v>
          </cell>
          <cell r="H449" t="e">
            <v>#REF!</v>
          </cell>
          <cell r="I449" t="e">
            <v>#REF!</v>
          </cell>
          <cell r="J449" t="e">
            <v>#REF!</v>
          </cell>
        </row>
        <row r="450">
          <cell r="A450" t="e">
            <v>#REF!</v>
          </cell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  <cell r="F450" t="e">
            <v>#REF!</v>
          </cell>
          <cell r="G450" t="e">
            <v>#REF!</v>
          </cell>
          <cell r="H450" t="e">
            <v>#REF!</v>
          </cell>
          <cell r="I450" t="e">
            <v>#REF!</v>
          </cell>
          <cell r="J450" t="e">
            <v>#REF!</v>
          </cell>
        </row>
        <row r="451">
          <cell r="A451" t="e">
            <v>#REF!</v>
          </cell>
          <cell r="B451" t="e">
            <v>#REF!</v>
          </cell>
          <cell r="C451" t="e">
            <v>#REF!</v>
          </cell>
          <cell r="D451" t="e">
            <v>#REF!</v>
          </cell>
          <cell r="E451" t="e">
            <v>#REF!</v>
          </cell>
          <cell r="F451" t="e">
            <v>#REF!</v>
          </cell>
          <cell r="G451" t="e">
            <v>#REF!</v>
          </cell>
          <cell r="H451" t="e">
            <v>#REF!</v>
          </cell>
          <cell r="I451" t="e">
            <v>#REF!</v>
          </cell>
          <cell r="J451" t="e">
            <v>#REF!</v>
          </cell>
        </row>
        <row r="452">
          <cell r="A452" t="e">
            <v>#REF!</v>
          </cell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  <cell r="F452" t="e">
            <v>#REF!</v>
          </cell>
          <cell r="G452" t="e">
            <v>#REF!</v>
          </cell>
          <cell r="H452" t="e">
            <v>#REF!</v>
          </cell>
          <cell r="I452" t="e">
            <v>#REF!</v>
          </cell>
          <cell r="J452" t="e">
            <v>#REF!</v>
          </cell>
        </row>
        <row r="453">
          <cell r="A453" t="e">
            <v>#REF!</v>
          </cell>
          <cell r="B453" t="e">
            <v>#REF!</v>
          </cell>
          <cell r="C453" t="e">
            <v>#REF!</v>
          </cell>
          <cell r="D453" t="e">
            <v>#REF!</v>
          </cell>
          <cell r="E453" t="e">
            <v>#REF!</v>
          </cell>
          <cell r="F453" t="e">
            <v>#REF!</v>
          </cell>
          <cell r="G453" t="e">
            <v>#REF!</v>
          </cell>
          <cell r="H453" t="e">
            <v>#REF!</v>
          </cell>
          <cell r="I453" t="e">
            <v>#REF!</v>
          </cell>
          <cell r="J453" t="e">
            <v>#REF!</v>
          </cell>
        </row>
        <row r="454">
          <cell r="A454" t="e">
            <v>#REF!</v>
          </cell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  <cell r="F454" t="e">
            <v>#REF!</v>
          </cell>
          <cell r="G454" t="e">
            <v>#REF!</v>
          </cell>
          <cell r="H454" t="e">
            <v>#REF!</v>
          </cell>
          <cell r="I454" t="e">
            <v>#REF!</v>
          </cell>
          <cell r="J454" t="e">
            <v>#REF!</v>
          </cell>
        </row>
        <row r="455">
          <cell r="A455" t="e">
            <v>#REF!</v>
          </cell>
          <cell r="B455" t="e">
            <v>#REF!</v>
          </cell>
          <cell r="C455" t="e">
            <v>#REF!</v>
          </cell>
          <cell r="D455" t="e">
            <v>#REF!</v>
          </cell>
          <cell r="E455" t="e">
            <v>#REF!</v>
          </cell>
          <cell r="F455" t="e">
            <v>#REF!</v>
          </cell>
          <cell r="G455" t="e">
            <v>#REF!</v>
          </cell>
          <cell r="H455" t="e">
            <v>#REF!</v>
          </cell>
          <cell r="I455" t="e">
            <v>#REF!</v>
          </cell>
          <cell r="J455" t="e">
            <v>#REF!</v>
          </cell>
        </row>
        <row r="456">
          <cell r="A456" t="e">
            <v>#REF!</v>
          </cell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  <cell r="F456" t="e">
            <v>#REF!</v>
          </cell>
          <cell r="G456" t="e">
            <v>#REF!</v>
          </cell>
          <cell r="H456" t="e">
            <v>#REF!</v>
          </cell>
          <cell r="I456" t="e">
            <v>#REF!</v>
          </cell>
          <cell r="J456" t="e">
            <v>#REF!</v>
          </cell>
        </row>
        <row r="457">
          <cell r="A457" t="e">
            <v>#REF!</v>
          </cell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  <cell r="H457" t="e">
            <v>#REF!</v>
          </cell>
          <cell r="I457" t="e">
            <v>#REF!</v>
          </cell>
          <cell r="J457" t="e">
            <v>#REF!</v>
          </cell>
        </row>
        <row r="458">
          <cell r="A458" t="e">
            <v>#REF!</v>
          </cell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  <cell r="F458" t="e">
            <v>#REF!</v>
          </cell>
          <cell r="G458" t="e">
            <v>#REF!</v>
          </cell>
          <cell r="H458" t="e">
            <v>#REF!</v>
          </cell>
          <cell r="I458" t="e">
            <v>#REF!</v>
          </cell>
          <cell r="J458" t="e">
            <v>#REF!</v>
          </cell>
        </row>
        <row r="459">
          <cell r="A459" t="e">
            <v>#REF!</v>
          </cell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  <cell r="H459" t="e">
            <v>#REF!</v>
          </cell>
          <cell r="I459" t="e">
            <v>#REF!</v>
          </cell>
          <cell r="J459" t="e">
            <v>#REF!</v>
          </cell>
        </row>
        <row r="460">
          <cell r="A460" t="e">
            <v>#REF!</v>
          </cell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  <cell r="H460" t="e">
            <v>#REF!</v>
          </cell>
          <cell r="I460" t="e">
            <v>#REF!</v>
          </cell>
          <cell r="J460" t="e">
            <v>#REF!</v>
          </cell>
        </row>
        <row r="461">
          <cell r="A461" t="e">
            <v>#REF!</v>
          </cell>
          <cell r="B461" t="e">
            <v>#REF!</v>
          </cell>
          <cell r="C461" t="e">
            <v>#REF!</v>
          </cell>
          <cell r="D461" t="e">
            <v>#REF!</v>
          </cell>
          <cell r="E461" t="e">
            <v>#REF!</v>
          </cell>
          <cell r="F461" t="e">
            <v>#REF!</v>
          </cell>
          <cell r="G461" t="e">
            <v>#REF!</v>
          </cell>
          <cell r="H461" t="e">
            <v>#REF!</v>
          </cell>
          <cell r="I461" t="e">
            <v>#REF!</v>
          </cell>
          <cell r="J461" t="e">
            <v>#REF!</v>
          </cell>
        </row>
        <row r="462">
          <cell r="A462" t="e">
            <v>#REF!</v>
          </cell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  <cell r="F462" t="e">
            <v>#REF!</v>
          </cell>
          <cell r="G462" t="e">
            <v>#REF!</v>
          </cell>
          <cell r="H462" t="e">
            <v>#REF!</v>
          </cell>
          <cell r="I462" t="e">
            <v>#REF!</v>
          </cell>
          <cell r="J462" t="e">
            <v>#REF!</v>
          </cell>
        </row>
        <row r="463">
          <cell r="A463" t="e">
            <v>#REF!</v>
          </cell>
          <cell r="B463" t="e">
            <v>#REF!</v>
          </cell>
          <cell r="C463" t="e">
            <v>#REF!</v>
          </cell>
          <cell r="D463" t="e">
            <v>#REF!</v>
          </cell>
          <cell r="E463" t="e">
            <v>#REF!</v>
          </cell>
          <cell r="F463" t="e">
            <v>#REF!</v>
          </cell>
          <cell r="G463" t="e">
            <v>#REF!</v>
          </cell>
          <cell r="H463" t="e">
            <v>#REF!</v>
          </cell>
          <cell r="I463" t="e">
            <v>#REF!</v>
          </cell>
          <cell r="J463" t="e">
            <v>#REF!</v>
          </cell>
        </row>
        <row r="464">
          <cell r="A464" t="e">
            <v>#REF!</v>
          </cell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  <cell r="F464" t="e">
            <v>#REF!</v>
          </cell>
          <cell r="G464" t="e">
            <v>#REF!</v>
          </cell>
          <cell r="H464" t="e">
            <v>#REF!</v>
          </cell>
          <cell r="I464" t="e">
            <v>#REF!</v>
          </cell>
          <cell r="J464" t="e">
            <v>#REF!</v>
          </cell>
        </row>
        <row r="465">
          <cell r="A465" t="e">
            <v>#REF!</v>
          </cell>
          <cell r="B465" t="e">
            <v>#REF!</v>
          </cell>
          <cell r="C465" t="e">
            <v>#REF!</v>
          </cell>
          <cell r="D465" t="e">
            <v>#REF!</v>
          </cell>
          <cell r="E465" t="e">
            <v>#REF!</v>
          </cell>
          <cell r="F465" t="e">
            <v>#REF!</v>
          </cell>
          <cell r="G465" t="e">
            <v>#REF!</v>
          </cell>
          <cell r="H465" t="e">
            <v>#REF!</v>
          </cell>
          <cell r="I465" t="e">
            <v>#REF!</v>
          </cell>
          <cell r="J465" t="e">
            <v>#REF!</v>
          </cell>
        </row>
        <row r="466">
          <cell r="A466" t="e">
            <v>#REF!</v>
          </cell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  <cell r="F466" t="e">
            <v>#REF!</v>
          </cell>
          <cell r="G466" t="e">
            <v>#REF!</v>
          </cell>
          <cell r="H466" t="e">
            <v>#REF!</v>
          </cell>
          <cell r="I466" t="e">
            <v>#REF!</v>
          </cell>
          <cell r="J466" t="e">
            <v>#REF!</v>
          </cell>
        </row>
        <row r="467">
          <cell r="A467" t="e">
            <v>#REF!</v>
          </cell>
          <cell r="B467" t="e">
            <v>#REF!</v>
          </cell>
          <cell r="C467" t="e">
            <v>#REF!</v>
          </cell>
          <cell r="D467" t="e">
            <v>#REF!</v>
          </cell>
          <cell r="E467" t="e">
            <v>#REF!</v>
          </cell>
          <cell r="F467" t="e">
            <v>#REF!</v>
          </cell>
          <cell r="G467" t="e">
            <v>#REF!</v>
          </cell>
          <cell r="H467" t="e">
            <v>#REF!</v>
          </cell>
          <cell r="I467" t="e">
            <v>#REF!</v>
          </cell>
          <cell r="J467" t="e">
            <v>#REF!</v>
          </cell>
        </row>
        <row r="468">
          <cell r="A468" t="e">
            <v>#REF!</v>
          </cell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  <cell r="F468" t="e">
            <v>#REF!</v>
          </cell>
          <cell r="G468" t="e">
            <v>#REF!</v>
          </cell>
          <cell r="H468" t="e">
            <v>#REF!</v>
          </cell>
          <cell r="I468" t="e">
            <v>#REF!</v>
          </cell>
          <cell r="J468" t="e">
            <v>#REF!</v>
          </cell>
        </row>
        <row r="469">
          <cell r="A469" t="e">
            <v>#REF!</v>
          </cell>
          <cell r="B469" t="e">
            <v>#REF!</v>
          </cell>
          <cell r="C469" t="e">
            <v>#REF!</v>
          </cell>
          <cell r="D469" t="e">
            <v>#REF!</v>
          </cell>
          <cell r="E469" t="e">
            <v>#REF!</v>
          </cell>
          <cell r="F469" t="e">
            <v>#REF!</v>
          </cell>
          <cell r="G469" t="e">
            <v>#REF!</v>
          </cell>
          <cell r="H469" t="e">
            <v>#REF!</v>
          </cell>
          <cell r="I469" t="e">
            <v>#REF!</v>
          </cell>
          <cell r="J469" t="e">
            <v>#REF!</v>
          </cell>
        </row>
        <row r="470">
          <cell r="A470" t="e">
            <v>#REF!</v>
          </cell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  <cell r="F470" t="e">
            <v>#REF!</v>
          </cell>
          <cell r="G470" t="e">
            <v>#REF!</v>
          </cell>
          <cell r="H470" t="e">
            <v>#REF!</v>
          </cell>
          <cell r="I470" t="e">
            <v>#REF!</v>
          </cell>
          <cell r="J470" t="e">
            <v>#REF!</v>
          </cell>
        </row>
        <row r="471">
          <cell r="A471" t="e">
            <v>#REF!</v>
          </cell>
          <cell r="B471" t="e">
            <v>#REF!</v>
          </cell>
          <cell r="C471" t="e">
            <v>#REF!</v>
          </cell>
          <cell r="D471" t="e">
            <v>#REF!</v>
          </cell>
          <cell r="E471" t="e">
            <v>#REF!</v>
          </cell>
          <cell r="F471" t="e">
            <v>#REF!</v>
          </cell>
          <cell r="G471" t="e">
            <v>#REF!</v>
          </cell>
          <cell r="H471" t="e">
            <v>#REF!</v>
          </cell>
          <cell r="I471" t="e">
            <v>#REF!</v>
          </cell>
          <cell r="J471" t="e">
            <v>#REF!</v>
          </cell>
        </row>
        <row r="472">
          <cell r="A472" t="e">
            <v>#REF!</v>
          </cell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  <cell r="F472" t="e">
            <v>#REF!</v>
          </cell>
          <cell r="G472" t="e">
            <v>#REF!</v>
          </cell>
          <cell r="H472" t="e">
            <v>#REF!</v>
          </cell>
          <cell r="I472" t="e">
            <v>#REF!</v>
          </cell>
          <cell r="J472" t="e">
            <v>#REF!</v>
          </cell>
        </row>
        <row r="473">
          <cell r="A473" t="e">
            <v>#REF!</v>
          </cell>
          <cell r="B473" t="e">
            <v>#REF!</v>
          </cell>
          <cell r="C473" t="e">
            <v>#REF!</v>
          </cell>
          <cell r="D473" t="e">
            <v>#REF!</v>
          </cell>
          <cell r="E473" t="e">
            <v>#REF!</v>
          </cell>
          <cell r="F473" t="e">
            <v>#REF!</v>
          </cell>
          <cell r="G473" t="e">
            <v>#REF!</v>
          </cell>
          <cell r="H473" t="e">
            <v>#REF!</v>
          </cell>
          <cell r="I473" t="e">
            <v>#REF!</v>
          </cell>
          <cell r="J473" t="e">
            <v>#REF!</v>
          </cell>
        </row>
        <row r="474">
          <cell r="A474" t="e">
            <v>#REF!</v>
          </cell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  <cell r="F474" t="e">
            <v>#REF!</v>
          </cell>
          <cell r="G474" t="e">
            <v>#REF!</v>
          </cell>
          <cell r="H474" t="e">
            <v>#REF!</v>
          </cell>
          <cell r="I474" t="e">
            <v>#REF!</v>
          </cell>
          <cell r="J474" t="e">
            <v>#REF!</v>
          </cell>
        </row>
        <row r="475">
          <cell r="A475" t="e">
            <v>#REF!</v>
          </cell>
          <cell r="B475" t="e">
            <v>#REF!</v>
          </cell>
          <cell r="C475" t="e">
            <v>#REF!</v>
          </cell>
          <cell r="D475" t="e">
            <v>#REF!</v>
          </cell>
          <cell r="E475" t="e">
            <v>#REF!</v>
          </cell>
          <cell r="F475" t="e">
            <v>#REF!</v>
          </cell>
          <cell r="G475" t="e">
            <v>#REF!</v>
          </cell>
          <cell r="H475" t="e">
            <v>#REF!</v>
          </cell>
          <cell r="I475" t="e">
            <v>#REF!</v>
          </cell>
          <cell r="J475" t="e">
            <v>#REF!</v>
          </cell>
        </row>
        <row r="476">
          <cell r="A476" t="e">
            <v>#REF!</v>
          </cell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  <cell r="F476" t="e">
            <v>#REF!</v>
          </cell>
          <cell r="G476" t="e">
            <v>#REF!</v>
          </cell>
          <cell r="H476" t="e">
            <v>#REF!</v>
          </cell>
          <cell r="I476" t="e">
            <v>#REF!</v>
          </cell>
          <cell r="J476" t="e">
            <v>#REF!</v>
          </cell>
        </row>
        <row r="477">
          <cell r="A477" t="e">
            <v>#REF!</v>
          </cell>
          <cell r="B477" t="e">
            <v>#REF!</v>
          </cell>
          <cell r="C477" t="e">
            <v>#REF!</v>
          </cell>
          <cell r="D477" t="e">
            <v>#REF!</v>
          </cell>
          <cell r="E477" t="e">
            <v>#REF!</v>
          </cell>
          <cell r="F477" t="e">
            <v>#REF!</v>
          </cell>
          <cell r="G477" t="e">
            <v>#REF!</v>
          </cell>
          <cell r="H477" t="e">
            <v>#REF!</v>
          </cell>
          <cell r="I477" t="e">
            <v>#REF!</v>
          </cell>
          <cell r="J477" t="e">
            <v>#REF!</v>
          </cell>
        </row>
        <row r="478">
          <cell r="A478" t="e">
            <v>#REF!</v>
          </cell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  <cell r="F478" t="e">
            <v>#REF!</v>
          </cell>
          <cell r="G478" t="e">
            <v>#REF!</v>
          </cell>
          <cell r="H478" t="e">
            <v>#REF!</v>
          </cell>
          <cell r="I478" t="e">
            <v>#REF!</v>
          </cell>
          <cell r="J478" t="e">
            <v>#REF!</v>
          </cell>
        </row>
        <row r="479">
          <cell r="A479" t="e">
            <v>#REF!</v>
          </cell>
          <cell r="B479" t="e">
            <v>#REF!</v>
          </cell>
          <cell r="C479" t="e">
            <v>#REF!</v>
          </cell>
          <cell r="D479" t="e">
            <v>#REF!</v>
          </cell>
          <cell r="E479" t="e">
            <v>#REF!</v>
          </cell>
          <cell r="F479" t="e">
            <v>#REF!</v>
          </cell>
          <cell r="G479" t="e">
            <v>#REF!</v>
          </cell>
          <cell r="H479" t="e">
            <v>#REF!</v>
          </cell>
          <cell r="I479" t="e">
            <v>#REF!</v>
          </cell>
          <cell r="J479" t="e">
            <v>#REF!</v>
          </cell>
        </row>
        <row r="480">
          <cell r="A480" t="e">
            <v>#REF!</v>
          </cell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  <cell r="F480" t="e">
            <v>#REF!</v>
          </cell>
          <cell r="G480" t="e">
            <v>#REF!</v>
          </cell>
          <cell r="H480" t="e">
            <v>#REF!</v>
          </cell>
          <cell r="I480" t="e">
            <v>#REF!</v>
          </cell>
          <cell r="J480" t="e">
            <v>#REF!</v>
          </cell>
        </row>
        <row r="481">
          <cell r="A481" t="e">
            <v>#REF!</v>
          </cell>
          <cell r="B481" t="e">
            <v>#REF!</v>
          </cell>
          <cell r="C481" t="e">
            <v>#REF!</v>
          </cell>
          <cell r="D481" t="e">
            <v>#REF!</v>
          </cell>
          <cell r="E481" t="e">
            <v>#REF!</v>
          </cell>
          <cell r="F481" t="e">
            <v>#REF!</v>
          </cell>
          <cell r="G481" t="e">
            <v>#REF!</v>
          </cell>
          <cell r="H481" t="e">
            <v>#REF!</v>
          </cell>
          <cell r="I481" t="e">
            <v>#REF!</v>
          </cell>
          <cell r="J481" t="e">
            <v>#REF!</v>
          </cell>
        </row>
        <row r="482">
          <cell r="A482" t="e">
            <v>#REF!</v>
          </cell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  <cell r="F482" t="e">
            <v>#REF!</v>
          </cell>
          <cell r="G482" t="e">
            <v>#REF!</v>
          </cell>
          <cell r="H482" t="e">
            <v>#REF!</v>
          </cell>
          <cell r="I482" t="e">
            <v>#REF!</v>
          </cell>
          <cell r="J482" t="e">
            <v>#REF!</v>
          </cell>
        </row>
        <row r="483">
          <cell r="A483" t="e">
            <v>#REF!</v>
          </cell>
          <cell r="B483" t="e">
            <v>#REF!</v>
          </cell>
          <cell r="C483" t="e">
            <v>#REF!</v>
          </cell>
          <cell r="D483" t="e">
            <v>#REF!</v>
          </cell>
          <cell r="E483" t="e">
            <v>#REF!</v>
          </cell>
          <cell r="F483" t="e">
            <v>#REF!</v>
          </cell>
          <cell r="G483" t="e">
            <v>#REF!</v>
          </cell>
          <cell r="H483" t="e">
            <v>#REF!</v>
          </cell>
          <cell r="I483" t="e">
            <v>#REF!</v>
          </cell>
          <cell r="J483" t="e">
            <v>#REF!</v>
          </cell>
        </row>
        <row r="484">
          <cell r="A484" t="e">
            <v>#REF!</v>
          </cell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  <cell r="F484" t="e">
            <v>#REF!</v>
          </cell>
          <cell r="G484" t="e">
            <v>#REF!</v>
          </cell>
          <cell r="H484" t="e">
            <v>#REF!</v>
          </cell>
          <cell r="I484" t="e">
            <v>#REF!</v>
          </cell>
          <cell r="J484" t="e">
            <v>#REF!</v>
          </cell>
        </row>
        <row r="485">
          <cell r="A485" t="e">
            <v>#REF!</v>
          </cell>
          <cell r="B485" t="e">
            <v>#REF!</v>
          </cell>
          <cell r="C485" t="e">
            <v>#REF!</v>
          </cell>
          <cell r="D485" t="e">
            <v>#REF!</v>
          </cell>
          <cell r="E485" t="e">
            <v>#REF!</v>
          </cell>
          <cell r="F485" t="e">
            <v>#REF!</v>
          </cell>
          <cell r="G485" t="e">
            <v>#REF!</v>
          </cell>
          <cell r="H485" t="e">
            <v>#REF!</v>
          </cell>
          <cell r="I485" t="e">
            <v>#REF!</v>
          </cell>
          <cell r="J485" t="e">
            <v>#REF!</v>
          </cell>
        </row>
        <row r="486">
          <cell r="A486" t="e">
            <v>#REF!</v>
          </cell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  <cell r="F486" t="e">
            <v>#REF!</v>
          </cell>
          <cell r="G486" t="e">
            <v>#REF!</v>
          </cell>
          <cell r="H486" t="e">
            <v>#REF!</v>
          </cell>
          <cell r="I486" t="e">
            <v>#REF!</v>
          </cell>
          <cell r="J486" t="e">
            <v>#REF!</v>
          </cell>
        </row>
        <row r="487">
          <cell r="A487" t="e">
            <v>#REF!</v>
          </cell>
          <cell r="B487" t="e">
            <v>#REF!</v>
          </cell>
          <cell r="C487" t="e">
            <v>#REF!</v>
          </cell>
          <cell r="D487" t="e">
            <v>#REF!</v>
          </cell>
          <cell r="E487" t="e">
            <v>#REF!</v>
          </cell>
          <cell r="F487" t="e">
            <v>#REF!</v>
          </cell>
          <cell r="G487" t="e">
            <v>#REF!</v>
          </cell>
          <cell r="H487" t="e">
            <v>#REF!</v>
          </cell>
          <cell r="I487" t="e">
            <v>#REF!</v>
          </cell>
          <cell r="J487" t="e">
            <v>#REF!</v>
          </cell>
        </row>
        <row r="488">
          <cell r="A488" t="e">
            <v>#REF!</v>
          </cell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  <cell r="F488" t="e">
            <v>#REF!</v>
          </cell>
          <cell r="G488" t="e">
            <v>#REF!</v>
          </cell>
          <cell r="H488" t="e">
            <v>#REF!</v>
          </cell>
          <cell r="I488" t="e">
            <v>#REF!</v>
          </cell>
          <cell r="J488" t="e">
            <v>#REF!</v>
          </cell>
        </row>
        <row r="489">
          <cell r="A489" t="e">
            <v>#REF!</v>
          </cell>
          <cell r="B489" t="e">
            <v>#REF!</v>
          </cell>
          <cell r="C489" t="e">
            <v>#REF!</v>
          </cell>
          <cell r="D489" t="e">
            <v>#REF!</v>
          </cell>
          <cell r="E489" t="e">
            <v>#REF!</v>
          </cell>
          <cell r="F489" t="e">
            <v>#REF!</v>
          </cell>
          <cell r="G489" t="e">
            <v>#REF!</v>
          </cell>
          <cell r="H489" t="e">
            <v>#REF!</v>
          </cell>
          <cell r="I489" t="e">
            <v>#REF!</v>
          </cell>
          <cell r="J489" t="e">
            <v>#REF!</v>
          </cell>
        </row>
        <row r="490">
          <cell r="A490" t="e">
            <v>#REF!</v>
          </cell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  <cell r="F490" t="e">
            <v>#REF!</v>
          </cell>
          <cell r="G490" t="e">
            <v>#REF!</v>
          </cell>
          <cell r="H490" t="e">
            <v>#REF!</v>
          </cell>
          <cell r="I490" t="e">
            <v>#REF!</v>
          </cell>
          <cell r="J490" t="e">
            <v>#REF!</v>
          </cell>
        </row>
        <row r="491">
          <cell r="A491" t="e">
            <v>#REF!</v>
          </cell>
          <cell r="B491" t="e">
            <v>#REF!</v>
          </cell>
          <cell r="C491" t="e">
            <v>#REF!</v>
          </cell>
          <cell r="D491" t="e">
            <v>#REF!</v>
          </cell>
          <cell r="E491" t="e">
            <v>#REF!</v>
          </cell>
          <cell r="F491" t="e">
            <v>#REF!</v>
          </cell>
          <cell r="G491" t="e">
            <v>#REF!</v>
          </cell>
          <cell r="H491" t="e">
            <v>#REF!</v>
          </cell>
          <cell r="I491" t="e">
            <v>#REF!</v>
          </cell>
          <cell r="J491" t="e">
            <v>#REF!</v>
          </cell>
        </row>
        <row r="492">
          <cell r="A492" t="e">
            <v>#REF!</v>
          </cell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  <cell r="F492" t="e">
            <v>#REF!</v>
          </cell>
          <cell r="G492" t="e">
            <v>#REF!</v>
          </cell>
          <cell r="H492" t="e">
            <v>#REF!</v>
          </cell>
          <cell r="I492" t="e">
            <v>#REF!</v>
          </cell>
          <cell r="J492" t="e">
            <v>#REF!</v>
          </cell>
        </row>
        <row r="493">
          <cell r="A493" t="e">
            <v>#REF!</v>
          </cell>
          <cell r="B493" t="e">
            <v>#REF!</v>
          </cell>
          <cell r="C493" t="e">
            <v>#REF!</v>
          </cell>
          <cell r="D493" t="e">
            <v>#REF!</v>
          </cell>
          <cell r="E493" t="e">
            <v>#REF!</v>
          </cell>
          <cell r="F493" t="e">
            <v>#REF!</v>
          </cell>
          <cell r="G493" t="e">
            <v>#REF!</v>
          </cell>
          <cell r="H493" t="e">
            <v>#REF!</v>
          </cell>
          <cell r="I493" t="e">
            <v>#REF!</v>
          </cell>
          <cell r="J493" t="e">
            <v>#REF!</v>
          </cell>
        </row>
        <row r="494">
          <cell r="A494" t="e">
            <v>#REF!</v>
          </cell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  <cell r="F494" t="e">
            <v>#REF!</v>
          </cell>
          <cell r="G494" t="e">
            <v>#REF!</v>
          </cell>
          <cell r="H494" t="e">
            <v>#REF!</v>
          </cell>
          <cell r="I494" t="e">
            <v>#REF!</v>
          </cell>
          <cell r="J494" t="e">
            <v>#REF!</v>
          </cell>
        </row>
        <row r="495">
          <cell r="A495" t="e">
            <v>#REF!</v>
          </cell>
          <cell r="B495" t="e">
            <v>#REF!</v>
          </cell>
          <cell r="C495" t="e">
            <v>#REF!</v>
          </cell>
          <cell r="D495" t="e">
            <v>#REF!</v>
          </cell>
          <cell r="E495" t="e">
            <v>#REF!</v>
          </cell>
          <cell r="F495" t="e">
            <v>#REF!</v>
          </cell>
          <cell r="G495" t="e">
            <v>#REF!</v>
          </cell>
          <cell r="H495" t="e">
            <v>#REF!</v>
          </cell>
          <cell r="I495" t="e">
            <v>#REF!</v>
          </cell>
          <cell r="J495" t="e">
            <v>#REF!</v>
          </cell>
        </row>
        <row r="496">
          <cell r="A496" t="e">
            <v>#REF!</v>
          </cell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  <cell r="F496" t="e">
            <v>#REF!</v>
          </cell>
          <cell r="G496" t="e">
            <v>#REF!</v>
          </cell>
          <cell r="H496" t="e">
            <v>#REF!</v>
          </cell>
          <cell r="I496" t="e">
            <v>#REF!</v>
          </cell>
          <cell r="J496" t="e">
            <v>#REF!</v>
          </cell>
        </row>
        <row r="497">
          <cell r="A497" t="e">
            <v>#REF!</v>
          </cell>
          <cell r="B497" t="e">
            <v>#REF!</v>
          </cell>
          <cell r="C497" t="e">
            <v>#REF!</v>
          </cell>
          <cell r="D497" t="e">
            <v>#REF!</v>
          </cell>
          <cell r="E497" t="e">
            <v>#REF!</v>
          </cell>
          <cell r="F497" t="e">
            <v>#REF!</v>
          </cell>
          <cell r="G497" t="e">
            <v>#REF!</v>
          </cell>
          <cell r="H497" t="e">
            <v>#REF!</v>
          </cell>
          <cell r="I497" t="e">
            <v>#REF!</v>
          </cell>
          <cell r="J497" t="e">
            <v>#REF!</v>
          </cell>
        </row>
      </sheetData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Matriz de Costos y Venta"/>
      <sheetName val="Resumen"/>
      <sheetName val="Amo_Prtmo"/>
      <sheetName val="Referencias"/>
      <sheetName val="Mano de Obra"/>
      <sheetName val="Transporte"/>
      <sheetName val="Materiales"/>
    </sheetNames>
    <sheetDataSet>
      <sheetData sheetId="0"/>
      <sheetData sheetId="1">
        <row r="8">
          <cell r="D8">
            <v>2</v>
          </cell>
        </row>
      </sheetData>
      <sheetData sheetId="2"/>
      <sheetData sheetId="3">
        <row r="1">
          <cell r="A1" t="str">
            <v>Programación de la amortización para Financiamiento</v>
          </cell>
          <cell r="B1"/>
          <cell r="C1"/>
          <cell r="D1"/>
          <cell r="E1"/>
          <cell r="F1"/>
          <cell r="G1"/>
          <cell r="H1"/>
          <cell r="I1"/>
          <cell r="J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</row>
        <row r="4">
          <cell r="A4"/>
          <cell r="B4" t="str">
            <v>Especificar valores</v>
          </cell>
          <cell r="C4"/>
          <cell r="D4"/>
          <cell r="E4"/>
          <cell r="F4"/>
          <cell r="G4"/>
          <cell r="H4" t="str">
            <v>Resumen del préstamo</v>
          </cell>
          <cell r="I4"/>
          <cell r="J4"/>
        </row>
        <row r="5">
          <cell r="A5"/>
          <cell r="B5"/>
          <cell r="C5" t="str">
            <v>Importe del préstamo</v>
          </cell>
          <cell r="D5">
            <v>4650.5367982622793</v>
          </cell>
          <cell r="E5"/>
          <cell r="F5"/>
          <cell r="G5"/>
          <cell r="H5"/>
          <cell r="I5" t="str">
            <v>Pago programado</v>
          </cell>
          <cell r="J5">
            <v>152.25260868051714</v>
          </cell>
        </row>
        <row r="6">
          <cell r="A6"/>
          <cell r="B6"/>
          <cell r="C6" t="str">
            <v>Tasa de interés anual</v>
          </cell>
          <cell r="D6">
            <v>0.11</v>
          </cell>
          <cell r="E6"/>
          <cell r="F6"/>
          <cell r="G6"/>
          <cell r="H6"/>
          <cell r="I6" t="str">
            <v>Número de pagos programado</v>
          </cell>
          <cell r="J6">
            <v>36</v>
          </cell>
        </row>
        <row r="7">
          <cell r="A7"/>
          <cell r="B7"/>
          <cell r="C7" t="str">
            <v>Plazo del préstamo en años</v>
          </cell>
          <cell r="D7">
            <v>3</v>
          </cell>
          <cell r="E7"/>
          <cell r="F7"/>
          <cell r="G7"/>
          <cell r="H7"/>
          <cell r="I7" t="str">
            <v>Número de pagos real</v>
          </cell>
          <cell r="J7">
            <v>36</v>
          </cell>
        </row>
        <row r="8">
          <cell r="A8"/>
          <cell r="B8"/>
          <cell r="C8" t="str">
            <v>Número de pagos al año</v>
          </cell>
          <cell r="D8">
            <v>12</v>
          </cell>
          <cell r="E8"/>
          <cell r="F8"/>
          <cell r="G8"/>
          <cell r="H8"/>
          <cell r="I8" t="str">
            <v>Total de pagos anticipados</v>
          </cell>
          <cell r="J8">
            <v>0</v>
          </cell>
        </row>
        <row r="9">
          <cell r="A9"/>
          <cell r="B9"/>
          <cell r="C9" t="str">
            <v>Fecha inicial del préstamo</v>
          </cell>
          <cell r="D9">
            <v>43191</v>
          </cell>
          <cell r="E9"/>
          <cell r="F9"/>
          <cell r="G9"/>
          <cell r="H9"/>
          <cell r="I9" t="str">
            <v>Interés total</v>
          </cell>
          <cell r="J9">
            <v>830.55711423633738</v>
          </cell>
        </row>
        <row r="10">
          <cell r="A10"/>
          <cell r="B10"/>
          <cell r="C10" t="str">
            <v>Pagos adicionales opcionales</v>
          </cell>
          <cell r="D10"/>
          <cell r="E10">
            <v>0</v>
          </cell>
          <cell r="F10"/>
          <cell r="G10"/>
          <cell r="H10"/>
          <cell r="I10"/>
          <cell r="J10"/>
        </row>
        <row r="11">
          <cell r="A11"/>
          <cell r="B11"/>
          <cell r="C11"/>
          <cell r="D11"/>
          <cell r="E11"/>
          <cell r="F11"/>
          <cell r="G11"/>
          <cell r="H11" t="str">
            <v>Total valor requerido ya con financiamiento</v>
          </cell>
          <cell r="I11"/>
          <cell r="J11">
            <v>5481.0939124986162</v>
          </cell>
        </row>
        <row r="12">
          <cell r="A12"/>
          <cell r="B12" t="str">
            <v>Nombre de entidad de crédito: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/>
          <cell r="B13"/>
          <cell r="C13"/>
          <cell r="D13"/>
          <cell r="E13"/>
          <cell r="F13"/>
          <cell r="G13"/>
          <cell r="H13"/>
          <cell r="I13"/>
          <cell r="J13"/>
        </row>
        <row r="14">
          <cell r="A14"/>
          <cell r="B14"/>
          <cell r="C14"/>
          <cell r="D14"/>
          <cell r="E14"/>
          <cell r="F14"/>
          <cell r="G14"/>
          <cell r="H14"/>
          <cell r="I14"/>
          <cell r="J14"/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</row>
        <row r="16">
          <cell r="A16" t="str">
            <v>Nº Pago</v>
          </cell>
          <cell r="B16" t="str">
            <v>Fecha de pago</v>
          </cell>
          <cell r="C16" t="str">
            <v>Saldo inicial</v>
          </cell>
          <cell r="D16" t="str">
            <v>Pago programado</v>
          </cell>
          <cell r="E16" t="str">
            <v>Pago adicional</v>
          </cell>
          <cell r="F16" t="str">
            <v>Pago total</v>
          </cell>
          <cell r="G16" t="str">
            <v>Capital</v>
          </cell>
          <cell r="H16" t="str">
            <v>Interés</v>
          </cell>
          <cell r="I16" t="str">
            <v>Saldo final</v>
          </cell>
          <cell r="J16" t="str">
            <v>Interés acumulativo</v>
          </cell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</row>
        <row r="18">
          <cell r="A18">
            <v>1</v>
          </cell>
          <cell r="B18">
            <v>43221</v>
          </cell>
          <cell r="C18">
            <v>4650.5367982622793</v>
          </cell>
          <cell r="D18">
            <v>152.25260868051714</v>
          </cell>
          <cell r="E18">
            <v>0</v>
          </cell>
          <cell r="F18">
            <v>152.25260868051714</v>
          </cell>
          <cell r="G18">
            <v>109.62268802977958</v>
          </cell>
          <cell r="H18">
            <v>42.62992065073756</v>
          </cell>
          <cell r="I18">
            <v>4540.9141102324993</v>
          </cell>
          <cell r="J18">
            <v>42.62992065073756</v>
          </cell>
        </row>
        <row r="19">
          <cell r="A19">
            <v>2</v>
          </cell>
          <cell r="B19">
            <v>43252</v>
          </cell>
          <cell r="C19">
            <v>4540.9141102324993</v>
          </cell>
          <cell r="D19">
            <v>152.25260868051714</v>
          </cell>
          <cell r="E19">
            <v>0</v>
          </cell>
          <cell r="F19">
            <v>152.25260868051714</v>
          </cell>
          <cell r="G19">
            <v>110.62756267005255</v>
          </cell>
          <cell r="H19">
            <v>41.62504601046458</v>
          </cell>
          <cell r="I19">
            <v>4430.2865475624467</v>
          </cell>
          <cell r="J19">
            <v>84.254966661202133</v>
          </cell>
        </row>
        <row r="20">
          <cell r="A20">
            <v>3</v>
          </cell>
          <cell r="B20">
            <v>43282</v>
          </cell>
          <cell r="C20">
            <v>4430.2865475624467</v>
          </cell>
          <cell r="D20">
            <v>152.25260868051714</v>
          </cell>
          <cell r="E20">
            <v>0</v>
          </cell>
          <cell r="F20">
            <v>152.25260868051714</v>
          </cell>
          <cell r="G20">
            <v>111.64164866119472</v>
          </cell>
          <cell r="H20">
            <v>40.610960019322427</v>
          </cell>
          <cell r="I20">
            <v>4318.6448989012515</v>
          </cell>
          <cell r="J20">
            <v>124.86592668052455</v>
          </cell>
        </row>
        <row r="21">
          <cell r="A21">
            <v>4</v>
          </cell>
          <cell r="B21">
            <v>43313</v>
          </cell>
          <cell r="C21">
            <v>4318.6448989012515</v>
          </cell>
          <cell r="D21">
            <v>152.25260868051714</v>
          </cell>
          <cell r="E21">
            <v>0</v>
          </cell>
          <cell r="F21">
            <v>152.25260868051714</v>
          </cell>
          <cell r="G21">
            <v>112.66503044058899</v>
          </cell>
          <cell r="H21">
            <v>39.587578239928142</v>
          </cell>
          <cell r="I21">
            <v>4205.9798684606621</v>
          </cell>
          <cell r="J21">
            <v>164.4535049204527</v>
          </cell>
        </row>
        <row r="22">
          <cell r="A22">
            <v>5</v>
          </cell>
          <cell r="B22">
            <v>43344</v>
          </cell>
          <cell r="C22">
            <v>4205.9798684606621</v>
          </cell>
          <cell r="D22">
            <v>152.25260868051714</v>
          </cell>
          <cell r="E22">
            <v>0</v>
          </cell>
          <cell r="F22">
            <v>152.25260868051714</v>
          </cell>
          <cell r="G22">
            <v>113.69779321962774</v>
          </cell>
          <cell r="H22">
            <v>38.554815460889401</v>
          </cell>
          <cell r="I22">
            <v>4092.2820752410344</v>
          </cell>
          <cell r="J22">
            <v>203.00832038134212</v>
          </cell>
        </row>
        <row r="23">
          <cell r="A23">
            <v>6</v>
          </cell>
          <cell r="B23">
            <v>43374</v>
          </cell>
          <cell r="C23">
            <v>4092.2820752410344</v>
          </cell>
          <cell r="D23">
            <v>152.25260868051714</v>
          </cell>
          <cell r="E23">
            <v>0</v>
          </cell>
          <cell r="F23">
            <v>152.25260868051714</v>
          </cell>
          <cell r="G23">
            <v>114.74002299080766</v>
          </cell>
          <cell r="H23">
            <v>37.512585689709482</v>
          </cell>
          <cell r="I23">
            <v>3977.5420522502268</v>
          </cell>
          <cell r="J23">
            <v>240.5209060710516</v>
          </cell>
        </row>
        <row r="24">
          <cell r="A24">
            <v>7</v>
          </cell>
          <cell r="B24">
            <v>43405</v>
          </cell>
          <cell r="C24">
            <v>3977.5420522502268</v>
          </cell>
          <cell r="D24">
            <v>152.25260868051714</v>
          </cell>
          <cell r="E24">
            <v>0</v>
          </cell>
          <cell r="F24">
            <v>152.25260868051714</v>
          </cell>
          <cell r="G24">
            <v>115.79180653489007</v>
          </cell>
          <cell r="H24">
            <v>36.460802145627078</v>
          </cell>
          <cell r="I24">
            <v>3861.7502457153369</v>
          </cell>
          <cell r="J24">
            <v>276.98170821667867</v>
          </cell>
        </row>
        <row r="25">
          <cell r="A25">
            <v>8</v>
          </cell>
          <cell r="B25">
            <v>43435</v>
          </cell>
          <cell r="C25">
            <v>3861.7502457153369</v>
          </cell>
          <cell r="D25">
            <v>152.25260868051714</v>
          </cell>
          <cell r="E25">
            <v>0</v>
          </cell>
          <cell r="F25">
            <v>152.25260868051714</v>
          </cell>
          <cell r="G25">
            <v>116.85323142812655</v>
          </cell>
          <cell r="H25">
            <v>35.399377252390586</v>
          </cell>
          <cell r="I25">
            <v>3744.8970142872104</v>
          </cell>
          <cell r="J25">
            <v>312.38108546906926</v>
          </cell>
        </row>
        <row r="26">
          <cell r="A26">
            <v>9</v>
          </cell>
          <cell r="B26">
            <v>43466</v>
          </cell>
          <cell r="C26">
            <v>3744.8970142872104</v>
          </cell>
          <cell r="D26">
            <v>152.25260868051714</v>
          </cell>
          <cell r="E26">
            <v>0</v>
          </cell>
          <cell r="F26">
            <v>152.25260868051714</v>
          </cell>
          <cell r="G26">
            <v>117.92438604955105</v>
          </cell>
          <cell r="H26">
            <v>34.328222630966096</v>
          </cell>
          <cell r="I26">
            <v>3626.9726282376591</v>
          </cell>
          <cell r="J26">
            <v>346.70930810003534</v>
          </cell>
        </row>
        <row r="27">
          <cell r="A27">
            <v>10</v>
          </cell>
          <cell r="B27">
            <v>43497</v>
          </cell>
          <cell r="C27">
            <v>3626.9726282376591</v>
          </cell>
          <cell r="D27">
            <v>152.25260868051714</v>
          </cell>
          <cell r="E27">
            <v>0</v>
          </cell>
          <cell r="F27">
            <v>152.25260868051714</v>
          </cell>
          <cell r="G27">
            <v>119.00535958833859</v>
          </cell>
          <cell r="H27">
            <v>33.247249092178542</v>
          </cell>
          <cell r="I27">
            <v>3507.9672686493204</v>
          </cell>
          <cell r="J27">
            <v>379.95655719221389</v>
          </cell>
        </row>
        <row r="28">
          <cell r="A28">
            <v>11</v>
          </cell>
          <cell r="B28">
            <v>43525</v>
          </cell>
          <cell r="C28">
            <v>3507.9672686493204</v>
          </cell>
          <cell r="D28">
            <v>152.25260868051714</v>
          </cell>
          <cell r="E28">
            <v>0</v>
          </cell>
          <cell r="F28">
            <v>152.25260868051714</v>
          </cell>
          <cell r="G28">
            <v>120.09624205123171</v>
          </cell>
          <cell r="H28">
            <v>32.156366629285436</v>
          </cell>
          <cell r="I28">
            <v>3387.8710265980885</v>
          </cell>
          <cell r="J28">
            <v>412.11292382149935</v>
          </cell>
        </row>
        <row r="29">
          <cell r="A29">
            <v>12</v>
          </cell>
          <cell r="B29">
            <v>43556</v>
          </cell>
          <cell r="C29">
            <v>3387.8710265980885</v>
          </cell>
          <cell r="D29">
            <v>152.25260868051714</v>
          </cell>
          <cell r="E29">
            <v>0</v>
          </cell>
          <cell r="F29">
            <v>152.25260868051714</v>
          </cell>
          <cell r="G29">
            <v>121.19712427003466</v>
          </cell>
          <cell r="H29">
            <v>31.055484410482478</v>
          </cell>
          <cell r="I29">
            <v>3266.6739023280538</v>
          </cell>
          <cell r="J29">
            <v>443.16840823198186</v>
          </cell>
        </row>
        <row r="30">
          <cell r="A30">
            <v>13</v>
          </cell>
          <cell r="B30">
            <v>43586</v>
          </cell>
          <cell r="C30">
            <v>3266.6739023280538</v>
          </cell>
          <cell r="D30">
            <v>152.25260868051714</v>
          </cell>
          <cell r="E30">
            <v>0</v>
          </cell>
          <cell r="F30">
            <v>152.25260868051714</v>
          </cell>
          <cell r="G30">
            <v>122.30809790917665</v>
          </cell>
          <cell r="H30">
            <v>29.944510771340493</v>
          </cell>
          <cell r="I30">
            <v>3144.3658044188774</v>
          </cell>
          <cell r="J30">
            <v>473.11291900332236</v>
          </cell>
        </row>
        <row r="31">
          <cell r="A31">
            <v>14</v>
          </cell>
          <cell r="B31">
            <v>43617</v>
          </cell>
          <cell r="C31">
            <v>3144.3658044188774</v>
          </cell>
          <cell r="D31">
            <v>152.25260868051714</v>
          </cell>
          <cell r="E31">
            <v>0</v>
          </cell>
          <cell r="F31">
            <v>152.25260868051714</v>
          </cell>
          <cell r="G31">
            <v>123.4292554733441</v>
          </cell>
          <cell r="H31">
            <v>28.823353207173042</v>
          </cell>
          <cell r="I31">
            <v>3020.9365489455331</v>
          </cell>
          <cell r="J31">
            <v>501.93627221049542</v>
          </cell>
        </row>
        <row r="32">
          <cell r="A32">
            <v>15</v>
          </cell>
          <cell r="B32">
            <v>43647</v>
          </cell>
          <cell r="C32">
            <v>3020.9365489455331</v>
          </cell>
          <cell r="D32">
            <v>152.25260868051714</v>
          </cell>
          <cell r="E32">
            <v>0</v>
          </cell>
          <cell r="F32">
            <v>152.25260868051714</v>
          </cell>
          <cell r="G32">
            <v>124.56069031518309</v>
          </cell>
          <cell r="H32">
            <v>27.69191836533405</v>
          </cell>
          <cell r="I32">
            <v>2896.3758586303502</v>
          </cell>
          <cell r="J32">
            <v>529.62819057582942</v>
          </cell>
        </row>
        <row r="33">
          <cell r="A33">
            <v>16</v>
          </cell>
          <cell r="B33">
            <v>43678</v>
          </cell>
          <cell r="C33">
            <v>2896.3758586303502</v>
          </cell>
          <cell r="D33">
            <v>152.25260868051714</v>
          </cell>
          <cell r="E33">
            <v>0</v>
          </cell>
          <cell r="F33">
            <v>152.25260868051714</v>
          </cell>
          <cell r="G33">
            <v>125.70249664307227</v>
          </cell>
          <cell r="H33">
            <v>26.550112037444876</v>
          </cell>
          <cell r="I33">
            <v>2770.673361987278</v>
          </cell>
          <cell r="J33">
            <v>556.17830261327435</v>
          </cell>
        </row>
        <row r="34">
          <cell r="A34">
            <v>17</v>
          </cell>
          <cell r="B34">
            <v>43709</v>
          </cell>
          <cell r="C34">
            <v>2770.673361987278</v>
          </cell>
          <cell r="D34">
            <v>152.25260868051714</v>
          </cell>
          <cell r="E34">
            <v>0</v>
          </cell>
          <cell r="F34">
            <v>152.25260868051714</v>
          </cell>
          <cell r="G34">
            <v>126.8547695289671</v>
          </cell>
          <cell r="H34">
            <v>25.397839151550048</v>
          </cell>
          <cell r="I34">
            <v>2643.8185924583108</v>
          </cell>
          <cell r="J34">
            <v>581.57614176482446</v>
          </cell>
        </row>
        <row r="35">
          <cell r="A35">
            <v>18</v>
          </cell>
          <cell r="B35">
            <v>43739</v>
          </cell>
          <cell r="C35">
            <v>2643.8185924583108</v>
          </cell>
          <cell r="D35">
            <v>152.25260868051714</v>
          </cell>
          <cell r="E35">
            <v>0</v>
          </cell>
          <cell r="F35">
            <v>152.25260868051714</v>
          </cell>
          <cell r="G35">
            <v>128.01760491631597</v>
          </cell>
          <cell r="H35">
            <v>24.235003764201181</v>
          </cell>
          <cell r="I35">
            <v>2515.8009875419948</v>
          </cell>
          <cell r="J35">
            <v>605.81114552902568</v>
          </cell>
        </row>
        <row r="36">
          <cell r="A36">
            <v>19</v>
          </cell>
          <cell r="B36">
            <v>43770</v>
          </cell>
          <cell r="C36">
            <v>2515.8009875419948</v>
          </cell>
          <cell r="D36">
            <v>152.25260868051714</v>
          </cell>
          <cell r="E36">
            <v>0</v>
          </cell>
          <cell r="F36">
            <v>152.25260868051714</v>
          </cell>
          <cell r="G36">
            <v>129.19109962804885</v>
          </cell>
          <cell r="H36">
            <v>23.061509052468285</v>
          </cell>
          <cell r="I36">
            <v>2386.6098879139458</v>
          </cell>
          <cell r="J36">
            <v>628.87265458149398</v>
          </cell>
        </row>
        <row r="37">
          <cell r="A37">
            <v>20</v>
          </cell>
          <cell r="B37">
            <v>43800</v>
          </cell>
          <cell r="C37">
            <v>2386.6098879139458</v>
          </cell>
          <cell r="D37">
            <v>152.25260868051714</v>
          </cell>
          <cell r="E37">
            <v>0</v>
          </cell>
          <cell r="F37">
            <v>152.25260868051714</v>
          </cell>
          <cell r="G37">
            <v>130.37535137463931</v>
          </cell>
          <cell r="H37">
            <v>21.877257305877837</v>
          </cell>
          <cell r="I37">
            <v>2256.2345365393066</v>
          </cell>
          <cell r="J37">
            <v>650.74991188737181</v>
          </cell>
        </row>
        <row r="38">
          <cell r="A38">
            <v>21</v>
          </cell>
          <cell r="B38">
            <v>43831</v>
          </cell>
          <cell r="C38">
            <v>2256.2345365393066</v>
          </cell>
          <cell r="D38">
            <v>152.25260868051714</v>
          </cell>
          <cell r="E38">
            <v>0</v>
          </cell>
          <cell r="F38">
            <v>152.25260868051714</v>
          </cell>
          <cell r="G38">
            <v>131.57045876224015</v>
          </cell>
          <cell r="H38">
            <v>20.682149918276977</v>
          </cell>
          <cell r="I38">
            <v>2124.6640777770663</v>
          </cell>
          <cell r="J38">
            <v>671.4320618056488</v>
          </cell>
        </row>
        <row r="39">
          <cell r="A39">
            <v>22</v>
          </cell>
          <cell r="B39">
            <v>43862</v>
          </cell>
          <cell r="C39">
            <v>2124.6640777770663</v>
          </cell>
          <cell r="D39">
            <v>152.25260868051714</v>
          </cell>
          <cell r="E39">
            <v>0</v>
          </cell>
          <cell r="F39">
            <v>152.25260868051714</v>
          </cell>
          <cell r="G39">
            <v>132.77652130089405</v>
          </cell>
          <cell r="H39">
            <v>19.476087379623106</v>
          </cell>
          <cell r="I39">
            <v>1991.8875564761722</v>
          </cell>
          <cell r="J39">
            <v>690.9081491852719</v>
          </cell>
        </row>
        <row r="40">
          <cell r="A40">
            <v>23</v>
          </cell>
          <cell r="B40">
            <v>43891</v>
          </cell>
          <cell r="C40">
            <v>1991.8875564761722</v>
          </cell>
          <cell r="D40">
            <v>152.25260868051714</v>
          </cell>
          <cell r="E40">
            <v>0</v>
          </cell>
          <cell r="F40">
            <v>152.25260868051714</v>
          </cell>
          <cell r="G40">
            <v>133.99363941281891</v>
          </cell>
          <cell r="H40">
            <v>18.258969267698244</v>
          </cell>
          <cell r="I40">
            <v>1857.8939170633532</v>
          </cell>
          <cell r="J40">
            <v>709.16711845297016</v>
          </cell>
        </row>
        <row r="41">
          <cell r="A41">
            <v>24</v>
          </cell>
          <cell r="B41">
            <v>43922</v>
          </cell>
          <cell r="C41">
            <v>1857.8939170633532</v>
          </cell>
          <cell r="D41">
            <v>152.25260868051714</v>
          </cell>
          <cell r="E41">
            <v>0</v>
          </cell>
          <cell r="F41">
            <v>152.25260868051714</v>
          </cell>
          <cell r="G41">
            <v>135.22191444076975</v>
          </cell>
          <cell r="H41">
            <v>17.030694239747405</v>
          </cell>
          <cell r="I41">
            <v>1722.6720026225835</v>
          </cell>
          <cell r="J41">
            <v>726.19781269271755</v>
          </cell>
        </row>
        <row r="42">
          <cell r="A42">
            <v>25</v>
          </cell>
          <cell r="B42">
            <v>43952</v>
          </cell>
          <cell r="C42">
            <v>1722.6720026225835</v>
          </cell>
          <cell r="D42">
            <v>152.25260868051714</v>
          </cell>
          <cell r="E42">
            <v>0</v>
          </cell>
          <cell r="F42">
            <v>152.25260868051714</v>
          </cell>
          <cell r="G42">
            <v>136.46144865647679</v>
          </cell>
          <cell r="H42">
            <v>15.79116002404035</v>
          </cell>
          <cell r="I42">
            <v>1586.2105539661068</v>
          </cell>
          <cell r="J42">
            <v>741.98897271675787</v>
          </cell>
        </row>
        <row r="43">
          <cell r="A43">
            <v>26</v>
          </cell>
          <cell r="B43">
            <v>43983</v>
          </cell>
          <cell r="C43">
            <v>1586.2105539661068</v>
          </cell>
          <cell r="D43">
            <v>152.25260868051714</v>
          </cell>
          <cell r="E43">
            <v>0</v>
          </cell>
          <cell r="F43">
            <v>152.25260868051714</v>
          </cell>
          <cell r="G43">
            <v>137.71234526916118</v>
          </cell>
          <cell r="H43">
            <v>14.54026341135598</v>
          </cell>
          <cell r="I43">
            <v>1448.4982086969455</v>
          </cell>
          <cell r="J43">
            <v>756.52923612811389</v>
          </cell>
        </row>
        <row r="44">
          <cell r="A44">
            <v>27</v>
          </cell>
          <cell r="B44">
            <v>44013</v>
          </cell>
          <cell r="C44">
            <v>1448.4982086969455</v>
          </cell>
          <cell r="D44">
            <v>152.25260868051714</v>
          </cell>
          <cell r="E44">
            <v>0</v>
          </cell>
          <cell r="F44">
            <v>152.25260868051714</v>
          </cell>
          <cell r="G44">
            <v>138.97470843412847</v>
          </cell>
          <cell r="H44">
            <v>13.277900246388668</v>
          </cell>
          <cell r="I44">
            <v>1309.5235002628172</v>
          </cell>
          <cell r="J44">
            <v>769.80713637450253</v>
          </cell>
        </row>
        <row r="45">
          <cell r="A45">
            <v>28</v>
          </cell>
          <cell r="B45">
            <v>44044</v>
          </cell>
          <cell r="C45">
            <v>1309.5235002628172</v>
          </cell>
          <cell r="D45">
            <v>152.25260868051714</v>
          </cell>
          <cell r="E45">
            <v>0</v>
          </cell>
          <cell r="F45">
            <v>152.25260868051714</v>
          </cell>
          <cell r="G45">
            <v>140.24864326144132</v>
          </cell>
          <cell r="H45">
            <v>12.003965419075824</v>
          </cell>
          <cell r="I45">
            <v>1169.2748570013759</v>
          </cell>
          <cell r="J45">
            <v>781.81110179357836</v>
          </cell>
        </row>
        <row r="46">
          <cell r="A46">
            <v>29</v>
          </cell>
          <cell r="B46">
            <v>44075</v>
          </cell>
          <cell r="C46">
            <v>1169.2748570013759</v>
          </cell>
          <cell r="D46">
            <v>152.25260868051714</v>
          </cell>
          <cell r="E46">
            <v>0</v>
          </cell>
          <cell r="F46">
            <v>152.25260868051714</v>
          </cell>
          <cell r="G46">
            <v>141.53425582467119</v>
          </cell>
          <cell r="H46">
            <v>10.718352855845945</v>
          </cell>
          <cell r="I46">
            <v>1027.7406011767048</v>
          </cell>
          <cell r="J46">
            <v>792.52945464942434</v>
          </cell>
        </row>
        <row r="47">
          <cell r="A47">
            <v>30</v>
          </cell>
          <cell r="B47">
            <v>44105</v>
          </cell>
          <cell r="C47">
            <v>1027.7406011767048</v>
          </cell>
          <cell r="D47">
            <v>152.25260868051714</v>
          </cell>
          <cell r="E47">
            <v>0</v>
          </cell>
          <cell r="F47">
            <v>152.25260868051714</v>
          </cell>
          <cell r="G47">
            <v>142.83165316973069</v>
          </cell>
          <cell r="H47">
            <v>9.4209555107864613</v>
          </cell>
          <cell r="I47">
            <v>884.90894800697413</v>
          </cell>
          <cell r="J47">
            <v>801.95041016021082</v>
          </cell>
        </row>
        <row r="48">
          <cell r="A48">
            <v>31</v>
          </cell>
          <cell r="B48">
            <v>44136</v>
          </cell>
          <cell r="C48">
            <v>884.90894800697413</v>
          </cell>
          <cell r="D48">
            <v>152.25260868051714</v>
          </cell>
          <cell r="E48">
            <v>0</v>
          </cell>
          <cell r="F48">
            <v>152.25260868051714</v>
          </cell>
          <cell r="G48">
            <v>144.14094332378656</v>
          </cell>
          <cell r="H48">
            <v>8.1116653567305956</v>
          </cell>
          <cell r="I48">
            <v>740.76800468318754</v>
          </cell>
          <cell r="J48">
            <v>810.06207551694138</v>
          </cell>
        </row>
        <row r="49">
          <cell r="A49">
            <v>32</v>
          </cell>
          <cell r="B49">
            <v>44166</v>
          </cell>
          <cell r="C49">
            <v>740.76800468318754</v>
          </cell>
          <cell r="D49">
            <v>152.25260868051714</v>
          </cell>
          <cell r="E49">
            <v>0</v>
          </cell>
          <cell r="F49">
            <v>152.25260868051714</v>
          </cell>
          <cell r="G49">
            <v>145.46223530425459</v>
          </cell>
          <cell r="H49">
            <v>6.7903733762625533</v>
          </cell>
          <cell r="I49">
            <v>595.30576937893295</v>
          </cell>
          <cell r="J49">
            <v>816.85244889320393</v>
          </cell>
        </row>
        <row r="50">
          <cell r="A50">
            <v>33</v>
          </cell>
          <cell r="B50">
            <v>44197</v>
          </cell>
          <cell r="C50">
            <v>595.30576937893295</v>
          </cell>
          <cell r="D50">
            <v>152.25260868051714</v>
          </cell>
          <cell r="E50">
            <v>0</v>
          </cell>
          <cell r="F50">
            <v>152.25260868051714</v>
          </cell>
          <cell r="G50">
            <v>146.79563912787691</v>
          </cell>
          <cell r="H50">
            <v>5.456969552640218</v>
          </cell>
          <cell r="I50">
            <v>448.51013025105601</v>
          </cell>
          <cell r="J50">
            <v>822.30941844584413</v>
          </cell>
        </row>
        <row r="51">
          <cell r="A51">
            <v>34</v>
          </cell>
          <cell r="B51">
            <v>44228</v>
          </cell>
          <cell r="C51">
            <v>448.51013025105601</v>
          </cell>
          <cell r="D51">
            <v>152.25260868051714</v>
          </cell>
          <cell r="E51">
            <v>0</v>
          </cell>
          <cell r="F51">
            <v>152.25260868051714</v>
          </cell>
          <cell r="G51">
            <v>148.14126581988245</v>
          </cell>
          <cell r="H51">
            <v>4.1113428606346796</v>
          </cell>
          <cell r="I51">
            <v>300.36886443117356</v>
          </cell>
          <cell r="J51">
            <v>826.42076130647877</v>
          </cell>
        </row>
        <row r="52">
          <cell r="A52">
            <v>35</v>
          </cell>
          <cell r="B52">
            <v>44256</v>
          </cell>
          <cell r="C52">
            <v>300.36886443117356</v>
          </cell>
          <cell r="D52">
            <v>152.25260868051714</v>
          </cell>
          <cell r="E52">
            <v>0</v>
          </cell>
          <cell r="F52">
            <v>152.25260868051714</v>
          </cell>
          <cell r="G52">
            <v>149.49922742323139</v>
          </cell>
          <cell r="H52">
            <v>2.7533812572857577</v>
          </cell>
          <cell r="I52">
            <v>150.86963700794217</v>
          </cell>
          <cell r="J52">
            <v>829.17414256376458</v>
          </cell>
        </row>
        <row r="53">
          <cell r="A53">
            <v>36</v>
          </cell>
          <cell r="B53">
            <v>44287</v>
          </cell>
          <cell r="C53">
            <v>150.86963700794217</v>
          </cell>
          <cell r="D53">
            <v>152.25260868051714</v>
          </cell>
          <cell r="E53">
            <v>0</v>
          </cell>
          <cell r="F53">
            <v>150.86963700794217</v>
          </cell>
          <cell r="G53">
            <v>149.48666533536937</v>
          </cell>
          <cell r="H53">
            <v>1.3829716725728032</v>
          </cell>
          <cell r="I53">
            <v>0</v>
          </cell>
          <cell r="J53">
            <v>830.55711423633738</v>
          </cell>
        </row>
        <row r="54">
          <cell r="A54">
            <v>37</v>
          </cell>
          <cell r="B54">
            <v>44317</v>
          </cell>
          <cell r="C54">
            <v>0</v>
          </cell>
          <cell r="D54">
            <v>152.25260868051714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830.55711423633738</v>
          </cell>
        </row>
        <row r="55">
          <cell r="A55">
            <v>38</v>
          </cell>
          <cell r="B55">
            <v>44348</v>
          </cell>
          <cell r="C55">
            <v>0</v>
          </cell>
          <cell r="D55">
            <v>152.25260868051714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830.55711423633738</v>
          </cell>
        </row>
        <row r="56">
          <cell r="A56">
            <v>39</v>
          </cell>
          <cell r="B56">
            <v>44378</v>
          </cell>
          <cell r="C56">
            <v>0</v>
          </cell>
          <cell r="D56">
            <v>152.25260868051714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830.55711423633738</v>
          </cell>
        </row>
        <row r="57">
          <cell r="A57">
            <v>40</v>
          </cell>
          <cell r="B57">
            <v>44409</v>
          </cell>
          <cell r="C57">
            <v>0</v>
          </cell>
          <cell r="D57">
            <v>152.25260868051714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830.55711423633738</v>
          </cell>
        </row>
        <row r="58">
          <cell r="A58">
            <v>41</v>
          </cell>
          <cell r="B58">
            <v>44440</v>
          </cell>
          <cell r="C58">
            <v>0</v>
          </cell>
          <cell r="D58">
            <v>152.25260868051714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830.55711423633738</v>
          </cell>
        </row>
        <row r="59">
          <cell r="A59">
            <v>42</v>
          </cell>
          <cell r="B59">
            <v>44470</v>
          </cell>
          <cell r="C59">
            <v>0</v>
          </cell>
          <cell r="D59">
            <v>152.25260868051714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830.55711423633738</v>
          </cell>
        </row>
        <row r="60">
          <cell r="A60">
            <v>43</v>
          </cell>
          <cell r="B60">
            <v>44501</v>
          </cell>
          <cell r="C60">
            <v>0</v>
          </cell>
          <cell r="D60">
            <v>152.25260868051714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830.55711423633738</v>
          </cell>
        </row>
        <row r="61">
          <cell r="A61">
            <v>44</v>
          </cell>
          <cell r="B61">
            <v>44531</v>
          </cell>
          <cell r="C61">
            <v>0</v>
          </cell>
          <cell r="D61">
            <v>152.25260868051714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830.55711423633738</v>
          </cell>
        </row>
        <row r="62">
          <cell r="A62">
            <v>45</v>
          </cell>
          <cell r="B62">
            <v>44562</v>
          </cell>
          <cell r="C62">
            <v>0</v>
          </cell>
          <cell r="D62">
            <v>152.25260868051714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830.55711423633738</v>
          </cell>
        </row>
        <row r="63">
          <cell r="A63">
            <v>46</v>
          </cell>
          <cell r="B63">
            <v>44593</v>
          </cell>
          <cell r="C63">
            <v>0</v>
          </cell>
          <cell r="D63">
            <v>152.25260868051714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830.55711423633738</v>
          </cell>
        </row>
        <row r="64">
          <cell r="A64">
            <v>47</v>
          </cell>
          <cell r="B64">
            <v>44621</v>
          </cell>
          <cell r="C64">
            <v>0</v>
          </cell>
          <cell r="D64">
            <v>152.25260868051714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830.55711423633738</v>
          </cell>
        </row>
        <row r="65">
          <cell r="A65">
            <v>48</v>
          </cell>
          <cell r="B65">
            <v>44652</v>
          </cell>
          <cell r="C65">
            <v>0</v>
          </cell>
          <cell r="D65">
            <v>152.25260868051714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830.55711423633738</v>
          </cell>
        </row>
        <row r="66">
          <cell r="A66">
            <v>49</v>
          </cell>
          <cell r="B66">
            <v>44682</v>
          </cell>
          <cell r="C66">
            <v>0</v>
          </cell>
          <cell r="D66">
            <v>152.25260868051714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830.55711423633738</v>
          </cell>
        </row>
        <row r="67">
          <cell r="A67">
            <v>50</v>
          </cell>
          <cell r="B67">
            <v>44713</v>
          </cell>
          <cell r="C67">
            <v>0</v>
          </cell>
          <cell r="D67">
            <v>152.25260868051714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830.55711423633738</v>
          </cell>
        </row>
        <row r="68">
          <cell r="A68">
            <v>51</v>
          </cell>
          <cell r="B68">
            <v>44743</v>
          </cell>
          <cell r="C68">
            <v>0</v>
          </cell>
          <cell r="D68">
            <v>152.25260868051714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830.55711423633738</v>
          </cell>
        </row>
        <row r="69">
          <cell r="A69">
            <v>52</v>
          </cell>
          <cell r="B69">
            <v>44774</v>
          </cell>
          <cell r="C69">
            <v>0</v>
          </cell>
          <cell r="D69">
            <v>152.25260868051714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830.55711423633738</v>
          </cell>
        </row>
        <row r="70">
          <cell r="A70">
            <v>53</v>
          </cell>
          <cell r="B70">
            <v>44805</v>
          </cell>
          <cell r="C70">
            <v>0</v>
          </cell>
          <cell r="D70">
            <v>152.25260868051714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830.55711423633738</v>
          </cell>
        </row>
        <row r="71">
          <cell r="A71">
            <v>54</v>
          </cell>
          <cell r="B71">
            <v>44835</v>
          </cell>
          <cell r="C71">
            <v>0</v>
          </cell>
          <cell r="D71">
            <v>152.25260868051714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830.55711423633738</v>
          </cell>
        </row>
        <row r="72">
          <cell r="A72">
            <v>55</v>
          </cell>
          <cell r="B72">
            <v>44866</v>
          </cell>
          <cell r="C72">
            <v>0</v>
          </cell>
          <cell r="D72">
            <v>152.25260868051714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830.55711423633738</v>
          </cell>
        </row>
        <row r="73">
          <cell r="A73">
            <v>56</v>
          </cell>
          <cell r="B73">
            <v>44896</v>
          </cell>
          <cell r="C73">
            <v>0</v>
          </cell>
          <cell r="D73">
            <v>152.25260868051714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830.55711423633738</v>
          </cell>
        </row>
        <row r="74">
          <cell r="A74">
            <v>57</v>
          </cell>
          <cell r="B74">
            <v>44927</v>
          </cell>
          <cell r="C74">
            <v>0</v>
          </cell>
          <cell r="D74">
            <v>152.25260868051714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830.55711423633738</v>
          </cell>
        </row>
        <row r="75">
          <cell r="A75">
            <v>58</v>
          </cell>
          <cell r="B75">
            <v>44958</v>
          </cell>
          <cell r="C75">
            <v>0</v>
          </cell>
          <cell r="D75">
            <v>152.25260868051714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830.55711423633738</v>
          </cell>
        </row>
        <row r="76">
          <cell r="A76">
            <v>59</v>
          </cell>
          <cell r="B76">
            <v>44986</v>
          </cell>
          <cell r="C76">
            <v>0</v>
          </cell>
          <cell r="D76">
            <v>152.25260868051714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830.55711423633738</v>
          </cell>
        </row>
        <row r="77">
          <cell r="A77">
            <v>60</v>
          </cell>
          <cell r="B77">
            <v>45017</v>
          </cell>
          <cell r="C77">
            <v>0</v>
          </cell>
          <cell r="D77">
            <v>152.25260868051714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830.55711423633738</v>
          </cell>
        </row>
        <row r="78">
          <cell r="A78">
            <v>61</v>
          </cell>
          <cell r="B78">
            <v>45047</v>
          </cell>
          <cell r="C78">
            <v>0</v>
          </cell>
          <cell r="D78">
            <v>152.25260868051714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830.55711423633738</v>
          </cell>
        </row>
        <row r="79">
          <cell r="A79">
            <v>62</v>
          </cell>
          <cell r="B79">
            <v>45078</v>
          </cell>
          <cell r="C79">
            <v>0</v>
          </cell>
          <cell r="D79">
            <v>152.25260868051714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830.55711423633738</v>
          </cell>
        </row>
        <row r="80">
          <cell r="A80">
            <v>63</v>
          </cell>
          <cell r="B80">
            <v>45108</v>
          </cell>
          <cell r="C80">
            <v>0</v>
          </cell>
          <cell r="D80">
            <v>152.25260868051714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830.55711423633738</v>
          </cell>
        </row>
        <row r="81">
          <cell r="A81">
            <v>64</v>
          </cell>
          <cell r="B81">
            <v>45139</v>
          </cell>
          <cell r="C81">
            <v>0</v>
          </cell>
          <cell r="D81">
            <v>152.25260868051714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830.55711423633738</v>
          </cell>
        </row>
        <row r="82">
          <cell r="A82">
            <v>65</v>
          </cell>
          <cell r="B82">
            <v>45170</v>
          </cell>
          <cell r="C82">
            <v>0</v>
          </cell>
          <cell r="D82">
            <v>152.25260868051714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830.55711423633738</v>
          </cell>
        </row>
        <row r="83">
          <cell r="A83">
            <v>66</v>
          </cell>
          <cell r="B83">
            <v>45200</v>
          </cell>
          <cell r="C83">
            <v>0</v>
          </cell>
          <cell r="D83">
            <v>152.25260868051714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830.55711423633738</v>
          </cell>
        </row>
        <row r="84">
          <cell r="A84">
            <v>67</v>
          </cell>
          <cell r="B84">
            <v>45231</v>
          </cell>
          <cell r="C84">
            <v>0</v>
          </cell>
          <cell r="D84">
            <v>152.25260868051714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830.55711423633738</v>
          </cell>
        </row>
        <row r="85">
          <cell r="A85">
            <v>68</v>
          </cell>
          <cell r="B85">
            <v>45261</v>
          </cell>
          <cell r="C85">
            <v>0</v>
          </cell>
          <cell r="D85">
            <v>152.25260868051714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830.55711423633738</v>
          </cell>
        </row>
        <row r="86">
          <cell r="A86">
            <v>69</v>
          </cell>
          <cell r="B86">
            <v>45292</v>
          </cell>
          <cell r="C86">
            <v>0</v>
          </cell>
          <cell r="D86">
            <v>152.25260868051714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830.55711423633738</v>
          </cell>
        </row>
        <row r="87">
          <cell r="A87">
            <v>70</v>
          </cell>
          <cell r="B87">
            <v>45323</v>
          </cell>
          <cell r="C87">
            <v>0</v>
          </cell>
          <cell r="D87">
            <v>152.25260868051714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830.55711423633738</v>
          </cell>
        </row>
        <row r="88">
          <cell r="A88">
            <v>71</v>
          </cell>
          <cell r="B88">
            <v>45352</v>
          </cell>
          <cell r="C88">
            <v>0</v>
          </cell>
          <cell r="D88">
            <v>152.25260868051714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830.55711423633738</v>
          </cell>
        </row>
        <row r="89">
          <cell r="A89">
            <v>72</v>
          </cell>
          <cell r="B89">
            <v>45383</v>
          </cell>
          <cell r="C89">
            <v>0</v>
          </cell>
          <cell r="D89">
            <v>152.25260868051714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830.55711423633738</v>
          </cell>
        </row>
        <row r="90">
          <cell r="A90">
            <v>73</v>
          </cell>
          <cell r="B90">
            <v>45413</v>
          </cell>
          <cell r="C90">
            <v>0</v>
          </cell>
          <cell r="D90">
            <v>152.25260868051714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830.55711423633738</v>
          </cell>
        </row>
        <row r="91">
          <cell r="A91">
            <v>74</v>
          </cell>
          <cell r="B91">
            <v>45444</v>
          </cell>
          <cell r="C91">
            <v>0</v>
          </cell>
          <cell r="D91">
            <v>152.25260868051714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830.55711423633738</v>
          </cell>
        </row>
        <row r="92">
          <cell r="A92">
            <v>75</v>
          </cell>
          <cell r="B92">
            <v>45474</v>
          </cell>
          <cell r="C92">
            <v>0</v>
          </cell>
          <cell r="D92">
            <v>152.25260868051714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830.55711423633738</v>
          </cell>
        </row>
        <row r="93">
          <cell r="A93">
            <v>76</v>
          </cell>
          <cell r="B93">
            <v>45505</v>
          </cell>
          <cell r="C93">
            <v>0</v>
          </cell>
          <cell r="D93">
            <v>152.25260868051714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830.55711423633738</v>
          </cell>
        </row>
        <row r="94">
          <cell r="A94">
            <v>77</v>
          </cell>
          <cell r="B94">
            <v>45536</v>
          </cell>
          <cell r="C94">
            <v>0</v>
          </cell>
          <cell r="D94">
            <v>152.25260868051714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830.55711423633738</v>
          </cell>
        </row>
        <row r="95">
          <cell r="A95">
            <v>78</v>
          </cell>
          <cell r="B95">
            <v>45566</v>
          </cell>
          <cell r="C95">
            <v>0</v>
          </cell>
          <cell r="D95">
            <v>152.25260868051714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830.55711423633738</v>
          </cell>
        </row>
        <row r="96">
          <cell r="A96">
            <v>79</v>
          </cell>
          <cell r="B96">
            <v>45597</v>
          </cell>
          <cell r="C96">
            <v>0</v>
          </cell>
          <cell r="D96">
            <v>152.25260868051714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830.55711423633738</v>
          </cell>
        </row>
        <row r="97">
          <cell r="A97">
            <v>80</v>
          </cell>
          <cell r="B97">
            <v>45627</v>
          </cell>
          <cell r="C97">
            <v>0</v>
          </cell>
          <cell r="D97">
            <v>152.25260868051714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830.55711423633738</v>
          </cell>
        </row>
        <row r="98">
          <cell r="A98">
            <v>81</v>
          </cell>
          <cell r="B98">
            <v>45658</v>
          </cell>
          <cell r="C98">
            <v>0</v>
          </cell>
          <cell r="D98">
            <v>152.25260868051714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830.55711423633738</v>
          </cell>
        </row>
        <row r="99">
          <cell r="A99">
            <v>82</v>
          </cell>
          <cell r="B99">
            <v>45689</v>
          </cell>
          <cell r="C99">
            <v>0</v>
          </cell>
          <cell r="D99">
            <v>152.25260868051714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830.55711423633738</v>
          </cell>
        </row>
        <row r="100">
          <cell r="A100">
            <v>83</v>
          </cell>
          <cell r="B100">
            <v>45717</v>
          </cell>
          <cell r="C100">
            <v>0</v>
          </cell>
          <cell r="D100">
            <v>152.25260868051714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830.55711423633738</v>
          </cell>
        </row>
        <row r="101">
          <cell r="A101">
            <v>84</v>
          </cell>
          <cell r="B101">
            <v>45748</v>
          </cell>
          <cell r="C101">
            <v>0</v>
          </cell>
          <cell r="D101">
            <v>152.25260868051714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830.55711423633738</v>
          </cell>
        </row>
        <row r="102">
          <cell r="A102">
            <v>85</v>
          </cell>
          <cell r="B102">
            <v>45778</v>
          </cell>
          <cell r="C102">
            <v>0</v>
          </cell>
          <cell r="D102">
            <v>152.25260868051714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830.55711423633738</v>
          </cell>
        </row>
        <row r="103">
          <cell r="A103">
            <v>86</v>
          </cell>
          <cell r="B103">
            <v>45809</v>
          </cell>
          <cell r="C103">
            <v>0</v>
          </cell>
          <cell r="D103">
            <v>152.25260868051714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830.55711423633738</v>
          </cell>
        </row>
        <row r="104">
          <cell r="A104">
            <v>87</v>
          </cell>
          <cell r="B104">
            <v>45839</v>
          </cell>
          <cell r="C104">
            <v>0</v>
          </cell>
          <cell r="D104">
            <v>152.25260868051714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830.55711423633738</v>
          </cell>
        </row>
        <row r="105">
          <cell r="A105">
            <v>88</v>
          </cell>
          <cell r="B105">
            <v>45870</v>
          </cell>
          <cell r="C105">
            <v>0</v>
          </cell>
          <cell r="D105">
            <v>152.25260868051714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830.55711423633738</v>
          </cell>
        </row>
        <row r="106">
          <cell r="A106">
            <v>89</v>
          </cell>
          <cell r="B106">
            <v>45901</v>
          </cell>
          <cell r="C106">
            <v>0</v>
          </cell>
          <cell r="D106">
            <v>152.25260868051714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830.55711423633738</v>
          </cell>
        </row>
        <row r="107">
          <cell r="A107">
            <v>90</v>
          </cell>
          <cell r="B107">
            <v>45931</v>
          </cell>
          <cell r="C107">
            <v>0</v>
          </cell>
          <cell r="D107">
            <v>152.25260868051714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830.55711423633738</v>
          </cell>
        </row>
        <row r="108">
          <cell r="A108">
            <v>91</v>
          </cell>
          <cell r="B108">
            <v>45962</v>
          </cell>
          <cell r="C108">
            <v>0</v>
          </cell>
          <cell r="D108">
            <v>152.25260868051714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830.55711423633738</v>
          </cell>
        </row>
        <row r="109">
          <cell r="A109">
            <v>92</v>
          </cell>
          <cell r="B109">
            <v>45992</v>
          </cell>
          <cell r="C109">
            <v>0</v>
          </cell>
          <cell r="D109">
            <v>152.25260868051714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830.55711423633738</v>
          </cell>
        </row>
        <row r="110">
          <cell r="A110">
            <v>93</v>
          </cell>
          <cell r="B110">
            <v>46023</v>
          </cell>
          <cell r="C110">
            <v>0</v>
          </cell>
          <cell r="D110">
            <v>152.25260868051714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830.55711423633738</v>
          </cell>
        </row>
        <row r="111">
          <cell r="A111">
            <v>94</v>
          </cell>
          <cell r="B111">
            <v>46054</v>
          </cell>
          <cell r="C111">
            <v>0</v>
          </cell>
          <cell r="D111">
            <v>152.25260868051714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830.55711423633738</v>
          </cell>
        </row>
        <row r="112">
          <cell r="A112">
            <v>95</v>
          </cell>
          <cell r="B112">
            <v>46082</v>
          </cell>
          <cell r="C112">
            <v>0</v>
          </cell>
          <cell r="D112">
            <v>152.25260868051714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830.55711423633738</v>
          </cell>
        </row>
        <row r="113">
          <cell r="A113">
            <v>96</v>
          </cell>
          <cell r="B113">
            <v>46113</v>
          </cell>
          <cell r="C113">
            <v>0</v>
          </cell>
          <cell r="D113">
            <v>152.25260868051714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830.55711423633738</v>
          </cell>
        </row>
        <row r="114">
          <cell r="A114">
            <v>97</v>
          </cell>
          <cell r="B114">
            <v>46143</v>
          </cell>
          <cell r="C114">
            <v>0</v>
          </cell>
          <cell r="D114">
            <v>152.25260868051714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830.55711423633738</v>
          </cell>
        </row>
        <row r="115">
          <cell r="A115">
            <v>98</v>
          </cell>
          <cell r="B115">
            <v>46174</v>
          </cell>
          <cell r="C115">
            <v>0</v>
          </cell>
          <cell r="D115">
            <v>152.25260868051714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830.55711423633738</v>
          </cell>
        </row>
        <row r="116">
          <cell r="A116">
            <v>99</v>
          </cell>
          <cell r="B116">
            <v>46204</v>
          </cell>
          <cell r="C116">
            <v>0</v>
          </cell>
          <cell r="D116">
            <v>152.25260868051714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830.55711423633738</v>
          </cell>
        </row>
        <row r="117">
          <cell r="A117">
            <v>100</v>
          </cell>
          <cell r="B117">
            <v>46235</v>
          </cell>
          <cell r="C117">
            <v>0</v>
          </cell>
          <cell r="D117">
            <v>152.25260868051714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830.55711423633738</v>
          </cell>
        </row>
        <row r="118">
          <cell r="A118">
            <v>101</v>
          </cell>
          <cell r="B118">
            <v>46266</v>
          </cell>
          <cell r="C118">
            <v>0</v>
          </cell>
          <cell r="D118">
            <v>152.25260868051714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830.55711423633738</v>
          </cell>
        </row>
        <row r="119">
          <cell r="A119">
            <v>102</v>
          </cell>
          <cell r="B119">
            <v>46296</v>
          </cell>
          <cell r="C119">
            <v>0</v>
          </cell>
          <cell r="D119">
            <v>152.25260868051714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830.55711423633738</v>
          </cell>
        </row>
        <row r="120">
          <cell r="A120">
            <v>103</v>
          </cell>
          <cell r="B120">
            <v>46327</v>
          </cell>
          <cell r="C120">
            <v>0</v>
          </cell>
          <cell r="D120">
            <v>152.25260868051714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830.55711423633738</v>
          </cell>
        </row>
        <row r="121">
          <cell r="A121">
            <v>104</v>
          </cell>
          <cell r="B121">
            <v>46357</v>
          </cell>
          <cell r="C121">
            <v>0</v>
          </cell>
          <cell r="D121">
            <v>152.25260868051714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830.55711423633738</v>
          </cell>
        </row>
        <row r="122">
          <cell r="A122">
            <v>105</v>
          </cell>
          <cell r="B122">
            <v>46388</v>
          </cell>
          <cell r="C122">
            <v>0</v>
          </cell>
          <cell r="D122">
            <v>152.25260868051714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830.55711423633738</v>
          </cell>
        </row>
        <row r="123">
          <cell r="A123">
            <v>106</v>
          </cell>
          <cell r="B123">
            <v>46419</v>
          </cell>
          <cell r="C123">
            <v>0</v>
          </cell>
          <cell r="D123">
            <v>152.25260868051714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830.55711423633738</v>
          </cell>
        </row>
        <row r="124">
          <cell r="A124">
            <v>107</v>
          </cell>
          <cell r="B124">
            <v>46447</v>
          </cell>
          <cell r="C124">
            <v>0</v>
          </cell>
          <cell r="D124">
            <v>152.25260868051714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830.55711423633738</v>
          </cell>
        </row>
        <row r="125">
          <cell r="A125">
            <v>108</v>
          </cell>
          <cell r="B125">
            <v>46478</v>
          </cell>
          <cell r="C125">
            <v>0</v>
          </cell>
          <cell r="D125">
            <v>152.25260868051714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830.55711423633738</v>
          </cell>
        </row>
        <row r="126">
          <cell r="A126">
            <v>109</v>
          </cell>
          <cell r="B126">
            <v>46508</v>
          </cell>
          <cell r="C126">
            <v>0</v>
          </cell>
          <cell r="D126">
            <v>152.25260868051714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830.55711423633738</v>
          </cell>
        </row>
        <row r="127">
          <cell r="A127">
            <v>110</v>
          </cell>
          <cell r="B127">
            <v>46539</v>
          </cell>
          <cell r="C127">
            <v>0</v>
          </cell>
          <cell r="D127">
            <v>152.25260868051714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830.55711423633738</v>
          </cell>
        </row>
        <row r="128">
          <cell r="A128">
            <v>111</v>
          </cell>
          <cell r="B128">
            <v>46569</v>
          </cell>
          <cell r="C128">
            <v>0</v>
          </cell>
          <cell r="D128">
            <v>152.25260868051714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830.55711423633738</v>
          </cell>
        </row>
        <row r="129">
          <cell r="A129">
            <v>112</v>
          </cell>
          <cell r="B129">
            <v>46600</v>
          </cell>
          <cell r="C129">
            <v>0</v>
          </cell>
          <cell r="D129">
            <v>152.25260868051714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830.55711423633738</v>
          </cell>
        </row>
        <row r="130">
          <cell r="A130">
            <v>113</v>
          </cell>
          <cell r="B130">
            <v>46631</v>
          </cell>
          <cell r="C130">
            <v>0</v>
          </cell>
          <cell r="D130">
            <v>152.25260868051714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830.55711423633738</v>
          </cell>
        </row>
        <row r="131">
          <cell r="A131">
            <v>114</v>
          </cell>
          <cell r="B131">
            <v>46661</v>
          </cell>
          <cell r="C131">
            <v>0</v>
          </cell>
          <cell r="D131">
            <v>152.25260868051714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830.55711423633738</v>
          </cell>
        </row>
        <row r="132">
          <cell r="A132">
            <v>115</v>
          </cell>
          <cell r="B132">
            <v>46692</v>
          </cell>
          <cell r="C132">
            <v>0</v>
          </cell>
          <cell r="D132">
            <v>152.25260868051714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830.55711423633738</v>
          </cell>
        </row>
        <row r="133">
          <cell r="A133">
            <v>116</v>
          </cell>
          <cell r="B133">
            <v>46722</v>
          </cell>
          <cell r="C133">
            <v>0</v>
          </cell>
          <cell r="D133">
            <v>152.25260868051714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830.55711423633738</v>
          </cell>
        </row>
        <row r="134">
          <cell r="A134">
            <v>117</v>
          </cell>
          <cell r="B134">
            <v>46753</v>
          </cell>
          <cell r="C134">
            <v>0</v>
          </cell>
          <cell r="D134">
            <v>152.25260868051714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830.55711423633738</v>
          </cell>
        </row>
        <row r="135">
          <cell r="A135">
            <v>118</v>
          </cell>
          <cell r="B135">
            <v>46784</v>
          </cell>
          <cell r="C135">
            <v>0</v>
          </cell>
          <cell r="D135">
            <v>152.25260868051714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830.55711423633738</v>
          </cell>
        </row>
        <row r="136">
          <cell r="A136">
            <v>119</v>
          </cell>
          <cell r="B136">
            <v>46813</v>
          </cell>
          <cell r="C136">
            <v>0</v>
          </cell>
          <cell r="D136">
            <v>152.25260868051714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830.55711423633738</v>
          </cell>
        </row>
        <row r="137">
          <cell r="A137">
            <v>120</v>
          </cell>
          <cell r="B137">
            <v>46844</v>
          </cell>
          <cell r="C137">
            <v>0</v>
          </cell>
          <cell r="D137">
            <v>152.25260868051714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830.55711423633738</v>
          </cell>
        </row>
        <row r="138">
          <cell r="A138">
            <v>121</v>
          </cell>
          <cell r="B138">
            <v>46874</v>
          </cell>
          <cell r="C138">
            <v>0</v>
          </cell>
          <cell r="D138">
            <v>152.25260868051714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830.55711423633738</v>
          </cell>
        </row>
        <row r="139">
          <cell r="A139">
            <v>122</v>
          </cell>
          <cell r="B139">
            <v>46905</v>
          </cell>
          <cell r="C139">
            <v>0</v>
          </cell>
          <cell r="D139">
            <v>152.25260868051714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830.55711423633738</v>
          </cell>
        </row>
        <row r="140">
          <cell r="A140">
            <v>123</v>
          </cell>
          <cell r="B140">
            <v>46935</v>
          </cell>
          <cell r="C140">
            <v>0</v>
          </cell>
          <cell r="D140">
            <v>152.25260868051714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830.55711423633738</v>
          </cell>
        </row>
        <row r="141">
          <cell r="A141">
            <v>124</v>
          </cell>
          <cell r="B141">
            <v>46966</v>
          </cell>
          <cell r="C141">
            <v>0</v>
          </cell>
          <cell r="D141">
            <v>152.25260868051714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830.55711423633738</v>
          </cell>
        </row>
        <row r="142">
          <cell r="A142">
            <v>125</v>
          </cell>
          <cell r="B142">
            <v>46997</v>
          </cell>
          <cell r="C142">
            <v>0</v>
          </cell>
          <cell r="D142">
            <v>152.25260868051714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830.55711423633738</v>
          </cell>
        </row>
        <row r="143">
          <cell r="A143">
            <v>126</v>
          </cell>
          <cell r="B143">
            <v>47027</v>
          </cell>
          <cell r="C143">
            <v>0</v>
          </cell>
          <cell r="D143">
            <v>152.25260868051714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830.55711423633738</v>
          </cell>
        </row>
        <row r="144">
          <cell r="A144">
            <v>127</v>
          </cell>
          <cell r="B144">
            <v>47058</v>
          </cell>
          <cell r="C144">
            <v>0</v>
          </cell>
          <cell r="D144">
            <v>152.25260868051714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830.55711423633738</v>
          </cell>
        </row>
        <row r="145">
          <cell r="A145">
            <v>128</v>
          </cell>
          <cell r="B145">
            <v>47088</v>
          </cell>
          <cell r="C145">
            <v>0</v>
          </cell>
          <cell r="D145">
            <v>152.25260868051714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830.55711423633738</v>
          </cell>
        </row>
        <row r="146">
          <cell r="A146">
            <v>129</v>
          </cell>
          <cell r="B146">
            <v>47119</v>
          </cell>
          <cell r="C146">
            <v>0</v>
          </cell>
          <cell r="D146">
            <v>152.25260868051714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830.55711423633738</v>
          </cell>
        </row>
        <row r="147">
          <cell r="A147">
            <v>130</v>
          </cell>
          <cell r="B147">
            <v>47150</v>
          </cell>
          <cell r="C147">
            <v>0</v>
          </cell>
          <cell r="D147">
            <v>152.25260868051714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830.55711423633738</v>
          </cell>
        </row>
        <row r="148">
          <cell r="A148">
            <v>131</v>
          </cell>
          <cell r="B148">
            <v>47178</v>
          </cell>
          <cell r="C148">
            <v>0</v>
          </cell>
          <cell r="D148">
            <v>152.25260868051714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830.55711423633738</v>
          </cell>
        </row>
        <row r="149">
          <cell r="A149">
            <v>132</v>
          </cell>
          <cell r="B149">
            <v>47209</v>
          </cell>
          <cell r="C149">
            <v>0</v>
          </cell>
          <cell r="D149">
            <v>152.25260868051714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830.55711423633738</v>
          </cell>
        </row>
        <row r="150">
          <cell r="A150">
            <v>133</v>
          </cell>
          <cell r="B150">
            <v>47239</v>
          </cell>
          <cell r="C150">
            <v>0</v>
          </cell>
          <cell r="D150">
            <v>152.25260868051714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830.55711423633738</v>
          </cell>
        </row>
        <row r="151">
          <cell r="A151">
            <v>134</v>
          </cell>
          <cell r="B151">
            <v>47270</v>
          </cell>
          <cell r="C151">
            <v>0</v>
          </cell>
          <cell r="D151">
            <v>152.25260868051714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830.55711423633738</v>
          </cell>
        </row>
        <row r="152">
          <cell r="A152">
            <v>135</v>
          </cell>
          <cell r="B152">
            <v>47300</v>
          </cell>
          <cell r="C152">
            <v>0</v>
          </cell>
          <cell r="D152">
            <v>152.25260868051714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830.55711423633738</v>
          </cell>
        </row>
        <row r="153">
          <cell r="A153">
            <v>136</v>
          </cell>
          <cell r="B153">
            <v>47331</v>
          </cell>
          <cell r="C153">
            <v>0</v>
          </cell>
          <cell r="D153">
            <v>152.25260868051714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830.55711423633738</v>
          </cell>
        </row>
        <row r="154">
          <cell r="A154">
            <v>137</v>
          </cell>
          <cell r="B154">
            <v>47362</v>
          </cell>
          <cell r="C154">
            <v>0</v>
          </cell>
          <cell r="D154">
            <v>152.25260868051714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830.55711423633738</v>
          </cell>
        </row>
        <row r="155">
          <cell r="A155">
            <v>138</v>
          </cell>
          <cell r="B155">
            <v>47392</v>
          </cell>
          <cell r="C155">
            <v>0</v>
          </cell>
          <cell r="D155">
            <v>152.25260868051714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830.55711423633738</v>
          </cell>
        </row>
        <row r="156">
          <cell r="A156">
            <v>139</v>
          </cell>
          <cell r="B156">
            <v>47423</v>
          </cell>
          <cell r="C156">
            <v>0</v>
          </cell>
          <cell r="D156">
            <v>152.25260868051714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830.55711423633738</v>
          </cell>
        </row>
        <row r="157">
          <cell r="A157">
            <v>140</v>
          </cell>
          <cell r="B157">
            <v>47453</v>
          </cell>
          <cell r="C157">
            <v>0</v>
          </cell>
          <cell r="D157">
            <v>152.25260868051714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830.55711423633738</v>
          </cell>
        </row>
        <row r="158">
          <cell r="A158">
            <v>141</v>
          </cell>
          <cell r="B158">
            <v>47484</v>
          </cell>
          <cell r="C158">
            <v>0</v>
          </cell>
          <cell r="D158">
            <v>152.25260868051714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830.55711423633738</v>
          </cell>
        </row>
        <row r="159">
          <cell r="A159">
            <v>142</v>
          </cell>
          <cell r="B159">
            <v>47515</v>
          </cell>
          <cell r="C159">
            <v>0</v>
          </cell>
          <cell r="D159">
            <v>152.25260868051714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830.55711423633738</v>
          </cell>
        </row>
        <row r="160">
          <cell r="A160">
            <v>143</v>
          </cell>
          <cell r="B160">
            <v>47543</v>
          </cell>
          <cell r="C160">
            <v>0</v>
          </cell>
          <cell r="D160">
            <v>152.25260868051714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830.55711423633738</v>
          </cell>
        </row>
        <row r="161">
          <cell r="A161">
            <v>144</v>
          </cell>
          <cell r="B161">
            <v>47574</v>
          </cell>
          <cell r="C161">
            <v>0</v>
          </cell>
          <cell r="D161">
            <v>152.25260868051714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830.55711423633738</v>
          </cell>
        </row>
        <row r="162">
          <cell r="A162">
            <v>145</v>
          </cell>
          <cell r="B162">
            <v>47604</v>
          </cell>
          <cell r="C162">
            <v>0</v>
          </cell>
          <cell r="D162">
            <v>152.25260868051714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830.55711423633738</v>
          </cell>
        </row>
        <row r="163">
          <cell r="A163">
            <v>146</v>
          </cell>
          <cell r="B163">
            <v>47635</v>
          </cell>
          <cell r="C163">
            <v>0</v>
          </cell>
          <cell r="D163">
            <v>152.25260868051714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830.55711423633738</v>
          </cell>
        </row>
        <row r="164">
          <cell r="A164">
            <v>147</v>
          </cell>
          <cell r="B164">
            <v>47665</v>
          </cell>
          <cell r="C164">
            <v>0</v>
          </cell>
          <cell r="D164">
            <v>152.25260868051714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830.55711423633738</v>
          </cell>
        </row>
        <row r="165">
          <cell r="A165">
            <v>148</v>
          </cell>
          <cell r="B165">
            <v>47696</v>
          </cell>
          <cell r="C165">
            <v>0</v>
          </cell>
          <cell r="D165">
            <v>152.25260868051714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830.55711423633738</v>
          </cell>
        </row>
        <row r="166">
          <cell r="A166">
            <v>149</v>
          </cell>
          <cell r="B166">
            <v>47727</v>
          </cell>
          <cell r="C166">
            <v>0</v>
          </cell>
          <cell r="D166">
            <v>152.25260868051714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830.55711423633738</v>
          </cell>
        </row>
        <row r="167">
          <cell r="A167">
            <v>150</v>
          </cell>
          <cell r="B167">
            <v>47757</v>
          </cell>
          <cell r="C167">
            <v>0</v>
          </cell>
          <cell r="D167">
            <v>152.25260868051714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830.55711423633738</v>
          </cell>
        </row>
        <row r="168">
          <cell r="A168">
            <v>151</v>
          </cell>
          <cell r="B168">
            <v>47788</v>
          </cell>
          <cell r="C168">
            <v>0</v>
          </cell>
          <cell r="D168">
            <v>152.25260868051714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830.55711423633738</v>
          </cell>
        </row>
        <row r="169">
          <cell r="A169">
            <v>152</v>
          </cell>
          <cell r="B169">
            <v>47818</v>
          </cell>
          <cell r="C169">
            <v>0</v>
          </cell>
          <cell r="D169">
            <v>152.25260868051714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830.55711423633738</v>
          </cell>
        </row>
        <row r="170">
          <cell r="A170">
            <v>153</v>
          </cell>
          <cell r="B170">
            <v>47849</v>
          </cell>
          <cell r="C170">
            <v>0</v>
          </cell>
          <cell r="D170">
            <v>152.25260868051714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830.55711423633738</v>
          </cell>
        </row>
        <row r="171">
          <cell r="A171">
            <v>154</v>
          </cell>
          <cell r="B171">
            <v>47880</v>
          </cell>
          <cell r="C171">
            <v>0</v>
          </cell>
          <cell r="D171">
            <v>152.25260868051714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830.55711423633738</v>
          </cell>
        </row>
        <row r="172">
          <cell r="A172">
            <v>155</v>
          </cell>
          <cell r="B172">
            <v>47908</v>
          </cell>
          <cell r="C172">
            <v>0</v>
          </cell>
          <cell r="D172">
            <v>152.25260868051714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830.55711423633738</v>
          </cell>
        </row>
        <row r="173">
          <cell r="A173">
            <v>156</v>
          </cell>
          <cell r="B173">
            <v>47939</v>
          </cell>
          <cell r="C173">
            <v>0</v>
          </cell>
          <cell r="D173">
            <v>152.25260868051714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830.55711423633738</v>
          </cell>
        </row>
        <row r="174">
          <cell r="A174">
            <v>157</v>
          </cell>
          <cell r="B174">
            <v>47969</v>
          </cell>
          <cell r="C174">
            <v>0</v>
          </cell>
          <cell r="D174">
            <v>152.25260868051714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830.55711423633738</v>
          </cell>
        </row>
        <row r="175">
          <cell r="A175">
            <v>158</v>
          </cell>
          <cell r="B175">
            <v>48000</v>
          </cell>
          <cell r="C175">
            <v>0</v>
          </cell>
          <cell r="D175">
            <v>152.25260868051714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830.55711423633738</v>
          </cell>
        </row>
        <row r="176">
          <cell r="A176">
            <v>159</v>
          </cell>
          <cell r="B176">
            <v>48030</v>
          </cell>
          <cell r="C176">
            <v>0</v>
          </cell>
          <cell r="D176">
            <v>152.25260868051714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830.55711423633738</v>
          </cell>
        </row>
        <row r="177">
          <cell r="A177">
            <v>160</v>
          </cell>
          <cell r="B177">
            <v>48061</v>
          </cell>
          <cell r="C177">
            <v>0</v>
          </cell>
          <cell r="D177">
            <v>152.25260868051714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830.55711423633738</v>
          </cell>
        </row>
        <row r="178">
          <cell r="A178">
            <v>161</v>
          </cell>
          <cell r="B178">
            <v>48092</v>
          </cell>
          <cell r="C178">
            <v>0</v>
          </cell>
          <cell r="D178">
            <v>152.25260868051714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830.55711423633738</v>
          </cell>
        </row>
        <row r="179">
          <cell r="A179">
            <v>162</v>
          </cell>
          <cell r="B179">
            <v>48122</v>
          </cell>
          <cell r="C179">
            <v>0</v>
          </cell>
          <cell r="D179">
            <v>152.25260868051714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830.55711423633738</v>
          </cell>
        </row>
        <row r="180">
          <cell r="A180">
            <v>163</v>
          </cell>
          <cell r="B180">
            <v>48153</v>
          </cell>
          <cell r="C180">
            <v>0</v>
          </cell>
          <cell r="D180">
            <v>152.25260868051714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830.55711423633738</v>
          </cell>
        </row>
        <row r="181">
          <cell r="A181">
            <v>164</v>
          </cell>
          <cell r="B181">
            <v>48183</v>
          </cell>
          <cell r="C181">
            <v>0</v>
          </cell>
          <cell r="D181">
            <v>152.25260868051714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830.55711423633738</v>
          </cell>
        </row>
        <row r="182">
          <cell r="A182">
            <v>165</v>
          </cell>
          <cell r="B182">
            <v>48214</v>
          </cell>
          <cell r="C182">
            <v>0</v>
          </cell>
          <cell r="D182">
            <v>152.25260868051714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830.55711423633738</v>
          </cell>
        </row>
        <row r="183">
          <cell r="A183">
            <v>166</v>
          </cell>
          <cell r="B183">
            <v>48245</v>
          </cell>
          <cell r="C183">
            <v>0</v>
          </cell>
          <cell r="D183">
            <v>152.25260868051714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830.55711423633738</v>
          </cell>
        </row>
        <row r="184">
          <cell r="A184">
            <v>167</v>
          </cell>
          <cell r="B184">
            <v>48274</v>
          </cell>
          <cell r="C184">
            <v>0</v>
          </cell>
          <cell r="D184">
            <v>152.25260868051714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830.55711423633738</v>
          </cell>
        </row>
        <row r="185">
          <cell r="A185">
            <v>168</v>
          </cell>
          <cell r="B185">
            <v>48305</v>
          </cell>
          <cell r="C185">
            <v>0</v>
          </cell>
          <cell r="D185">
            <v>152.25260868051714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830.55711423633738</v>
          </cell>
        </row>
        <row r="186">
          <cell r="A186">
            <v>169</v>
          </cell>
          <cell r="B186">
            <v>48335</v>
          </cell>
          <cell r="C186">
            <v>0</v>
          </cell>
          <cell r="D186">
            <v>152.25260868051714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830.55711423633738</v>
          </cell>
        </row>
        <row r="187">
          <cell r="A187">
            <v>170</v>
          </cell>
          <cell r="B187">
            <v>48366</v>
          </cell>
          <cell r="C187">
            <v>0</v>
          </cell>
          <cell r="D187">
            <v>152.25260868051714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830.55711423633738</v>
          </cell>
        </row>
        <row r="188">
          <cell r="A188">
            <v>171</v>
          </cell>
          <cell r="B188">
            <v>48396</v>
          </cell>
          <cell r="C188">
            <v>0</v>
          </cell>
          <cell r="D188">
            <v>152.25260868051714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830.55711423633738</v>
          </cell>
        </row>
        <row r="189">
          <cell r="A189">
            <v>172</v>
          </cell>
          <cell r="B189">
            <v>48427</v>
          </cell>
          <cell r="C189">
            <v>0</v>
          </cell>
          <cell r="D189">
            <v>152.25260868051714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830.55711423633738</v>
          </cell>
        </row>
        <row r="190">
          <cell r="A190">
            <v>173</v>
          </cell>
          <cell r="B190">
            <v>48458</v>
          </cell>
          <cell r="C190">
            <v>0</v>
          </cell>
          <cell r="D190">
            <v>152.25260868051714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830.55711423633738</v>
          </cell>
        </row>
        <row r="191">
          <cell r="A191">
            <v>174</v>
          </cell>
          <cell r="B191">
            <v>48488</v>
          </cell>
          <cell r="C191">
            <v>0</v>
          </cell>
          <cell r="D191">
            <v>152.25260868051714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830.55711423633738</v>
          </cell>
        </row>
        <row r="192">
          <cell r="A192">
            <v>175</v>
          </cell>
          <cell r="B192">
            <v>48519</v>
          </cell>
          <cell r="C192">
            <v>0</v>
          </cell>
          <cell r="D192">
            <v>152.25260868051714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830.55711423633738</v>
          </cell>
        </row>
        <row r="193">
          <cell r="A193">
            <v>176</v>
          </cell>
          <cell r="B193">
            <v>48549</v>
          </cell>
          <cell r="C193">
            <v>0</v>
          </cell>
          <cell r="D193">
            <v>152.25260868051714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830.55711423633738</v>
          </cell>
        </row>
        <row r="194">
          <cell r="A194">
            <v>177</v>
          </cell>
          <cell r="B194">
            <v>48580</v>
          </cell>
          <cell r="C194">
            <v>0</v>
          </cell>
          <cell r="D194">
            <v>152.25260868051714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830.55711423633738</v>
          </cell>
        </row>
        <row r="195">
          <cell r="A195">
            <v>178</v>
          </cell>
          <cell r="B195">
            <v>48611</v>
          </cell>
          <cell r="C195">
            <v>0</v>
          </cell>
          <cell r="D195">
            <v>152.25260868051714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830.55711423633738</v>
          </cell>
        </row>
        <row r="196">
          <cell r="A196">
            <v>179</v>
          </cell>
          <cell r="B196">
            <v>48639</v>
          </cell>
          <cell r="C196">
            <v>0</v>
          </cell>
          <cell r="D196">
            <v>152.25260868051714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830.55711423633738</v>
          </cell>
        </row>
        <row r="197">
          <cell r="A197">
            <v>180</v>
          </cell>
          <cell r="B197">
            <v>48670</v>
          </cell>
          <cell r="C197">
            <v>0</v>
          </cell>
          <cell r="D197">
            <v>152.25260868051714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830.55711423633738</v>
          </cell>
        </row>
        <row r="198">
          <cell r="A198">
            <v>181</v>
          </cell>
          <cell r="B198">
            <v>48700</v>
          </cell>
          <cell r="C198">
            <v>0</v>
          </cell>
          <cell r="D198">
            <v>152.25260868051714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830.55711423633738</v>
          </cell>
        </row>
        <row r="199">
          <cell r="A199">
            <v>182</v>
          </cell>
          <cell r="B199">
            <v>48731</v>
          </cell>
          <cell r="C199">
            <v>0</v>
          </cell>
          <cell r="D199">
            <v>152.25260868051714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830.55711423633738</v>
          </cell>
        </row>
        <row r="200">
          <cell r="A200">
            <v>183</v>
          </cell>
          <cell r="B200">
            <v>48761</v>
          </cell>
          <cell r="C200">
            <v>0</v>
          </cell>
          <cell r="D200">
            <v>152.25260868051714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830.55711423633738</v>
          </cell>
        </row>
        <row r="201">
          <cell r="A201">
            <v>184</v>
          </cell>
          <cell r="B201">
            <v>48792</v>
          </cell>
          <cell r="C201">
            <v>0</v>
          </cell>
          <cell r="D201">
            <v>152.25260868051714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830.55711423633738</v>
          </cell>
        </row>
        <row r="202">
          <cell r="A202">
            <v>185</v>
          </cell>
          <cell r="B202">
            <v>48823</v>
          </cell>
          <cell r="C202">
            <v>0</v>
          </cell>
          <cell r="D202">
            <v>152.25260868051714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830.55711423633738</v>
          </cell>
        </row>
        <row r="203">
          <cell r="A203">
            <v>186</v>
          </cell>
          <cell r="B203">
            <v>48853</v>
          </cell>
          <cell r="C203">
            <v>0</v>
          </cell>
          <cell r="D203">
            <v>152.25260868051714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830.55711423633738</v>
          </cell>
        </row>
        <row r="204">
          <cell r="A204">
            <v>187</v>
          </cell>
          <cell r="B204">
            <v>48884</v>
          </cell>
          <cell r="C204">
            <v>0</v>
          </cell>
          <cell r="D204">
            <v>152.25260868051714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830.55711423633738</v>
          </cell>
        </row>
        <row r="205">
          <cell r="A205">
            <v>188</v>
          </cell>
          <cell r="B205">
            <v>48914</v>
          </cell>
          <cell r="C205">
            <v>0</v>
          </cell>
          <cell r="D205">
            <v>152.25260868051714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830.55711423633738</v>
          </cell>
        </row>
        <row r="206">
          <cell r="A206">
            <v>189</v>
          </cell>
          <cell r="B206">
            <v>48945</v>
          </cell>
          <cell r="C206">
            <v>0</v>
          </cell>
          <cell r="D206">
            <v>152.25260868051714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830.55711423633738</v>
          </cell>
        </row>
        <row r="207">
          <cell r="A207">
            <v>190</v>
          </cell>
          <cell r="B207">
            <v>48976</v>
          </cell>
          <cell r="C207">
            <v>0</v>
          </cell>
          <cell r="D207">
            <v>152.25260868051714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830.55711423633738</v>
          </cell>
        </row>
        <row r="208">
          <cell r="A208">
            <v>191</v>
          </cell>
          <cell r="B208">
            <v>49004</v>
          </cell>
          <cell r="C208">
            <v>0</v>
          </cell>
          <cell r="D208">
            <v>152.25260868051714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830.55711423633738</v>
          </cell>
        </row>
        <row r="209">
          <cell r="A209">
            <v>192</v>
          </cell>
          <cell r="B209">
            <v>49035</v>
          </cell>
          <cell r="C209">
            <v>0</v>
          </cell>
          <cell r="D209">
            <v>152.25260868051714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830.55711423633738</v>
          </cell>
        </row>
        <row r="210">
          <cell r="A210">
            <v>193</v>
          </cell>
          <cell r="B210">
            <v>49065</v>
          </cell>
          <cell r="C210">
            <v>0</v>
          </cell>
          <cell r="D210">
            <v>152.25260868051714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830.55711423633738</v>
          </cell>
        </row>
        <row r="211">
          <cell r="A211">
            <v>194</v>
          </cell>
          <cell r="B211">
            <v>49096</v>
          </cell>
          <cell r="C211">
            <v>0</v>
          </cell>
          <cell r="D211">
            <v>152.25260868051714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830.55711423633738</v>
          </cell>
        </row>
        <row r="212">
          <cell r="A212">
            <v>195</v>
          </cell>
          <cell r="B212">
            <v>49126</v>
          </cell>
          <cell r="C212">
            <v>0</v>
          </cell>
          <cell r="D212">
            <v>152.25260868051714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830.55711423633738</v>
          </cell>
        </row>
        <row r="213">
          <cell r="A213">
            <v>196</v>
          </cell>
          <cell r="B213">
            <v>49157</v>
          </cell>
          <cell r="C213">
            <v>0</v>
          </cell>
          <cell r="D213">
            <v>152.25260868051714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830.55711423633738</v>
          </cell>
        </row>
        <row r="214">
          <cell r="A214">
            <v>197</v>
          </cell>
          <cell r="B214">
            <v>49188</v>
          </cell>
          <cell r="C214">
            <v>0</v>
          </cell>
          <cell r="D214">
            <v>152.25260868051714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830.55711423633738</v>
          </cell>
        </row>
        <row r="215">
          <cell r="A215">
            <v>198</v>
          </cell>
          <cell r="B215">
            <v>49218</v>
          </cell>
          <cell r="C215">
            <v>0</v>
          </cell>
          <cell r="D215">
            <v>152.25260868051714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830.55711423633738</v>
          </cell>
        </row>
        <row r="216">
          <cell r="A216">
            <v>199</v>
          </cell>
          <cell r="B216">
            <v>49249</v>
          </cell>
          <cell r="C216">
            <v>0</v>
          </cell>
          <cell r="D216">
            <v>152.25260868051714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830.55711423633738</v>
          </cell>
        </row>
        <row r="217">
          <cell r="A217">
            <v>200</v>
          </cell>
          <cell r="B217">
            <v>49279</v>
          </cell>
          <cell r="C217">
            <v>0</v>
          </cell>
          <cell r="D217">
            <v>152.25260868051714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830.55711423633738</v>
          </cell>
        </row>
        <row r="218">
          <cell r="A218">
            <v>201</v>
          </cell>
          <cell r="B218">
            <v>49310</v>
          </cell>
          <cell r="C218">
            <v>0</v>
          </cell>
          <cell r="D218">
            <v>152.25260868051714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830.55711423633738</v>
          </cell>
        </row>
        <row r="219">
          <cell r="A219">
            <v>202</v>
          </cell>
          <cell r="B219">
            <v>49341</v>
          </cell>
          <cell r="C219">
            <v>0</v>
          </cell>
          <cell r="D219">
            <v>152.25260868051714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830.55711423633738</v>
          </cell>
        </row>
        <row r="220">
          <cell r="A220">
            <v>203</v>
          </cell>
          <cell r="B220">
            <v>49369</v>
          </cell>
          <cell r="C220">
            <v>0</v>
          </cell>
          <cell r="D220">
            <v>152.25260868051714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830.55711423633738</v>
          </cell>
        </row>
        <row r="221">
          <cell r="A221">
            <v>204</v>
          </cell>
          <cell r="B221">
            <v>49400</v>
          </cell>
          <cell r="C221">
            <v>0</v>
          </cell>
          <cell r="D221">
            <v>152.25260868051714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830.55711423633738</v>
          </cell>
        </row>
        <row r="222">
          <cell r="A222">
            <v>205</v>
          </cell>
          <cell r="B222">
            <v>49430</v>
          </cell>
          <cell r="C222">
            <v>0</v>
          </cell>
          <cell r="D222">
            <v>152.25260868051714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830.55711423633738</v>
          </cell>
        </row>
        <row r="223">
          <cell r="A223">
            <v>206</v>
          </cell>
          <cell r="B223">
            <v>49461</v>
          </cell>
          <cell r="C223">
            <v>0</v>
          </cell>
          <cell r="D223">
            <v>152.25260868051714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830.55711423633738</v>
          </cell>
        </row>
        <row r="224">
          <cell r="A224">
            <v>207</v>
          </cell>
          <cell r="B224">
            <v>49491</v>
          </cell>
          <cell r="C224">
            <v>0</v>
          </cell>
          <cell r="D224">
            <v>152.25260868051714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830.55711423633738</v>
          </cell>
        </row>
        <row r="225">
          <cell r="A225">
            <v>208</v>
          </cell>
          <cell r="B225">
            <v>49522</v>
          </cell>
          <cell r="C225">
            <v>0</v>
          </cell>
          <cell r="D225">
            <v>152.25260868051714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830.55711423633738</v>
          </cell>
        </row>
        <row r="226">
          <cell r="A226">
            <v>209</v>
          </cell>
          <cell r="B226">
            <v>49553</v>
          </cell>
          <cell r="C226">
            <v>0</v>
          </cell>
          <cell r="D226">
            <v>152.25260868051714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830.55711423633738</v>
          </cell>
        </row>
        <row r="227">
          <cell r="A227">
            <v>210</v>
          </cell>
          <cell r="B227">
            <v>49583</v>
          </cell>
          <cell r="C227">
            <v>0</v>
          </cell>
          <cell r="D227">
            <v>152.25260868051714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830.55711423633738</v>
          </cell>
        </row>
        <row r="228">
          <cell r="A228">
            <v>211</v>
          </cell>
          <cell r="B228">
            <v>49614</v>
          </cell>
          <cell r="C228">
            <v>0</v>
          </cell>
          <cell r="D228">
            <v>152.25260868051714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830.55711423633738</v>
          </cell>
        </row>
        <row r="229">
          <cell r="A229">
            <v>212</v>
          </cell>
          <cell r="B229">
            <v>49644</v>
          </cell>
          <cell r="C229">
            <v>0</v>
          </cell>
          <cell r="D229">
            <v>152.25260868051714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830.55711423633738</v>
          </cell>
        </row>
        <row r="230">
          <cell r="A230">
            <v>213</v>
          </cell>
          <cell r="B230">
            <v>49675</v>
          </cell>
          <cell r="C230">
            <v>0</v>
          </cell>
          <cell r="D230">
            <v>152.25260868051714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830.55711423633738</v>
          </cell>
        </row>
        <row r="231">
          <cell r="A231">
            <v>214</v>
          </cell>
          <cell r="B231">
            <v>49706</v>
          </cell>
          <cell r="C231">
            <v>0</v>
          </cell>
          <cell r="D231">
            <v>152.25260868051714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830.55711423633738</v>
          </cell>
        </row>
        <row r="232">
          <cell r="A232">
            <v>215</v>
          </cell>
          <cell r="B232">
            <v>49735</v>
          </cell>
          <cell r="C232">
            <v>0</v>
          </cell>
          <cell r="D232">
            <v>152.25260868051714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830.55711423633738</v>
          </cell>
        </row>
        <row r="233">
          <cell r="A233">
            <v>216</v>
          </cell>
          <cell r="B233">
            <v>49766</v>
          </cell>
          <cell r="C233">
            <v>0</v>
          </cell>
          <cell r="D233">
            <v>152.25260868051714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830.55711423633738</v>
          </cell>
        </row>
        <row r="234">
          <cell r="A234">
            <v>217</v>
          </cell>
          <cell r="B234">
            <v>49796</v>
          </cell>
          <cell r="C234">
            <v>0</v>
          </cell>
          <cell r="D234">
            <v>152.25260868051714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830.55711423633738</v>
          </cell>
        </row>
        <row r="235">
          <cell r="A235">
            <v>218</v>
          </cell>
          <cell r="B235">
            <v>49827</v>
          </cell>
          <cell r="C235">
            <v>0</v>
          </cell>
          <cell r="D235">
            <v>152.25260868051714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830.55711423633738</v>
          </cell>
        </row>
        <row r="236">
          <cell r="A236">
            <v>219</v>
          </cell>
          <cell r="B236">
            <v>49857</v>
          </cell>
          <cell r="C236">
            <v>0</v>
          </cell>
          <cell r="D236">
            <v>152.25260868051714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830.55711423633738</v>
          </cell>
        </row>
        <row r="237">
          <cell r="A237">
            <v>220</v>
          </cell>
          <cell r="B237">
            <v>49888</v>
          </cell>
          <cell r="C237">
            <v>0</v>
          </cell>
          <cell r="D237">
            <v>152.25260868051714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830.55711423633738</v>
          </cell>
        </row>
        <row r="238">
          <cell r="A238">
            <v>221</v>
          </cell>
          <cell r="B238">
            <v>49919</v>
          </cell>
          <cell r="C238">
            <v>0</v>
          </cell>
          <cell r="D238">
            <v>152.25260868051714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830.55711423633738</v>
          </cell>
        </row>
        <row r="239">
          <cell r="A239">
            <v>222</v>
          </cell>
          <cell r="B239">
            <v>49949</v>
          </cell>
          <cell r="C239">
            <v>0</v>
          </cell>
          <cell r="D239">
            <v>152.25260868051714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830.55711423633738</v>
          </cell>
        </row>
        <row r="240">
          <cell r="A240">
            <v>223</v>
          </cell>
          <cell r="B240">
            <v>49980</v>
          </cell>
          <cell r="C240">
            <v>0</v>
          </cell>
          <cell r="D240">
            <v>152.25260868051714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830.55711423633738</v>
          </cell>
        </row>
        <row r="241">
          <cell r="A241">
            <v>224</v>
          </cell>
          <cell r="B241">
            <v>50010</v>
          </cell>
          <cell r="C241">
            <v>0</v>
          </cell>
          <cell r="D241">
            <v>152.25260868051714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830.55711423633738</v>
          </cell>
        </row>
        <row r="242">
          <cell r="A242">
            <v>225</v>
          </cell>
          <cell r="B242">
            <v>50041</v>
          </cell>
          <cell r="C242">
            <v>0</v>
          </cell>
          <cell r="D242">
            <v>152.25260868051714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830.55711423633738</v>
          </cell>
        </row>
        <row r="243">
          <cell r="A243">
            <v>226</v>
          </cell>
          <cell r="B243">
            <v>50072</v>
          </cell>
          <cell r="C243">
            <v>0</v>
          </cell>
          <cell r="D243">
            <v>152.25260868051714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830.55711423633738</v>
          </cell>
        </row>
        <row r="244">
          <cell r="A244">
            <v>227</v>
          </cell>
          <cell r="B244">
            <v>50100</v>
          </cell>
          <cell r="C244">
            <v>0</v>
          </cell>
          <cell r="D244">
            <v>152.25260868051714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830.55711423633738</v>
          </cell>
        </row>
        <row r="245">
          <cell r="A245">
            <v>228</v>
          </cell>
          <cell r="B245">
            <v>50131</v>
          </cell>
          <cell r="C245">
            <v>0</v>
          </cell>
          <cell r="D245">
            <v>152.25260868051714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830.55711423633738</v>
          </cell>
        </row>
        <row r="246">
          <cell r="A246">
            <v>229</v>
          </cell>
          <cell r="B246">
            <v>50161</v>
          </cell>
          <cell r="C246">
            <v>0</v>
          </cell>
          <cell r="D246">
            <v>152.25260868051714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830.55711423633738</v>
          </cell>
        </row>
        <row r="247">
          <cell r="A247">
            <v>230</v>
          </cell>
          <cell r="B247">
            <v>50192</v>
          </cell>
          <cell r="C247">
            <v>0</v>
          </cell>
          <cell r="D247">
            <v>152.25260868051714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830.55711423633738</v>
          </cell>
        </row>
        <row r="248">
          <cell r="A248">
            <v>231</v>
          </cell>
          <cell r="B248">
            <v>50222</v>
          </cell>
          <cell r="C248">
            <v>0</v>
          </cell>
          <cell r="D248">
            <v>152.25260868051714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830.55711423633738</v>
          </cell>
        </row>
        <row r="249">
          <cell r="A249">
            <v>232</v>
          </cell>
          <cell r="B249">
            <v>50253</v>
          </cell>
          <cell r="C249">
            <v>0</v>
          </cell>
          <cell r="D249">
            <v>152.25260868051714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830.55711423633738</v>
          </cell>
        </row>
        <row r="250">
          <cell r="A250">
            <v>233</v>
          </cell>
          <cell r="B250">
            <v>50284</v>
          </cell>
          <cell r="C250">
            <v>0</v>
          </cell>
          <cell r="D250">
            <v>152.25260868051714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830.55711423633738</v>
          </cell>
        </row>
        <row r="251">
          <cell r="A251">
            <v>234</v>
          </cell>
          <cell r="B251">
            <v>50314</v>
          </cell>
          <cell r="C251">
            <v>0</v>
          </cell>
          <cell r="D251">
            <v>152.25260868051714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830.55711423633738</v>
          </cell>
        </row>
        <row r="252">
          <cell r="A252">
            <v>235</v>
          </cell>
          <cell r="B252">
            <v>50345</v>
          </cell>
          <cell r="C252">
            <v>0</v>
          </cell>
          <cell r="D252">
            <v>152.25260868051714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830.55711423633738</v>
          </cell>
        </row>
        <row r="253">
          <cell r="A253">
            <v>236</v>
          </cell>
          <cell r="B253">
            <v>50375</v>
          </cell>
          <cell r="C253">
            <v>0</v>
          </cell>
          <cell r="D253">
            <v>152.25260868051714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830.55711423633738</v>
          </cell>
        </row>
        <row r="254">
          <cell r="A254">
            <v>237</v>
          </cell>
          <cell r="B254">
            <v>50406</v>
          </cell>
          <cell r="C254">
            <v>0</v>
          </cell>
          <cell r="D254">
            <v>152.25260868051714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830.55711423633738</v>
          </cell>
        </row>
        <row r="255">
          <cell r="A255">
            <v>238</v>
          </cell>
          <cell r="B255">
            <v>50437</v>
          </cell>
          <cell r="C255">
            <v>0</v>
          </cell>
          <cell r="D255">
            <v>152.25260868051714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830.55711423633738</v>
          </cell>
        </row>
        <row r="256">
          <cell r="A256">
            <v>239</v>
          </cell>
          <cell r="B256">
            <v>50465</v>
          </cell>
          <cell r="C256">
            <v>0</v>
          </cell>
          <cell r="D256">
            <v>152.25260868051714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830.55711423633738</v>
          </cell>
        </row>
        <row r="257">
          <cell r="A257">
            <v>240</v>
          </cell>
          <cell r="B257">
            <v>50496</v>
          </cell>
          <cell r="C257">
            <v>0</v>
          </cell>
          <cell r="D257">
            <v>152.25260868051714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830.55711423633738</v>
          </cell>
        </row>
        <row r="258">
          <cell r="A258">
            <v>241</v>
          </cell>
          <cell r="B258">
            <v>50526</v>
          </cell>
          <cell r="C258">
            <v>0</v>
          </cell>
          <cell r="D258">
            <v>152.25260868051714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830.55711423633738</v>
          </cell>
        </row>
        <row r="259">
          <cell r="A259">
            <v>242</v>
          </cell>
          <cell r="B259">
            <v>50557</v>
          </cell>
          <cell r="C259">
            <v>0</v>
          </cell>
          <cell r="D259">
            <v>152.25260868051714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830.55711423633738</v>
          </cell>
        </row>
        <row r="260">
          <cell r="A260">
            <v>243</v>
          </cell>
          <cell r="B260">
            <v>50587</v>
          </cell>
          <cell r="C260">
            <v>0</v>
          </cell>
          <cell r="D260">
            <v>152.25260868051714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830.55711423633738</v>
          </cell>
        </row>
        <row r="261">
          <cell r="A261">
            <v>244</v>
          </cell>
          <cell r="B261">
            <v>50618</v>
          </cell>
          <cell r="C261">
            <v>0</v>
          </cell>
          <cell r="D261">
            <v>152.25260868051714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830.55711423633738</v>
          </cell>
        </row>
        <row r="262">
          <cell r="A262">
            <v>245</v>
          </cell>
          <cell r="B262">
            <v>50649</v>
          </cell>
          <cell r="C262">
            <v>0</v>
          </cell>
          <cell r="D262">
            <v>152.25260868051714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830.55711423633738</v>
          </cell>
        </row>
        <row r="263">
          <cell r="A263">
            <v>246</v>
          </cell>
          <cell r="B263">
            <v>50679</v>
          </cell>
          <cell r="C263">
            <v>0</v>
          </cell>
          <cell r="D263">
            <v>152.25260868051714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830.55711423633738</v>
          </cell>
        </row>
        <row r="264">
          <cell r="A264">
            <v>247</v>
          </cell>
          <cell r="B264">
            <v>50710</v>
          </cell>
          <cell r="C264">
            <v>0</v>
          </cell>
          <cell r="D264">
            <v>152.25260868051714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830.55711423633738</v>
          </cell>
        </row>
        <row r="265">
          <cell r="A265">
            <v>248</v>
          </cell>
          <cell r="B265">
            <v>50740</v>
          </cell>
          <cell r="C265">
            <v>0</v>
          </cell>
          <cell r="D265">
            <v>152.25260868051714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830.55711423633738</v>
          </cell>
        </row>
        <row r="266">
          <cell r="A266">
            <v>249</v>
          </cell>
          <cell r="B266">
            <v>50771</v>
          </cell>
          <cell r="C266">
            <v>0</v>
          </cell>
          <cell r="D266">
            <v>152.25260868051714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830.55711423633738</v>
          </cell>
        </row>
        <row r="267">
          <cell r="A267">
            <v>250</v>
          </cell>
          <cell r="B267">
            <v>50802</v>
          </cell>
          <cell r="C267">
            <v>0</v>
          </cell>
          <cell r="D267">
            <v>152.25260868051714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830.55711423633738</v>
          </cell>
        </row>
        <row r="268">
          <cell r="A268">
            <v>251</v>
          </cell>
          <cell r="B268">
            <v>50830</v>
          </cell>
          <cell r="C268">
            <v>0</v>
          </cell>
          <cell r="D268">
            <v>152.25260868051714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830.55711423633738</v>
          </cell>
        </row>
        <row r="269">
          <cell r="A269">
            <v>252</v>
          </cell>
          <cell r="B269">
            <v>50861</v>
          </cell>
          <cell r="C269">
            <v>0</v>
          </cell>
          <cell r="D269">
            <v>152.25260868051714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830.55711423633738</v>
          </cell>
        </row>
        <row r="270">
          <cell r="A270">
            <v>253</v>
          </cell>
          <cell r="B270">
            <v>50891</v>
          </cell>
          <cell r="C270">
            <v>0</v>
          </cell>
          <cell r="D270">
            <v>152.25260868051714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830.55711423633738</v>
          </cell>
        </row>
        <row r="271">
          <cell r="A271">
            <v>254</v>
          </cell>
          <cell r="B271">
            <v>50922</v>
          </cell>
          <cell r="C271">
            <v>0</v>
          </cell>
          <cell r="D271">
            <v>152.25260868051714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830.55711423633738</v>
          </cell>
        </row>
        <row r="272">
          <cell r="A272">
            <v>255</v>
          </cell>
          <cell r="B272">
            <v>50952</v>
          </cell>
          <cell r="C272">
            <v>0</v>
          </cell>
          <cell r="D272">
            <v>152.25260868051714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830.55711423633738</v>
          </cell>
        </row>
        <row r="273">
          <cell r="A273">
            <v>256</v>
          </cell>
          <cell r="B273">
            <v>50983</v>
          </cell>
          <cell r="C273">
            <v>0</v>
          </cell>
          <cell r="D273">
            <v>152.25260868051714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830.55711423633738</v>
          </cell>
        </row>
        <row r="274">
          <cell r="A274">
            <v>257</v>
          </cell>
          <cell r="B274">
            <v>51014</v>
          </cell>
          <cell r="C274">
            <v>0</v>
          </cell>
          <cell r="D274">
            <v>152.25260868051714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830.55711423633738</v>
          </cell>
        </row>
        <row r="275">
          <cell r="A275">
            <v>258</v>
          </cell>
          <cell r="B275">
            <v>51044</v>
          </cell>
          <cell r="C275">
            <v>0</v>
          </cell>
          <cell r="D275">
            <v>152.25260868051714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830.55711423633738</v>
          </cell>
        </row>
        <row r="276">
          <cell r="A276">
            <v>259</v>
          </cell>
          <cell r="B276">
            <v>51075</v>
          </cell>
          <cell r="C276">
            <v>0</v>
          </cell>
          <cell r="D276">
            <v>152.25260868051714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830.55711423633738</v>
          </cell>
        </row>
        <row r="277">
          <cell r="A277">
            <v>260</v>
          </cell>
          <cell r="B277">
            <v>51105</v>
          </cell>
          <cell r="C277">
            <v>0</v>
          </cell>
          <cell r="D277">
            <v>152.25260868051714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830.55711423633738</v>
          </cell>
        </row>
        <row r="278">
          <cell r="A278">
            <v>261</v>
          </cell>
          <cell r="B278">
            <v>51136</v>
          </cell>
          <cell r="C278">
            <v>0</v>
          </cell>
          <cell r="D278">
            <v>152.25260868051714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830.55711423633738</v>
          </cell>
        </row>
        <row r="279">
          <cell r="A279">
            <v>262</v>
          </cell>
          <cell r="B279">
            <v>51167</v>
          </cell>
          <cell r="C279">
            <v>0</v>
          </cell>
          <cell r="D279">
            <v>152.25260868051714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830.55711423633738</v>
          </cell>
        </row>
        <row r="280">
          <cell r="A280">
            <v>263</v>
          </cell>
          <cell r="B280">
            <v>51196</v>
          </cell>
          <cell r="C280">
            <v>0</v>
          </cell>
          <cell r="D280">
            <v>152.25260868051714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830.55711423633738</v>
          </cell>
        </row>
        <row r="281">
          <cell r="A281">
            <v>264</v>
          </cell>
          <cell r="B281">
            <v>51227</v>
          </cell>
          <cell r="C281">
            <v>0</v>
          </cell>
          <cell r="D281">
            <v>152.25260868051714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830.55711423633738</v>
          </cell>
        </row>
        <row r="282">
          <cell r="A282">
            <v>265</v>
          </cell>
          <cell r="B282">
            <v>51257</v>
          </cell>
          <cell r="C282">
            <v>0</v>
          </cell>
          <cell r="D282">
            <v>152.25260868051714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830.55711423633738</v>
          </cell>
        </row>
        <row r="283">
          <cell r="A283">
            <v>266</v>
          </cell>
          <cell r="B283">
            <v>51288</v>
          </cell>
          <cell r="C283">
            <v>0</v>
          </cell>
          <cell r="D283">
            <v>152.25260868051714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830.55711423633738</v>
          </cell>
        </row>
        <row r="284">
          <cell r="A284">
            <v>267</v>
          </cell>
          <cell r="B284">
            <v>51318</v>
          </cell>
          <cell r="C284">
            <v>0</v>
          </cell>
          <cell r="D284">
            <v>152.25260868051714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830.55711423633738</v>
          </cell>
        </row>
        <row r="285">
          <cell r="A285">
            <v>268</v>
          </cell>
          <cell r="B285">
            <v>51349</v>
          </cell>
          <cell r="C285">
            <v>0</v>
          </cell>
          <cell r="D285">
            <v>152.25260868051714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830.55711423633738</v>
          </cell>
        </row>
        <row r="286">
          <cell r="A286">
            <v>269</v>
          </cell>
          <cell r="B286">
            <v>51380</v>
          </cell>
          <cell r="C286">
            <v>0</v>
          </cell>
          <cell r="D286">
            <v>152.25260868051714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830.55711423633738</v>
          </cell>
        </row>
        <row r="287">
          <cell r="A287">
            <v>270</v>
          </cell>
          <cell r="B287">
            <v>51410</v>
          </cell>
          <cell r="C287">
            <v>0</v>
          </cell>
          <cell r="D287">
            <v>152.25260868051714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830.55711423633738</v>
          </cell>
        </row>
        <row r="288">
          <cell r="A288">
            <v>271</v>
          </cell>
          <cell r="B288">
            <v>51441</v>
          </cell>
          <cell r="C288">
            <v>0</v>
          </cell>
          <cell r="D288">
            <v>152.25260868051714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830.55711423633738</v>
          </cell>
        </row>
        <row r="289">
          <cell r="A289">
            <v>272</v>
          </cell>
          <cell r="B289">
            <v>51471</v>
          </cell>
          <cell r="C289">
            <v>0</v>
          </cell>
          <cell r="D289">
            <v>152.25260868051714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830.55711423633738</v>
          </cell>
        </row>
        <row r="290">
          <cell r="A290">
            <v>273</v>
          </cell>
          <cell r="B290">
            <v>51502</v>
          </cell>
          <cell r="C290">
            <v>0</v>
          </cell>
          <cell r="D290">
            <v>152.25260868051714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830.55711423633738</v>
          </cell>
        </row>
        <row r="291">
          <cell r="A291">
            <v>274</v>
          </cell>
          <cell r="B291">
            <v>51533</v>
          </cell>
          <cell r="C291">
            <v>0</v>
          </cell>
          <cell r="D291">
            <v>152.25260868051714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830.55711423633738</v>
          </cell>
        </row>
        <row r="292">
          <cell r="A292">
            <v>275</v>
          </cell>
          <cell r="B292">
            <v>51561</v>
          </cell>
          <cell r="C292">
            <v>0</v>
          </cell>
          <cell r="D292">
            <v>152.25260868051714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830.55711423633738</v>
          </cell>
        </row>
        <row r="293">
          <cell r="A293">
            <v>276</v>
          </cell>
          <cell r="B293">
            <v>51592</v>
          </cell>
          <cell r="C293">
            <v>0</v>
          </cell>
          <cell r="D293">
            <v>152.25260868051714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830.55711423633738</v>
          </cell>
        </row>
        <row r="294">
          <cell r="A294">
            <v>277</v>
          </cell>
          <cell r="B294">
            <v>51622</v>
          </cell>
          <cell r="C294">
            <v>0</v>
          </cell>
          <cell r="D294">
            <v>152.25260868051714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830.55711423633738</v>
          </cell>
        </row>
        <row r="295">
          <cell r="A295">
            <v>278</v>
          </cell>
          <cell r="B295">
            <v>51653</v>
          </cell>
          <cell r="C295">
            <v>0</v>
          </cell>
          <cell r="D295">
            <v>152.25260868051714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830.55711423633738</v>
          </cell>
        </row>
        <row r="296">
          <cell r="A296">
            <v>279</v>
          </cell>
          <cell r="B296">
            <v>51683</v>
          </cell>
          <cell r="C296">
            <v>0</v>
          </cell>
          <cell r="D296">
            <v>152.25260868051714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830.55711423633738</v>
          </cell>
        </row>
        <row r="297">
          <cell r="A297">
            <v>280</v>
          </cell>
          <cell r="B297">
            <v>51714</v>
          </cell>
          <cell r="C297">
            <v>0</v>
          </cell>
          <cell r="D297">
            <v>152.25260868051714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830.55711423633738</v>
          </cell>
        </row>
        <row r="298">
          <cell r="A298">
            <v>281</v>
          </cell>
          <cell r="B298">
            <v>51745</v>
          </cell>
          <cell r="C298">
            <v>0</v>
          </cell>
          <cell r="D298">
            <v>152.25260868051714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830.55711423633738</v>
          </cell>
        </row>
        <row r="299">
          <cell r="A299">
            <v>282</v>
          </cell>
          <cell r="B299">
            <v>51775</v>
          </cell>
          <cell r="C299">
            <v>0</v>
          </cell>
          <cell r="D299">
            <v>152.25260868051714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830.55711423633738</v>
          </cell>
        </row>
        <row r="300">
          <cell r="A300">
            <v>283</v>
          </cell>
          <cell r="B300">
            <v>51806</v>
          </cell>
          <cell r="C300">
            <v>0</v>
          </cell>
          <cell r="D300">
            <v>152.25260868051714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830.55711423633738</v>
          </cell>
        </row>
        <row r="301">
          <cell r="A301">
            <v>284</v>
          </cell>
          <cell r="B301">
            <v>51836</v>
          </cell>
          <cell r="C301">
            <v>0</v>
          </cell>
          <cell r="D301">
            <v>152.25260868051714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830.55711423633738</v>
          </cell>
        </row>
        <row r="302">
          <cell r="A302">
            <v>285</v>
          </cell>
          <cell r="B302">
            <v>51867</v>
          </cell>
          <cell r="C302">
            <v>0</v>
          </cell>
          <cell r="D302">
            <v>152.25260868051714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830.55711423633738</v>
          </cell>
        </row>
        <row r="303">
          <cell r="A303">
            <v>286</v>
          </cell>
          <cell r="B303">
            <v>51898</v>
          </cell>
          <cell r="C303">
            <v>0</v>
          </cell>
          <cell r="D303">
            <v>152.25260868051714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830.55711423633738</v>
          </cell>
        </row>
        <row r="304">
          <cell r="A304">
            <v>287</v>
          </cell>
          <cell r="B304">
            <v>51926</v>
          </cell>
          <cell r="C304">
            <v>0</v>
          </cell>
          <cell r="D304">
            <v>152.25260868051714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830.55711423633738</v>
          </cell>
        </row>
        <row r="305">
          <cell r="A305">
            <v>288</v>
          </cell>
          <cell r="B305">
            <v>51957</v>
          </cell>
          <cell r="C305">
            <v>0</v>
          </cell>
          <cell r="D305">
            <v>152.25260868051714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830.55711423633738</v>
          </cell>
        </row>
        <row r="306">
          <cell r="A306">
            <v>289</v>
          </cell>
          <cell r="B306">
            <v>51987</v>
          </cell>
          <cell r="C306">
            <v>0</v>
          </cell>
          <cell r="D306">
            <v>152.25260868051714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830.55711423633738</v>
          </cell>
        </row>
        <row r="307">
          <cell r="A307">
            <v>290</v>
          </cell>
          <cell r="B307">
            <v>52018</v>
          </cell>
          <cell r="C307">
            <v>0</v>
          </cell>
          <cell r="D307">
            <v>152.25260868051714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830.55711423633738</v>
          </cell>
        </row>
        <row r="308">
          <cell r="A308">
            <v>291</v>
          </cell>
          <cell r="B308">
            <v>52048</v>
          </cell>
          <cell r="C308">
            <v>0</v>
          </cell>
          <cell r="D308">
            <v>152.25260868051714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830.55711423633738</v>
          </cell>
        </row>
        <row r="309">
          <cell r="A309">
            <v>292</v>
          </cell>
          <cell r="B309">
            <v>52079</v>
          </cell>
          <cell r="C309">
            <v>0</v>
          </cell>
          <cell r="D309">
            <v>152.25260868051714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830.55711423633738</v>
          </cell>
        </row>
        <row r="310">
          <cell r="A310">
            <v>293</v>
          </cell>
          <cell r="B310">
            <v>52110</v>
          </cell>
          <cell r="C310">
            <v>0</v>
          </cell>
          <cell r="D310">
            <v>152.25260868051714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830.55711423633738</v>
          </cell>
        </row>
        <row r="311">
          <cell r="A311">
            <v>294</v>
          </cell>
          <cell r="B311">
            <v>52140</v>
          </cell>
          <cell r="C311">
            <v>0</v>
          </cell>
          <cell r="D311">
            <v>152.25260868051714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830.55711423633738</v>
          </cell>
        </row>
        <row r="312">
          <cell r="A312">
            <v>295</v>
          </cell>
          <cell r="B312">
            <v>52171</v>
          </cell>
          <cell r="C312">
            <v>0</v>
          </cell>
          <cell r="D312">
            <v>152.25260868051714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830.55711423633738</v>
          </cell>
        </row>
        <row r="313">
          <cell r="A313">
            <v>296</v>
          </cell>
          <cell r="B313">
            <v>52201</v>
          </cell>
          <cell r="C313">
            <v>0</v>
          </cell>
          <cell r="D313">
            <v>152.25260868051714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830.55711423633738</v>
          </cell>
        </row>
        <row r="314">
          <cell r="A314">
            <v>297</v>
          </cell>
          <cell r="B314">
            <v>52232</v>
          </cell>
          <cell r="C314">
            <v>0</v>
          </cell>
          <cell r="D314">
            <v>152.25260868051714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830.55711423633738</v>
          </cell>
        </row>
        <row r="315">
          <cell r="A315">
            <v>298</v>
          </cell>
          <cell r="B315">
            <v>52263</v>
          </cell>
          <cell r="C315">
            <v>0</v>
          </cell>
          <cell r="D315">
            <v>152.25260868051714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830.55711423633738</v>
          </cell>
        </row>
        <row r="316">
          <cell r="A316">
            <v>299</v>
          </cell>
          <cell r="B316">
            <v>52291</v>
          </cell>
          <cell r="C316">
            <v>0</v>
          </cell>
          <cell r="D316">
            <v>152.25260868051714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830.55711423633738</v>
          </cell>
        </row>
        <row r="317">
          <cell r="A317">
            <v>300</v>
          </cell>
          <cell r="B317">
            <v>52322</v>
          </cell>
          <cell r="C317">
            <v>0</v>
          </cell>
          <cell r="D317">
            <v>152.25260868051714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830.55711423633738</v>
          </cell>
        </row>
        <row r="318">
          <cell r="A318">
            <v>301</v>
          </cell>
          <cell r="B318">
            <v>52352</v>
          </cell>
          <cell r="C318">
            <v>0</v>
          </cell>
          <cell r="D318">
            <v>152.25260868051714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830.55711423633738</v>
          </cell>
        </row>
        <row r="319">
          <cell r="A319">
            <v>302</v>
          </cell>
          <cell r="B319">
            <v>52383</v>
          </cell>
          <cell r="C319">
            <v>0</v>
          </cell>
          <cell r="D319">
            <v>152.25260868051714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830.55711423633738</v>
          </cell>
        </row>
        <row r="320">
          <cell r="A320">
            <v>303</v>
          </cell>
          <cell r="B320">
            <v>52413</v>
          </cell>
          <cell r="C320">
            <v>0</v>
          </cell>
          <cell r="D320">
            <v>152.25260868051714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830.55711423633738</v>
          </cell>
        </row>
        <row r="321">
          <cell r="A321">
            <v>304</v>
          </cell>
          <cell r="B321">
            <v>52444</v>
          </cell>
          <cell r="C321">
            <v>0</v>
          </cell>
          <cell r="D321">
            <v>152.25260868051714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830.55711423633738</v>
          </cell>
        </row>
        <row r="322">
          <cell r="A322">
            <v>305</v>
          </cell>
          <cell r="B322">
            <v>52475</v>
          </cell>
          <cell r="C322">
            <v>0</v>
          </cell>
          <cell r="D322">
            <v>152.25260868051714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830.55711423633738</v>
          </cell>
        </row>
        <row r="323">
          <cell r="A323">
            <v>306</v>
          </cell>
          <cell r="B323">
            <v>52505</v>
          </cell>
          <cell r="C323">
            <v>0</v>
          </cell>
          <cell r="D323">
            <v>152.25260868051714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830.55711423633738</v>
          </cell>
        </row>
        <row r="324">
          <cell r="A324">
            <v>307</v>
          </cell>
          <cell r="B324">
            <v>52536</v>
          </cell>
          <cell r="C324">
            <v>0</v>
          </cell>
          <cell r="D324">
            <v>152.25260868051714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830.55711423633738</v>
          </cell>
        </row>
        <row r="325">
          <cell r="A325">
            <v>308</v>
          </cell>
          <cell r="B325">
            <v>52566</v>
          </cell>
          <cell r="C325">
            <v>0</v>
          </cell>
          <cell r="D325">
            <v>152.25260868051714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830.55711423633738</v>
          </cell>
        </row>
        <row r="326">
          <cell r="A326">
            <v>309</v>
          </cell>
          <cell r="B326">
            <v>52597</v>
          </cell>
          <cell r="C326">
            <v>0</v>
          </cell>
          <cell r="D326">
            <v>152.25260868051714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830.55711423633738</v>
          </cell>
        </row>
        <row r="327">
          <cell r="A327">
            <v>310</v>
          </cell>
          <cell r="B327">
            <v>52628</v>
          </cell>
          <cell r="C327">
            <v>0</v>
          </cell>
          <cell r="D327">
            <v>152.25260868051714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830.55711423633738</v>
          </cell>
        </row>
        <row r="328">
          <cell r="A328">
            <v>311</v>
          </cell>
          <cell r="B328">
            <v>52657</v>
          </cell>
          <cell r="C328">
            <v>0</v>
          </cell>
          <cell r="D328">
            <v>152.25260868051714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830.55711423633738</v>
          </cell>
        </row>
        <row r="329">
          <cell r="A329">
            <v>312</v>
          </cell>
          <cell r="B329">
            <v>52688</v>
          </cell>
          <cell r="C329">
            <v>0</v>
          </cell>
          <cell r="D329">
            <v>152.25260868051714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830.55711423633738</v>
          </cell>
        </row>
        <row r="330">
          <cell r="A330">
            <v>313</v>
          </cell>
          <cell r="B330">
            <v>52718</v>
          </cell>
          <cell r="C330">
            <v>0</v>
          </cell>
          <cell r="D330">
            <v>152.25260868051714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830.55711423633738</v>
          </cell>
        </row>
        <row r="331">
          <cell r="A331">
            <v>314</v>
          </cell>
          <cell r="B331">
            <v>52749</v>
          </cell>
          <cell r="C331">
            <v>0</v>
          </cell>
          <cell r="D331">
            <v>152.25260868051714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830.55711423633738</v>
          </cell>
        </row>
        <row r="332">
          <cell r="A332">
            <v>315</v>
          </cell>
          <cell r="B332">
            <v>52779</v>
          </cell>
          <cell r="C332">
            <v>0</v>
          </cell>
          <cell r="D332">
            <v>152.25260868051714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830.55711423633738</v>
          </cell>
        </row>
        <row r="333">
          <cell r="A333">
            <v>316</v>
          </cell>
          <cell r="B333">
            <v>52810</v>
          </cell>
          <cell r="C333">
            <v>0</v>
          </cell>
          <cell r="D333">
            <v>152.25260868051714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830.55711423633738</v>
          </cell>
        </row>
        <row r="334">
          <cell r="A334">
            <v>317</v>
          </cell>
          <cell r="B334">
            <v>52841</v>
          </cell>
          <cell r="C334">
            <v>0</v>
          </cell>
          <cell r="D334">
            <v>152.25260868051714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830.55711423633738</v>
          </cell>
        </row>
        <row r="335">
          <cell r="A335">
            <v>318</v>
          </cell>
          <cell r="B335">
            <v>52871</v>
          </cell>
          <cell r="C335">
            <v>0</v>
          </cell>
          <cell r="D335">
            <v>152.25260868051714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830.55711423633738</v>
          </cell>
        </row>
        <row r="336">
          <cell r="A336">
            <v>319</v>
          </cell>
          <cell r="B336">
            <v>52902</v>
          </cell>
          <cell r="C336">
            <v>0</v>
          </cell>
          <cell r="D336">
            <v>152.25260868051714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830.55711423633738</v>
          </cell>
        </row>
        <row r="337">
          <cell r="A337">
            <v>320</v>
          </cell>
          <cell r="B337">
            <v>52932</v>
          </cell>
          <cell r="C337">
            <v>0</v>
          </cell>
          <cell r="D337">
            <v>152.25260868051714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830.55711423633738</v>
          </cell>
        </row>
        <row r="338">
          <cell r="A338">
            <v>321</v>
          </cell>
          <cell r="B338">
            <v>52963</v>
          </cell>
          <cell r="C338">
            <v>0</v>
          </cell>
          <cell r="D338">
            <v>152.25260868051714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830.55711423633738</v>
          </cell>
        </row>
        <row r="339">
          <cell r="A339">
            <v>322</v>
          </cell>
          <cell r="B339">
            <v>52994</v>
          </cell>
          <cell r="C339">
            <v>0</v>
          </cell>
          <cell r="D339">
            <v>152.25260868051714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830.55711423633738</v>
          </cell>
        </row>
        <row r="340">
          <cell r="A340">
            <v>323</v>
          </cell>
          <cell r="B340">
            <v>53022</v>
          </cell>
          <cell r="C340">
            <v>0</v>
          </cell>
          <cell r="D340">
            <v>152.25260868051714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830.55711423633738</v>
          </cell>
        </row>
        <row r="341">
          <cell r="A341">
            <v>324</v>
          </cell>
          <cell r="B341">
            <v>53053</v>
          </cell>
          <cell r="C341">
            <v>0</v>
          </cell>
          <cell r="D341">
            <v>152.25260868051714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830.55711423633738</v>
          </cell>
        </row>
        <row r="342">
          <cell r="A342">
            <v>325</v>
          </cell>
          <cell r="B342">
            <v>53083</v>
          </cell>
          <cell r="C342">
            <v>0</v>
          </cell>
          <cell r="D342">
            <v>152.25260868051714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830.55711423633738</v>
          </cell>
        </row>
        <row r="343">
          <cell r="A343">
            <v>326</v>
          </cell>
          <cell r="B343">
            <v>53114</v>
          </cell>
          <cell r="C343">
            <v>0</v>
          </cell>
          <cell r="D343">
            <v>152.25260868051714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830.55711423633738</v>
          </cell>
        </row>
        <row r="344">
          <cell r="A344">
            <v>327</v>
          </cell>
          <cell r="B344">
            <v>53144</v>
          </cell>
          <cell r="C344">
            <v>0</v>
          </cell>
          <cell r="D344">
            <v>152.25260868051714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830.55711423633738</v>
          </cell>
        </row>
        <row r="345">
          <cell r="A345">
            <v>328</v>
          </cell>
          <cell r="B345">
            <v>53175</v>
          </cell>
          <cell r="C345">
            <v>0</v>
          </cell>
          <cell r="D345">
            <v>152.25260868051714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830.55711423633738</v>
          </cell>
        </row>
        <row r="346">
          <cell r="A346">
            <v>329</v>
          </cell>
          <cell r="B346">
            <v>53206</v>
          </cell>
          <cell r="C346">
            <v>0</v>
          </cell>
          <cell r="D346">
            <v>152.25260868051714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830.55711423633738</v>
          </cell>
        </row>
        <row r="347">
          <cell r="A347">
            <v>330</v>
          </cell>
          <cell r="B347">
            <v>53236</v>
          </cell>
          <cell r="C347">
            <v>0</v>
          </cell>
          <cell r="D347">
            <v>152.25260868051714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830.55711423633738</v>
          </cell>
        </row>
        <row r="348">
          <cell r="A348">
            <v>331</v>
          </cell>
          <cell r="B348">
            <v>53267</v>
          </cell>
          <cell r="C348">
            <v>0</v>
          </cell>
          <cell r="D348">
            <v>152.25260868051714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830.55711423633738</v>
          </cell>
        </row>
        <row r="349">
          <cell r="A349">
            <v>332</v>
          </cell>
          <cell r="B349">
            <v>53297</v>
          </cell>
          <cell r="C349">
            <v>0</v>
          </cell>
          <cell r="D349">
            <v>152.25260868051714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830.55711423633738</v>
          </cell>
        </row>
        <row r="350">
          <cell r="A350">
            <v>333</v>
          </cell>
          <cell r="B350">
            <v>53328</v>
          </cell>
          <cell r="C350">
            <v>0</v>
          </cell>
          <cell r="D350">
            <v>152.25260868051714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830.55711423633738</v>
          </cell>
        </row>
        <row r="351">
          <cell r="A351">
            <v>334</v>
          </cell>
          <cell r="B351">
            <v>53359</v>
          </cell>
          <cell r="C351">
            <v>0</v>
          </cell>
          <cell r="D351">
            <v>152.25260868051714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830.55711423633738</v>
          </cell>
        </row>
        <row r="352">
          <cell r="A352">
            <v>335</v>
          </cell>
          <cell r="B352">
            <v>53387</v>
          </cell>
          <cell r="C352">
            <v>0</v>
          </cell>
          <cell r="D352">
            <v>152.25260868051714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830.55711423633738</v>
          </cell>
        </row>
        <row r="353">
          <cell r="A353">
            <v>336</v>
          </cell>
          <cell r="B353">
            <v>53418</v>
          </cell>
          <cell r="C353">
            <v>0</v>
          </cell>
          <cell r="D353">
            <v>152.25260868051714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830.55711423633738</v>
          </cell>
        </row>
        <row r="354">
          <cell r="A354">
            <v>337</v>
          </cell>
          <cell r="B354">
            <v>53448</v>
          </cell>
          <cell r="C354">
            <v>0</v>
          </cell>
          <cell r="D354">
            <v>152.25260868051714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830.55711423633738</v>
          </cell>
        </row>
        <row r="355">
          <cell r="A355">
            <v>338</v>
          </cell>
          <cell r="B355">
            <v>53479</v>
          </cell>
          <cell r="C355">
            <v>0</v>
          </cell>
          <cell r="D355">
            <v>152.25260868051714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830.55711423633738</v>
          </cell>
        </row>
        <row r="356">
          <cell r="A356">
            <v>339</v>
          </cell>
          <cell r="B356">
            <v>53509</v>
          </cell>
          <cell r="C356">
            <v>0</v>
          </cell>
          <cell r="D356">
            <v>152.25260868051714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830.55711423633738</v>
          </cell>
        </row>
        <row r="357">
          <cell r="A357">
            <v>340</v>
          </cell>
          <cell r="B357">
            <v>53540</v>
          </cell>
          <cell r="C357">
            <v>0</v>
          </cell>
          <cell r="D357">
            <v>152.25260868051714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830.55711423633738</v>
          </cell>
        </row>
        <row r="358">
          <cell r="A358">
            <v>341</v>
          </cell>
          <cell r="B358">
            <v>53571</v>
          </cell>
          <cell r="C358">
            <v>0</v>
          </cell>
          <cell r="D358">
            <v>152.25260868051714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830.55711423633738</v>
          </cell>
        </row>
        <row r="359">
          <cell r="A359">
            <v>342</v>
          </cell>
          <cell r="B359">
            <v>53601</v>
          </cell>
          <cell r="C359">
            <v>0</v>
          </cell>
          <cell r="D359">
            <v>152.25260868051714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830.55711423633738</v>
          </cell>
        </row>
        <row r="360">
          <cell r="A360">
            <v>343</v>
          </cell>
          <cell r="B360">
            <v>53632</v>
          </cell>
          <cell r="C360">
            <v>0</v>
          </cell>
          <cell r="D360">
            <v>152.25260868051714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830.55711423633738</v>
          </cell>
        </row>
        <row r="361">
          <cell r="A361">
            <v>344</v>
          </cell>
          <cell r="B361">
            <v>53662</v>
          </cell>
          <cell r="C361">
            <v>0</v>
          </cell>
          <cell r="D361">
            <v>152.25260868051714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830.55711423633738</v>
          </cell>
        </row>
        <row r="362">
          <cell r="A362">
            <v>345</v>
          </cell>
          <cell r="B362">
            <v>53693</v>
          </cell>
          <cell r="C362">
            <v>0</v>
          </cell>
          <cell r="D362">
            <v>152.25260868051714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830.55711423633738</v>
          </cell>
        </row>
        <row r="363">
          <cell r="A363">
            <v>346</v>
          </cell>
          <cell r="B363">
            <v>53724</v>
          </cell>
          <cell r="C363">
            <v>0</v>
          </cell>
          <cell r="D363">
            <v>152.25260868051714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830.55711423633738</v>
          </cell>
        </row>
        <row r="364">
          <cell r="A364">
            <v>347</v>
          </cell>
          <cell r="B364">
            <v>53752</v>
          </cell>
          <cell r="C364">
            <v>0</v>
          </cell>
          <cell r="D364">
            <v>152.25260868051714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830.55711423633738</v>
          </cell>
        </row>
        <row r="365">
          <cell r="A365">
            <v>348</v>
          </cell>
          <cell r="B365">
            <v>53783</v>
          </cell>
          <cell r="C365">
            <v>0</v>
          </cell>
          <cell r="D365">
            <v>152.25260868051714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830.55711423633738</v>
          </cell>
        </row>
        <row r="366">
          <cell r="A366">
            <v>349</v>
          </cell>
          <cell r="B366">
            <v>53813</v>
          </cell>
          <cell r="C366">
            <v>0</v>
          </cell>
          <cell r="D366">
            <v>152.25260868051714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830.55711423633738</v>
          </cell>
        </row>
        <row r="367">
          <cell r="A367">
            <v>350</v>
          </cell>
          <cell r="B367">
            <v>53844</v>
          </cell>
          <cell r="C367">
            <v>0</v>
          </cell>
          <cell r="D367">
            <v>152.25260868051714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830.55711423633738</v>
          </cell>
        </row>
        <row r="368">
          <cell r="A368">
            <v>351</v>
          </cell>
          <cell r="B368">
            <v>53874</v>
          </cell>
          <cell r="C368">
            <v>0</v>
          </cell>
          <cell r="D368">
            <v>152.25260868051714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830.55711423633738</v>
          </cell>
        </row>
        <row r="369">
          <cell r="A369">
            <v>352</v>
          </cell>
          <cell r="B369">
            <v>53905</v>
          </cell>
          <cell r="C369">
            <v>0</v>
          </cell>
          <cell r="D369">
            <v>152.25260868051714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830.55711423633738</v>
          </cell>
        </row>
        <row r="370">
          <cell r="A370">
            <v>353</v>
          </cell>
          <cell r="B370">
            <v>53936</v>
          </cell>
          <cell r="C370">
            <v>0</v>
          </cell>
          <cell r="D370">
            <v>152.25260868051714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830.55711423633738</v>
          </cell>
        </row>
        <row r="371">
          <cell r="A371">
            <v>354</v>
          </cell>
          <cell r="B371">
            <v>53966</v>
          </cell>
          <cell r="C371">
            <v>0</v>
          </cell>
          <cell r="D371">
            <v>152.25260868051714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830.55711423633738</v>
          </cell>
        </row>
        <row r="372">
          <cell r="A372">
            <v>355</v>
          </cell>
          <cell r="B372">
            <v>53997</v>
          </cell>
          <cell r="C372">
            <v>0</v>
          </cell>
          <cell r="D372">
            <v>152.25260868051714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830.55711423633738</v>
          </cell>
        </row>
        <row r="373">
          <cell r="A373">
            <v>356</v>
          </cell>
          <cell r="B373">
            <v>54027</v>
          </cell>
          <cell r="C373">
            <v>0</v>
          </cell>
          <cell r="D373">
            <v>152.25260868051714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830.55711423633738</v>
          </cell>
        </row>
        <row r="374">
          <cell r="A374">
            <v>357</v>
          </cell>
          <cell r="B374">
            <v>54058</v>
          </cell>
          <cell r="C374">
            <v>0</v>
          </cell>
          <cell r="D374">
            <v>152.25260868051714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830.55711423633738</v>
          </cell>
        </row>
        <row r="375">
          <cell r="A375">
            <v>358</v>
          </cell>
          <cell r="B375">
            <v>54089</v>
          </cell>
          <cell r="C375">
            <v>0</v>
          </cell>
          <cell r="D375">
            <v>152.25260868051714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830.55711423633738</v>
          </cell>
        </row>
        <row r="376">
          <cell r="A376">
            <v>359</v>
          </cell>
          <cell r="B376">
            <v>54118</v>
          </cell>
          <cell r="C376">
            <v>0</v>
          </cell>
          <cell r="D376">
            <v>152.25260868051714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830.55711423633738</v>
          </cell>
        </row>
        <row r="377">
          <cell r="A377">
            <v>360</v>
          </cell>
          <cell r="B377">
            <v>54149</v>
          </cell>
          <cell r="C377">
            <v>0</v>
          </cell>
          <cell r="D377">
            <v>152.25260868051714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830.55711423633738</v>
          </cell>
        </row>
        <row r="378">
          <cell r="A378">
            <v>361</v>
          </cell>
          <cell r="B378">
            <v>54179</v>
          </cell>
          <cell r="C378">
            <v>0</v>
          </cell>
          <cell r="D378">
            <v>152.25260868051714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830.55711423633738</v>
          </cell>
        </row>
        <row r="379">
          <cell r="A379">
            <v>362</v>
          </cell>
          <cell r="B379">
            <v>54210</v>
          </cell>
          <cell r="C379">
            <v>0</v>
          </cell>
          <cell r="D379">
            <v>152.25260868051714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830.55711423633738</v>
          </cell>
        </row>
        <row r="380">
          <cell r="A380">
            <v>363</v>
          </cell>
          <cell r="B380">
            <v>54240</v>
          </cell>
          <cell r="C380">
            <v>0</v>
          </cell>
          <cell r="D380">
            <v>152.25260868051714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830.55711423633738</v>
          </cell>
        </row>
        <row r="381">
          <cell r="A381">
            <v>364</v>
          </cell>
          <cell r="B381">
            <v>54271</v>
          </cell>
          <cell r="C381">
            <v>0</v>
          </cell>
          <cell r="D381">
            <v>152.25260868051714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830.55711423633738</v>
          </cell>
        </row>
        <row r="382">
          <cell r="A382">
            <v>365</v>
          </cell>
          <cell r="B382">
            <v>54302</v>
          </cell>
          <cell r="C382">
            <v>0</v>
          </cell>
          <cell r="D382">
            <v>152.25260868051714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830.55711423633738</v>
          </cell>
        </row>
        <row r="383">
          <cell r="A383">
            <v>366</v>
          </cell>
          <cell r="B383">
            <v>54332</v>
          </cell>
          <cell r="C383">
            <v>0</v>
          </cell>
          <cell r="D383">
            <v>152.25260868051714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830.55711423633738</v>
          </cell>
        </row>
        <row r="384">
          <cell r="A384">
            <v>367</v>
          </cell>
          <cell r="B384">
            <v>54363</v>
          </cell>
          <cell r="C384">
            <v>0</v>
          </cell>
          <cell r="D384">
            <v>152.25260868051714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830.55711423633738</v>
          </cell>
        </row>
        <row r="385">
          <cell r="A385">
            <v>368</v>
          </cell>
          <cell r="B385">
            <v>54393</v>
          </cell>
          <cell r="C385">
            <v>0</v>
          </cell>
          <cell r="D385">
            <v>152.25260868051714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830.55711423633738</v>
          </cell>
        </row>
        <row r="386">
          <cell r="A386">
            <v>369</v>
          </cell>
          <cell r="B386">
            <v>54424</v>
          </cell>
          <cell r="C386">
            <v>0</v>
          </cell>
          <cell r="D386">
            <v>152.25260868051714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830.55711423633738</v>
          </cell>
        </row>
        <row r="387">
          <cell r="A387">
            <v>370</v>
          </cell>
          <cell r="B387">
            <v>54455</v>
          </cell>
          <cell r="C387">
            <v>0</v>
          </cell>
          <cell r="D387">
            <v>152.25260868051714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830.55711423633738</v>
          </cell>
        </row>
        <row r="388">
          <cell r="A388">
            <v>371</v>
          </cell>
          <cell r="B388">
            <v>54483</v>
          </cell>
          <cell r="C388">
            <v>0</v>
          </cell>
          <cell r="D388">
            <v>152.25260868051714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830.55711423633738</v>
          </cell>
        </row>
        <row r="389">
          <cell r="A389">
            <v>372</v>
          </cell>
          <cell r="B389">
            <v>54514</v>
          </cell>
          <cell r="C389">
            <v>0</v>
          </cell>
          <cell r="D389">
            <v>152.25260868051714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830.55711423633738</v>
          </cell>
        </row>
        <row r="390">
          <cell r="A390">
            <v>373</v>
          </cell>
          <cell r="B390">
            <v>54544</v>
          </cell>
          <cell r="C390">
            <v>0</v>
          </cell>
          <cell r="D390">
            <v>152.25260868051714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830.55711423633738</v>
          </cell>
        </row>
        <row r="391">
          <cell r="A391">
            <v>374</v>
          </cell>
          <cell r="B391">
            <v>54575</v>
          </cell>
          <cell r="C391">
            <v>0</v>
          </cell>
          <cell r="D391">
            <v>152.25260868051714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830.55711423633738</v>
          </cell>
        </row>
        <row r="392">
          <cell r="A392">
            <v>375</v>
          </cell>
          <cell r="B392">
            <v>54605</v>
          </cell>
          <cell r="C392">
            <v>0</v>
          </cell>
          <cell r="D392">
            <v>152.25260868051714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830.55711423633738</v>
          </cell>
        </row>
        <row r="393">
          <cell r="A393">
            <v>376</v>
          </cell>
          <cell r="B393">
            <v>54636</v>
          </cell>
          <cell r="C393">
            <v>0</v>
          </cell>
          <cell r="D393">
            <v>152.25260868051714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830.55711423633738</v>
          </cell>
        </row>
        <row r="394">
          <cell r="A394">
            <v>377</v>
          </cell>
          <cell r="B394">
            <v>54667</v>
          </cell>
          <cell r="C394">
            <v>0</v>
          </cell>
          <cell r="D394">
            <v>152.25260868051714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830.55711423633738</v>
          </cell>
        </row>
        <row r="395">
          <cell r="A395">
            <v>378</v>
          </cell>
          <cell r="B395">
            <v>54697</v>
          </cell>
          <cell r="C395">
            <v>0</v>
          </cell>
          <cell r="D395">
            <v>152.25260868051714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830.55711423633738</v>
          </cell>
        </row>
        <row r="396">
          <cell r="A396">
            <v>379</v>
          </cell>
          <cell r="B396">
            <v>54728</v>
          </cell>
          <cell r="C396">
            <v>0</v>
          </cell>
          <cell r="D396">
            <v>152.25260868051714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830.55711423633738</v>
          </cell>
        </row>
        <row r="397">
          <cell r="A397">
            <v>380</v>
          </cell>
          <cell r="B397">
            <v>54758</v>
          </cell>
          <cell r="C397">
            <v>0</v>
          </cell>
          <cell r="D397">
            <v>152.25260868051714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830.55711423633738</v>
          </cell>
        </row>
        <row r="398">
          <cell r="A398">
            <v>381</v>
          </cell>
          <cell r="B398">
            <v>54789</v>
          </cell>
          <cell r="C398">
            <v>0</v>
          </cell>
          <cell r="D398">
            <v>152.25260868051714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830.55711423633738</v>
          </cell>
        </row>
        <row r="399">
          <cell r="A399">
            <v>382</v>
          </cell>
          <cell r="B399">
            <v>54820</v>
          </cell>
          <cell r="C399">
            <v>0</v>
          </cell>
          <cell r="D399">
            <v>152.25260868051714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830.55711423633738</v>
          </cell>
        </row>
        <row r="400">
          <cell r="A400">
            <v>383</v>
          </cell>
          <cell r="B400">
            <v>54848</v>
          </cell>
          <cell r="C400">
            <v>0</v>
          </cell>
          <cell r="D400">
            <v>152.25260868051714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830.55711423633738</v>
          </cell>
        </row>
        <row r="401">
          <cell r="A401">
            <v>384</v>
          </cell>
          <cell r="B401">
            <v>54879</v>
          </cell>
          <cell r="C401">
            <v>0</v>
          </cell>
          <cell r="D401">
            <v>152.25260868051714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830.55711423633738</v>
          </cell>
        </row>
        <row r="402">
          <cell r="A402">
            <v>385</v>
          </cell>
          <cell r="B402">
            <v>54909</v>
          </cell>
          <cell r="C402">
            <v>0</v>
          </cell>
          <cell r="D402">
            <v>152.25260868051714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830.55711423633738</v>
          </cell>
        </row>
        <row r="403">
          <cell r="A403">
            <v>386</v>
          </cell>
          <cell r="B403">
            <v>54940</v>
          </cell>
          <cell r="C403">
            <v>0</v>
          </cell>
          <cell r="D403">
            <v>152.25260868051714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830.55711423633738</v>
          </cell>
        </row>
        <row r="404">
          <cell r="A404">
            <v>387</v>
          </cell>
          <cell r="B404">
            <v>54970</v>
          </cell>
          <cell r="C404">
            <v>0</v>
          </cell>
          <cell r="D404">
            <v>152.25260868051714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830.55711423633738</v>
          </cell>
        </row>
        <row r="405">
          <cell r="A405">
            <v>388</v>
          </cell>
          <cell r="B405">
            <v>55001</v>
          </cell>
          <cell r="C405">
            <v>0</v>
          </cell>
          <cell r="D405">
            <v>152.25260868051714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830.55711423633738</v>
          </cell>
        </row>
        <row r="406">
          <cell r="A406">
            <v>389</v>
          </cell>
          <cell r="B406">
            <v>55032</v>
          </cell>
          <cell r="C406">
            <v>0</v>
          </cell>
          <cell r="D406">
            <v>152.25260868051714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830.55711423633738</v>
          </cell>
        </row>
        <row r="407">
          <cell r="A407">
            <v>390</v>
          </cell>
          <cell r="B407">
            <v>55062</v>
          </cell>
          <cell r="C407">
            <v>0</v>
          </cell>
          <cell r="D407">
            <v>152.25260868051714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830.55711423633738</v>
          </cell>
        </row>
        <row r="408">
          <cell r="A408">
            <v>391</v>
          </cell>
          <cell r="B408">
            <v>55093</v>
          </cell>
          <cell r="C408">
            <v>0</v>
          </cell>
          <cell r="D408">
            <v>152.25260868051714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830.55711423633738</v>
          </cell>
        </row>
        <row r="409">
          <cell r="A409">
            <v>392</v>
          </cell>
          <cell r="B409">
            <v>55123</v>
          </cell>
          <cell r="C409">
            <v>0</v>
          </cell>
          <cell r="D409">
            <v>152.25260868051714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830.55711423633738</v>
          </cell>
        </row>
        <row r="410">
          <cell r="A410">
            <v>393</v>
          </cell>
          <cell r="B410">
            <v>55154</v>
          </cell>
          <cell r="C410">
            <v>0</v>
          </cell>
          <cell r="D410">
            <v>152.25260868051714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830.55711423633738</v>
          </cell>
        </row>
        <row r="411">
          <cell r="A411">
            <v>394</v>
          </cell>
          <cell r="B411">
            <v>55185</v>
          </cell>
          <cell r="C411">
            <v>0</v>
          </cell>
          <cell r="D411">
            <v>152.25260868051714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830.55711423633738</v>
          </cell>
        </row>
        <row r="412">
          <cell r="A412">
            <v>395</v>
          </cell>
          <cell r="B412">
            <v>55213</v>
          </cell>
          <cell r="C412">
            <v>0</v>
          </cell>
          <cell r="D412">
            <v>152.25260868051714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830.55711423633738</v>
          </cell>
        </row>
        <row r="413">
          <cell r="A413">
            <v>396</v>
          </cell>
          <cell r="B413">
            <v>55244</v>
          </cell>
          <cell r="C413">
            <v>0</v>
          </cell>
          <cell r="D413">
            <v>152.25260868051714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830.55711423633738</v>
          </cell>
        </row>
        <row r="414">
          <cell r="A414">
            <v>397</v>
          </cell>
          <cell r="B414">
            <v>55274</v>
          </cell>
          <cell r="C414">
            <v>0</v>
          </cell>
          <cell r="D414">
            <v>152.25260868051714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830.55711423633738</v>
          </cell>
        </row>
        <row r="415">
          <cell r="A415">
            <v>398</v>
          </cell>
          <cell r="B415">
            <v>55305</v>
          </cell>
          <cell r="C415">
            <v>0</v>
          </cell>
          <cell r="D415">
            <v>152.25260868051714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830.55711423633738</v>
          </cell>
        </row>
        <row r="416">
          <cell r="A416">
            <v>399</v>
          </cell>
          <cell r="B416">
            <v>55335</v>
          </cell>
          <cell r="C416">
            <v>0</v>
          </cell>
          <cell r="D416">
            <v>152.25260868051714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830.55711423633738</v>
          </cell>
        </row>
        <row r="417">
          <cell r="A417">
            <v>400</v>
          </cell>
          <cell r="B417">
            <v>55366</v>
          </cell>
          <cell r="C417">
            <v>0</v>
          </cell>
          <cell r="D417">
            <v>152.25260868051714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830.55711423633738</v>
          </cell>
        </row>
        <row r="418">
          <cell r="A418">
            <v>401</v>
          </cell>
          <cell r="B418">
            <v>55397</v>
          </cell>
          <cell r="C418">
            <v>0</v>
          </cell>
          <cell r="D418">
            <v>152.25260868051714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830.55711423633738</v>
          </cell>
        </row>
        <row r="419">
          <cell r="A419">
            <v>402</v>
          </cell>
          <cell r="B419">
            <v>55427</v>
          </cell>
          <cell r="C419">
            <v>0</v>
          </cell>
          <cell r="D419">
            <v>152.25260868051714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830.55711423633738</v>
          </cell>
        </row>
        <row r="420">
          <cell r="A420">
            <v>403</v>
          </cell>
          <cell r="B420">
            <v>55458</v>
          </cell>
          <cell r="C420">
            <v>0</v>
          </cell>
          <cell r="D420">
            <v>152.25260868051714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830.55711423633738</v>
          </cell>
        </row>
        <row r="421">
          <cell r="A421">
            <v>404</v>
          </cell>
          <cell r="B421">
            <v>55488</v>
          </cell>
          <cell r="C421">
            <v>0</v>
          </cell>
          <cell r="D421">
            <v>152.25260868051714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830.55711423633738</v>
          </cell>
        </row>
        <row r="422">
          <cell r="A422">
            <v>405</v>
          </cell>
          <cell r="B422">
            <v>55519</v>
          </cell>
          <cell r="C422">
            <v>0</v>
          </cell>
          <cell r="D422">
            <v>152.25260868051714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830.55711423633738</v>
          </cell>
        </row>
        <row r="423">
          <cell r="A423">
            <v>406</v>
          </cell>
          <cell r="B423">
            <v>55550</v>
          </cell>
          <cell r="C423">
            <v>0</v>
          </cell>
          <cell r="D423">
            <v>152.25260868051714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830.55711423633738</v>
          </cell>
        </row>
        <row r="424">
          <cell r="A424">
            <v>407</v>
          </cell>
          <cell r="B424">
            <v>55579</v>
          </cell>
          <cell r="C424">
            <v>0</v>
          </cell>
          <cell r="D424">
            <v>152.25260868051714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830.55711423633738</v>
          </cell>
        </row>
        <row r="425">
          <cell r="A425">
            <v>408</v>
          </cell>
          <cell r="B425">
            <v>55610</v>
          </cell>
          <cell r="C425">
            <v>0</v>
          </cell>
          <cell r="D425">
            <v>152.25260868051714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830.55711423633738</v>
          </cell>
        </row>
        <row r="426">
          <cell r="A426">
            <v>409</v>
          </cell>
          <cell r="B426">
            <v>55640</v>
          </cell>
          <cell r="C426">
            <v>0</v>
          </cell>
          <cell r="D426">
            <v>152.25260868051714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830.55711423633738</v>
          </cell>
        </row>
        <row r="427">
          <cell r="A427">
            <v>410</v>
          </cell>
          <cell r="B427">
            <v>55671</v>
          </cell>
          <cell r="C427">
            <v>0</v>
          </cell>
          <cell r="D427">
            <v>152.25260868051714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830.55711423633738</v>
          </cell>
        </row>
        <row r="428">
          <cell r="A428">
            <v>411</v>
          </cell>
          <cell r="B428">
            <v>55701</v>
          </cell>
          <cell r="C428">
            <v>0</v>
          </cell>
          <cell r="D428">
            <v>152.25260868051714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830.55711423633738</v>
          </cell>
        </row>
        <row r="429">
          <cell r="A429">
            <v>412</v>
          </cell>
          <cell r="B429">
            <v>55732</v>
          </cell>
          <cell r="C429">
            <v>0</v>
          </cell>
          <cell r="D429">
            <v>152.25260868051714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830.55711423633738</v>
          </cell>
        </row>
        <row r="430">
          <cell r="A430">
            <v>413</v>
          </cell>
          <cell r="B430">
            <v>55763</v>
          </cell>
          <cell r="C430">
            <v>0</v>
          </cell>
          <cell r="D430">
            <v>152.25260868051714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830.55711423633738</v>
          </cell>
        </row>
        <row r="431">
          <cell r="A431">
            <v>414</v>
          </cell>
          <cell r="B431">
            <v>55793</v>
          </cell>
          <cell r="C431">
            <v>0</v>
          </cell>
          <cell r="D431">
            <v>152.25260868051714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830.55711423633738</v>
          </cell>
        </row>
        <row r="432">
          <cell r="A432">
            <v>415</v>
          </cell>
          <cell r="B432">
            <v>55824</v>
          </cell>
          <cell r="C432">
            <v>0</v>
          </cell>
          <cell r="D432">
            <v>152.25260868051714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830.55711423633738</v>
          </cell>
        </row>
        <row r="433">
          <cell r="A433">
            <v>416</v>
          </cell>
          <cell r="B433">
            <v>55854</v>
          </cell>
          <cell r="C433">
            <v>0</v>
          </cell>
          <cell r="D433">
            <v>152.25260868051714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830.55711423633738</v>
          </cell>
        </row>
        <row r="434">
          <cell r="A434">
            <v>417</v>
          </cell>
          <cell r="B434">
            <v>55885</v>
          </cell>
          <cell r="C434">
            <v>0</v>
          </cell>
          <cell r="D434">
            <v>152.25260868051714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830.55711423633738</v>
          </cell>
        </row>
        <row r="435">
          <cell r="A435">
            <v>418</v>
          </cell>
          <cell r="B435">
            <v>55916</v>
          </cell>
          <cell r="C435">
            <v>0</v>
          </cell>
          <cell r="D435">
            <v>152.25260868051714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830.55711423633738</v>
          </cell>
        </row>
        <row r="436">
          <cell r="A436">
            <v>419</v>
          </cell>
          <cell r="B436">
            <v>55944</v>
          </cell>
          <cell r="C436">
            <v>0</v>
          </cell>
          <cell r="D436">
            <v>152.25260868051714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830.55711423633738</v>
          </cell>
        </row>
        <row r="437">
          <cell r="A437">
            <v>420</v>
          </cell>
          <cell r="B437">
            <v>55975</v>
          </cell>
          <cell r="C437">
            <v>0</v>
          </cell>
          <cell r="D437">
            <v>152.25260868051714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830.55711423633738</v>
          </cell>
        </row>
        <row r="438">
          <cell r="A438">
            <v>421</v>
          </cell>
          <cell r="B438">
            <v>56005</v>
          </cell>
          <cell r="C438">
            <v>0</v>
          </cell>
          <cell r="D438">
            <v>152.25260868051714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830.55711423633738</v>
          </cell>
        </row>
        <row r="439">
          <cell r="A439">
            <v>422</v>
          </cell>
          <cell r="B439">
            <v>56036</v>
          </cell>
          <cell r="C439">
            <v>0</v>
          </cell>
          <cell r="D439">
            <v>152.25260868051714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830.55711423633738</v>
          </cell>
        </row>
        <row r="440">
          <cell r="A440">
            <v>423</v>
          </cell>
          <cell r="B440">
            <v>56066</v>
          </cell>
          <cell r="C440">
            <v>0</v>
          </cell>
          <cell r="D440">
            <v>152.25260868051714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830.55711423633738</v>
          </cell>
        </row>
        <row r="441">
          <cell r="A441">
            <v>424</v>
          </cell>
          <cell r="B441">
            <v>56097</v>
          </cell>
          <cell r="C441">
            <v>0</v>
          </cell>
          <cell r="D441">
            <v>152.25260868051714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830.55711423633738</v>
          </cell>
        </row>
        <row r="442">
          <cell r="A442">
            <v>425</v>
          </cell>
          <cell r="B442">
            <v>56128</v>
          </cell>
          <cell r="C442">
            <v>0</v>
          </cell>
          <cell r="D442">
            <v>152.25260868051714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830.55711423633738</v>
          </cell>
        </row>
        <row r="443">
          <cell r="A443">
            <v>426</v>
          </cell>
          <cell r="B443">
            <v>56158</v>
          </cell>
          <cell r="C443">
            <v>0</v>
          </cell>
          <cell r="D443">
            <v>152.25260868051714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830.55711423633738</v>
          </cell>
        </row>
        <row r="444">
          <cell r="A444">
            <v>427</v>
          </cell>
          <cell r="B444">
            <v>56189</v>
          </cell>
          <cell r="C444">
            <v>0</v>
          </cell>
          <cell r="D444">
            <v>152.25260868051714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830.55711423633738</v>
          </cell>
        </row>
        <row r="445">
          <cell r="A445">
            <v>428</v>
          </cell>
          <cell r="B445">
            <v>56219</v>
          </cell>
          <cell r="C445">
            <v>0</v>
          </cell>
          <cell r="D445">
            <v>152.25260868051714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830.55711423633738</v>
          </cell>
        </row>
        <row r="446">
          <cell r="A446">
            <v>429</v>
          </cell>
          <cell r="B446">
            <v>56250</v>
          </cell>
          <cell r="C446">
            <v>0</v>
          </cell>
          <cell r="D446">
            <v>152.25260868051714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830.55711423633738</v>
          </cell>
        </row>
        <row r="447">
          <cell r="A447">
            <v>430</v>
          </cell>
          <cell r="B447">
            <v>56281</v>
          </cell>
          <cell r="C447">
            <v>0</v>
          </cell>
          <cell r="D447">
            <v>152.25260868051714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830.55711423633738</v>
          </cell>
        </row>
        <row r="448">
          <cell r="A448">
            <v>431</v>
          </cell>
          <cell r="B448">
            <v>56309</v>
          </cell>
          <cell r="C448">
            <v>0</v>
          </cell>
          <cell r="D448">
            <v>152.25260868051714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830.55711423633738</v>
          </cell>
        </row>
        <row r="449">
          <cell r="A449">
            <v>432</v>
          </cell>
          <cell r="B449">
            <v>56340</v>
          </cell>
          <cell r="C449">
            <v>0</v>
          </cell>
          <cell r="D449">
            <v>152.25260868051714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830.55711423633738</v>
          </cell>
        </row>
        <row r="450">
          <cell r="A450">
            <v>433</v>
          </cell>
          <cell r="B450">
            <v>56370</v>
          </cell>
          <cell r="C450">
            <v>0</v>
          </cell>
          <cell r="D450">
            <v>152.25260868051714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830.55711423633738</v>
          </cell>
        </row>
        <row r="451">
          <cell r="A451">
            <v>434</v>
          </cell>
          <cell r="B451">
            <v>56401</v>
          </cell>
          <cell r="C451">
            <v>0</v>
          </cell>
          <cell r="D451">
            <v>152.25260868051714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830.55711423633738</v>
          </cell>
        </row>
        <row r="452">
          <cell r="A452">
            <v>435</v>
          </cell>
          <cell r="B452">
            <v>56431</v>
          </cell>
          <cell r="C452">
            <v>0</v>
          </cell>
          <cell r="D452">
            <v>152.25260868051714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830.55711423633738</v>
          </cell>
        </row>
        <row r="453">
          <cell r="A453">
            <v>436</v>
          </cell>
          <cell r="B453">
            <v>56462</v>
          </cell>
          <cell r="C453">
            <v>0</v>
          </cell>
          <cell r="D453">
            <v>152.25260868051714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830.55711423633738</v>
          </cell>
        </row>
        <row r="454">
          <cell r="A454">
            <v>437</v>
          </cell>
          <cell r="B454">
            <v>56493</v>
          </cell>
          <cell r="C454">
            <v>0</v>
          </cell>
          <cell r="D454">
            <v>152.25260868051714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830.55711423633738</v>
          </cell>
        </row>
        <row r="455">
          <cell r="A455">
            <v>438</v>
          </cell>
          <cell r="B455">
            <v>56523</v>
          </cell>
          <cell r="C455">
            <v>0</v>
          </cell>
          <cell r="D455">
            <v>152.25260868051714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830.55711423633738</v>
          </cell>
        </row>
        <row r="456">
          <cell r="A456">
            <v>439</v>
          </cell>
          <cell r="B456">
            <v>56554</v>
          </cell>
          <cell r="C456">
            <v>0</v>
          </cell>
          <cell r="D456">
            <v>152.25260868051714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830.55711423633738</v>
          </cell>
        </row>
        <row r="457">
          <cell r="A457">
            <v>440</v>
          </cell>
          <cell r="B457">
            <v>56584</v>
          </cell>
          <cell r="C457">
            <v>0</v>
          </cell>
          <cell r="D457">
            <v>152.25260868051714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830.55711423633738</v>
          </cell>
        </row>
        <row r="458">
          <cell r="A458">
            <v>441</v>
          </cell>
          <cell r="B458">
            <v>56615</v>
          </cell>
          <cell r="C458">
            <v>0</v>
          </cell>
          <cell r="D458">
            <v>152.25260868051714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830.55711423633738</v>
          </cell>
        </row>
        <row r="459">
          <cell r="A459">
            <v>442</v>
          </cell>
          <cell r="B459">
            <v>56646</v>
          </cell>
          <cell r="C459">
            <v>0</v>
          </cell>
          <cell r="D459">
            <v>152.25260868051714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830.55711423633738</v>
          </cell>
        </row>
        <row r="460">
          <cell r="A460">
            <v>443</v>
          </cell>
          <cell r="B460">
            <v>56674</v>
          </cell>
          <cell r="C460">
            <v>0</v>
          </cell>
          <cell r="D460">
            <v>152.25260868051714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830.55711423633738</v>
          </cell>
        </row>
        <row r="461">
          <cell r="A461">
            <v>444</v>
          </cell>
          <cell r="B461">
            <v>56705</v>
          </cell>
          <cell r="C461">
            <v>0</v>
          </cell>
          <cell r="D461">
            <v>152.25260868051714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830.55711423633738</v>
          </cell>
        </row>
        <row r="462">
          <cell r="A462">
            <v>445</v>
          </cell>
          <cell r="B462">
            <v>56735</v>
          </cell>
          <cell r="C462">
            <v>0</v>
          </cell>
          <cell r="D462">
            <v>152.25260868051714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830.55711423633738</v>
          </cell>
        </row>
        <row r="463">
          <cell r="A463">
            <v>446</v>
          </cell>
          <cell r="B463">
            <v>56766</v>
          </cell>
          <cell r="C463">
            <v>0</v>
          </cell>
          <cell r="D463">
            <v>152.25260868051714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830.55711423633738</v>
          </cell>
        </row>
        <row r="464">
          <cell r="A464">
            <v>447</v>
          </cell>
          <cell r="B464">
            <v>56796</v>
          </cell>
          <cell r="C464">
            <v>0</v>
          </cell>
          <cell r="D464">
            <v>152.25260868051714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830.55711423633738</v>
          </cell>
        </row>
        <row r="465">
          <cell r="A465">
            <v>448</v>
          </cell>
          <cell r="B465">
            <v>56827</v>
          </cell>
          <cell r="C465">
            <v>0</v>
          </cell>
          <cell r="D465">
            <v>152.25260868051714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830.55711423633738</v>
          </cell>
        </row>
        <row r="466">
          <cell r="A466">
            <v>449</v>
          </cell>
          <cell r="B466">
            <v>56858</v>
          </cell>
          <cell r="C466">
            <v>0</v>
          </cell>
          <cell r="D466">
            <v>152.25260868051714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830.55711423633738</v>
          </cell>
        </row>
        <row r="467">
          <cell r="A467">
            <v>450</v>
          </cell>
          <cell r="B467">
            <v>56888</v>
          </cell>
          <cell r="C467">
            <v>0</v>
          </cell>
          <cell r="D467">
            <v>152.25260868051714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830.55711423633738</v>
          </cell>
        </row>
        <row r="468">
          <cell r="A468">
            <v>451</v>
          </cell>
          <cell r="B468">
            <v>56919</v>
          </cell>
          <cell r="C468">
            <v>0</v>
          </cell>
          <cell r="D468">
            <v>152.25260868051714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830.55711423633738</v>
          </cell>
        </row>
        <row r="469">
          <cell r="A469">
            <v>452</v>
          </cell>
          <cell r="B469">
            <v>56949</v>
          </cell>
          <cell r="C469">
            <v>0</v>
          </cell>
          <cell r="D469">
            <v>152.25260868051714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830.55711423633738</v>
          </cell>
        </row>
        <row r="470">
          <cell r="A470">
            <v>453</v>
          </cell>
          <cell r="B470">
            <v>56980</v>
          </cell>
          <cell r="C470">
            <v>0</v>
          </cell>
          <cell r="D470">
            <v>152.25260868051714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830.55711423633738</v>
          </cell>
        </row>
        <row r="471">
          <cell r="A471">
            <v>454</v>
          </cell>
          <cell r="B471">
            <v>57011</v>
          </cell>
          <cell r="C471">
            <v>0</v>
          </cell>
          <cell r="D471">
            <v>152.25260868051714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830.55711423633738</v>
          </cell>
        </row>
        <row r="472">
          <cell r="A472">
            <v>455</v>
          </cell>
          <cell r="B472">
            <v>57040</v>
          </cell>
          <cell r="C472">
            <v>0</v>
          </cell>
          <cell r="D472">
            <v>152.25260868051714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830.55711423633738</v>
          </cell>
        </row>
        <row r="473">
          <cell r="A473">
            <v>456</v>
          </cell>
          <cell r="B473">
            <v>57071</v>
          </cell>
          <cell r="C473">
            <v>0</v>
          </cell>
          <cell r="D473">
            <v>152.25260868051714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830.55711423633738</v>
          </cell>
        </row>
        <row r="474">
          <cell r="A474">
            <v>457</v>
          </cell>
          <cell r="B474">
            <v>57101</v>
          </cell>
          <cell r="C474">
            <v>0</v>
          </cell>
          <cell r="D474">
            <v>152.25260868051714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830.55711423633738</v>
          </cell>
        </row>
        <row r="475">
          <cell r="A475">
            <v>458</v>
          </cell>
          <cell r="B475">
            <v>57132</v>
          </cell>
          <cell r="C475">
            <v>0</v>
          </cell>
          <cell r="D475">
            <v>152.25260868051714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830.55711423633738</v>
          </cell>
        </row>
        <row r="476">
          <cell r="A476">
            <v>459</v>
          </cell>
          <cell r="B476">
            <v>57162</v>
          </cell>
          <cell r="C476">
            <v>0</v>
          </cell>
          <cell r="D476">
            <v>152.25260868051714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830.55711423633738</v>
          </cell>
        </row>
        <row r="477">
          <cell r="A477">
            <v>460</v>
          </cell>
          <cell r="B477">
            <v>57193</v>
          </cell>
          <cell r="C477">
            <v>0</v>
          </cell>
          <cell r="D477">
            <v>152.25260868051714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830.55711423633738</v>
          </cell>
        </row>
        <row r="478">
          <cell r="A478">
            <v>461</v>
          </cell>
          <cell r="B478">
            <v>57224</v>
          </cell>
          <cell r="C478">
            <v>0</v>
          </cell>
          <cell r="D478">
            <v>152.25260868051714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830.55711423633738</v>
          </cell>
        </row>
        <row r="479">
          <cell r="A479">
            <v>462</v>
          </cell>
          <cell r="B479">
            <v>57254</v>
          </cell>
          <cell r="C479">
            <v>0</v>
          </cell>
          <cell r="D479">
            <v>152.25260868051714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830.55711423633738</v>
          </cell>
        </row>
        <row r="480">
          <cell r="A480">
            <v>463</v>
          </cell>
          <cell r="B480">
            <v>57285</v>
          </cell>
          <cell r="C480">
            <v>0</v>
          </cell>
          <cell r="D480">
            <v>152.25260868051714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830.55711423633738</v>
          </cell>
        </row>
        <row r="481">
          <cell r="A481">
            <v>464</v>
          </cell>
          <cell r="B481">
            <v>57315</v>
          </cell>
          <cell r="C481">
            <v>0</v>
          </cell>
          <cell r="D481">
            <v>152.25260868051714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830.55711423633738</v>
          </cell>
        </row>
        <row r="482">
          <cell r="A482">
            <v>465</v>
          </cell>
          <cell r="B482">
            <v>57346</v>
          </cell>
          <cell r="C482">
            <v>0</v>
          </cell>
          <cell r="D482">
            <v>152.25260868051714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830.55711423633738</v>
          </cell>
        </row>
        <row r="483">
          <cell r="A483">
            <v>466</v>
          </cell>
          <cell r="B483">
            <v>57377</v>
          </cell>
          <cell r="C483">
            <v>0</v>
          </cell>
          <cell r="D483">
            <v>152.25260868051714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830.55711423633738</v>
          </cell>
        </row>
        <row r="484">
          <cell r="A484">
            <v>467</v>
          </cell>
          <cell r="B484">
            <v>57405</v>
          </cell>
          <cell r="C484">
            <v>0</v>
          </cell>
          <cell r="D484">
            <v>152.25260868051714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830.55711423633738</v>
          </cell>
        </row>
        <row r="485">
          <cell r="A485">
            <v>468</v>
          </cell>
          <cell r="B485">
            <v>57436</v>
          </cell>
          <cell r="C485">
            <v>0</v>
          </cell>
          <cell r="D485">
            <v>152.25260868051714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830.55711423633738</v>
          </cell>
        </row>
        <row r="486">
          <cell r="A486">
            <v>469</v>
          </cell>
          <cell r="B486">
            <v>57466</v>
          </cell>
          <cell r="C486">
            <v>0</v>
          </cell>
          <cell r="D486">
            <v>152.25260868051714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830.55711423633738</v>
          </cell>
        </row>
        <row r="487">
          <cell r="A487">
            <v>470</v>
          </cell>
          <cell r="B487">
            <v>57497</v>
          </cell>
          <cell r="C487">
            <v>0</v>
          </cell>
          <cell r="D487">
            <v>152.25260868051714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830.55711423633738</v>
          </cell>
        </row>
        <row r="488">
          <cell r="A488">
            <v>471</v>
          </cell>
          <cell r="B488">
            <v>57527</v>
          </cell>
          <cell r="C488">
            <v>0</v>
          </cell>
          <cell r="D488">
            <v>152.25260868051714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830.55711423633738</v>
          </cell>
        </row>
        <row r="489">
          <cell r="A489">
            <v>472</v>
          </cell>
          <cell r="B489">
            <v>57558</v>
          </cell>
          <cell r="C489">
            <v>0</v>
          </cell>
          <cell r="D489">
            <v>152.25260868051714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830.55711423633738</v>
          </cell>
        </row>
        <row r="490">
          <cell r="A490">
            <v>473</v>
          </cell>
          <cell r="B490">
            <v>57589</v>
          </cell>
          <cell r="C490">
            <v>0</v>
          </cell>
          <cell r="D490">
            <v>152.25260868051714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830.55711423633738</v>
          </cell>
        </row>
        <row r="491">
          <cell r="A491">
            <v>474</v>
          </cell>
          <cell r="B491">
            <v>57619</v>
          </cell>
          <cell r="C491">
            <v>0</v>
          </cell>
          <cell r="D491">
            <v>152.25260868051714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830.55711423633738</v>
          </cell>
        </row>
        <row r="492">
          <cell r="A492">
            <v>475</v>
          </cell>
          <cell r="B492">
            <v>57650</v>
          </cell>
          <cell r="C492">
            <v>0</v>
          </cell>
          <cell r="D492">
            <v>152.25260868051714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830.55711423633738</v>
          </cell>
        </row>
        <row r="493">
          <cell r="A493">
            <v>476</v>
          </cell>
          <cell r="B493">
            <v>57680</v>
          </cell>
          <cell r="C493">
            <v>0</v>
          </cell>
          <cell r="D493">
            <v>152.25260868051714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830.55711423633738</v>
          </cell>
        </row>
        <row r="494">
          <cell r="A494">
            <v>477</v>
          </cell>
          <cell r="B494">
            <v>57711</v>
          </cell>
          <cell r="C494">
            <v>0</v>
          </cell>
          <cell r="D494">
            <v>152.25260868051714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830.55711423633738</v>
          </cell>
        </row>
        <row r="495">
          <cell r="A495">
            <v>478</v>
          </cell>
          <cell r="B495">
            <v>57742</v>
          </cell>
          <cell r="C495">
            <v>0</v>
          </cell>
          <cell r="D495">
            <v>152.25260868051714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830.55711423633738</v>
          </cell>
        </row>
        <row r="496">
          <cell r="A496">
            <v>479</v>
          </cell>
          <cell r="B496">
            <v>57770</v>
          </cell>
          <cell r="C496">
            <v>0</v>
          </cell>
          <cell r="D496">
            <v>152.25260868051714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830.55711423633738</v>
          </cell>
        </row>
        <row r="497">
          <cell r="A497">
            <v>480</v>
          </cell>
          <cell r="B497">
            <v>57801</v>
          </cell>
          <cell r="C497">
            <v>0</v>
          </cell>
          <cell r="D497">
            <v>152.25260868051714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830.55711423633738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Matriz de Costos y Venta"/>
      <sheetName val="Hoja1"/>
      <sheetName val="Hoja2"/>
      <sheetName val="Resumen"/>
      <sheetName val="Amo_Prtmo"/>
      <sheetName val="Referencias"/>
      <sheetName val="Mano de Obra"/>
      <sheetName val="Transporte"/>
      <sheetName val="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de Comprobacion"/>
      <sheetName val="Resultados Lps"/>
      <sheetName val="Integracion u$"/>
      <sheetName val="Balance Lps"/>
      <sheetName val="Balance U$$"/>
      <sheetName val="Integracion Lps"/>
      <sheetName val="Resultados U$$ Promedio"/>
      <sheetName val="Balance U$$ Promedio"/>
      <sheetName val="Resultados U$$"/>
      <sheetName val="Comparativo"/>
      <sheetName val="comparativo noviembre"/>
      <sheetName val="Comparativo Diciembre"/>
      <sheetName val="Comparativo Preliminar"/>
      <sheetName val="Proyeccion Cuentas"/>
      <sheetName val="Aportacion Capital"/>
      <sheetName val="Cona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"/>
      <sheetName val="Estado de Flujo de Caja"/>
      <sheetName val="Opciones de ubicacion"/>
      <sheetName val="RESUMEN"/>
      <sheetName val="FLUJO DE CAJA"/>
      <sheetName val="Inversion"/>
      <sheetName val="Labor"/>
      <sheetName val="Operacion"/>
      <sheetName val="Performance"/>
      <sheetName val="Fuel-USCG"/>
      <sheetName val="Pricing"/>
      <sheetName val="Intereses durante construccion"/>
      <sheetName val="Financiamiento-Operacion"/>
      <sheetName val="Pricing Terminal"/>
      <sheetName val="Transporte Terminal"/>
      <sheetName val="Module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de Comprobacion"/>
      <sheetName val="Integracion Lps"/>
      <sheetName val="Integracion u$"/>
      <sheetName val="Balance Lps"/>
      <sheetName val="Balance U$$"/>
      <sheetName val="E.R. mes Lps "/>
      <sheetName val="E.R. acumulado Lps"/>
      <sheetName val="E.R. mes U$$ "/>
      <sheetName val="E.R. Acumulado U$$"/>
      <sheetName val="Balance $ promedio"/>
      <sheetName val="E.R. mes $ promedio"/>
      <sheetName val="E.R. Acumulado $ Promedio"/>
      <sheetName val="Comparativo BG"/>
      <sheetName val="Comparativo Gts Lps"/>
      <sheetName val="Comparativo Gts U$$"/>
      <sheetName val="Proyeccion Pagos"/>
      <sheetName val="Aportacion Capital"/>
      <sheetName val="Cona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"/>
      <sheetName val="Resumen"/>
      <sheetName val="Cash Flow"/>
      <sheetName val="Detalles de Inversion"/>
      <sheetName val="Plan de Desembolsos"/>
      <sheetName val="Precios Energía Primaria"/>
      <sheetName val="Precios Energia Secundaria"/>
      <sheetName val="Fuel-USCG"/>
      <sheetName val="Financiamiento"/>
      <sheetName val="Amortizacion"/>
      <sheetName val="Performance"/>
      <sheetName val="IDC"/>
      <sheetName val="O&amp;M"/>
      <sheetName val="Labor O&amp;M"/>
      <sheetName val="Ingresos y Costos"/>
      <sheetName val="Transporte Terminal"/>
      <sheetName val="Pricing Terminal"/>
      <sheetName val="Inver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de Comprobacion"/>
      <sheetName val="Integracion Lps"/>
      <sheetName val="Integracion u$"/>
      <sheetName val="Balance Lps"/>
      <sheetName val="Balance U$$"/>
      <sheetName val="E.R. mes Lps "/>
      <sheetName val="E.R. acumulado Lps"/>
      <sheetName val="E.R. mes U$$ "/>
      <sheetName val="E.R. Acumulado U$$"/>
      <sheetName val="Balance $ promedio"/>
      <sheetName val="E.R. mes $ promedio"/>
      <sheetName val="E.R. Acumulado $ Promedio"/>
      <sheetName val="Comparativo BG"/>
      <sheetName val="Comparativo Gts Lps"/>
      <sheetName val="Comparativo Gts U$$"/>
      <sheetName val="Proyeccion Pagos"/>
      <sheetName val="Aportacion Capital"/>
      <sheetName val="Cona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enarios"/>
      <sheetName val="Base"/>
      <sheetName val="CF"/>
      <sheetName val="Capex"/>
      <sheetName val="Generacion"/>
      <sheetName val="O&amp;M"/>
      <sheetName val="IDC"/>
      <sheetName val="Debt"/>
      <sheetName val="Mezzanine"/>
      <sheetName val="Deprec"/>
      <sheetName val="am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4359E-1477-4E95-97A3-94769FA81DB2}" name="Tabla22" displayName="Tabla22" ref="B3:K15" totalsRowShown="0" headerRowDxfId="37" dataDxfId="35" headerRowBorderDxfId="36">
  <tableColumns count="10">
    <tableColumn id="1" xr3:uid="{5368EB3B-6918-4618-8BB0-CF3E56463251}" name="Resumen del Proyecto" dataDxfId="34" totalsRowDxfId="33"/>
    <tableColumn id="9" xr3:uid="{C10142B2-0A47-4973-B737-0EF89BE7B7E6}" name="Cantidad total para proyecto" totalsRowDxfId="32"/>
    <tableColumn id="8" xr3:uid="{013A2879-C2FB-4AA7-A709-4B7B5B5C34C8}" name="Costo Unitario" totalsRowDxfId="31"/>
    <tableColumn id="2" xr3:uid="{B308F15D-5974-47F6-8D5C-853299A387A5}" name="Costo total" dataDxfId="30"/>
    <tableColumn id="3" xr3:uid="{C3D146A9-6CCC-4565-98E1-552B11B2EB35}" name="% del costo" dataDxfId="29"/>
    <tableColumn id="10" xr3:uid="{23F821D9-BF50-44E2-B6E8-7ACA6D120F9D}" name="Venta Unitario" dataDxfId="28"/>
    <tableColumn id="5" xr3:uid="{419626AA-09A9-4EF3-8251-42DC7A4ED9A4}" name="P. Venta total" dataDxfId="27"/>
    <tableColumn id="6" xr3:uid="{86F3DDE9-7F25-4C2F-9F65-039401B183B8}" name="Costo Mensual (4 años) " dataDxfId="26"/>
    <tableColumn id="11" xr3:uid="{A1023F84-9BA3-48A7-8E65-E4986AF4EAAD}" name="Venta mensual (4 años) Unitaria" dataDxfId="25"/>
    <tableColumn id="12" xr3:uid="{8DB11FCD-6D9A-461B-A0DD-6590A2160C4C}" name="Venta mensual total " dataDxfId="24">
      <calculatedColumnFormula>Tabla22[[#This Row],[Venta mensual (4 años) Unitaria]]*Tabla22[[#This Row],[Cantidad total para proyecto]]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B3:G28" totalsRowShown="0" headerRowDxfId="23" dataDxfId="21" headerRowBorderDxfId="22">
  <tableColumns count="6">
    <tableColumn id="1" xr3:uid="{00000000-0010-0000-0000-000001000000}" name="Resumen del Proyecto" dataDxfId="20" totalsRowDxfId="19"/>
    <tableColumn id="2" xr3:uid="{00000000-0010-0000-0000-000002000000}" name="Costo" dataDxfId="18"/>
    <tableColumn id="3" xr3:uid="{00000000-0010-0000-0000-000003000000}" name="% del costo" dataDxfId="17"/>
    <tableColumn id="4" xr3:uid="{00000000-0010-0000-0000-000004000000}" name="% de venta" dataDxfId="16"/>
    <tableColumn id="5" xr3:uid="{00000000-0010-0000-0000-000005000000}" name="P. Venta " dataDxfId="15"/>
    <tableColumn id="6" xr3:uid="{00000000-0010-0000-0000-000006000000}" name="Margen X Componente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C5DB90-01BB-45CF-A1EA-118C141375E2}" name="Tabla24" displayName="Tabla24" ref="B3:G28" totalsRowShown="0" headerRowDxfId="13" dataDxfId="11" headerRowBorderDxfId="12">
  <tableColumns count="6">
    <tableColumn id="1" xr3:uid="{537B03A0-2C23-416A-AF5B-E6ADD909FCAA}" name="Resumen del Proyecto" dataDxfId="10" totalsRowDxfId="9"/>
    <tableColumn id="2" xr3:uid="{1B8520EC-58AD-4B7E-A295-1E5013A58461}" name="Costo" dataDxfId="8"/>
    <tableColumn id="3" xr3:uid="{46550BCA-C462-4104-8445-D7F18A4DEAE3}" name="% del costo" dataDxfId="7"/>
    <tableColumn id="4" xr3:uid="{9572AAF8-9F15-4B15-8B1D-A37F48F1C326}" name="% de venta" dataDxfId="6"/>
    <tableColumn id="5" xr3:uid="{5B5A9EF9-2DA7-48C0-A8E5-90D96442665A}" name="P. Venta " dataDxfId="5"/>
    <tableColumn id="6" xr3:uid="{00524EC1-8078-486B-9E00-DDC32042D459}" name="Margen X Componente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grupovision.org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grupovision.org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4588-A4EE-4DB2-BF7E-3770A8F1C237}">
  <sheetPr>
    <tabColor rgb="FF17365D"/>
  </sheetPr>
  <dimension ref="B1:C36"/>
  <sheetViews>
    <sheetView showGridLines="0" workbookViewId="0"/>
  </sheetViews>
  <sheetFormatPr defaultRowHeight="14.5"/>
  <cols>
    <col min="1" max="1" width="3.1796875" style="451" customWidth="1"/>
    <col min="2" max="2" width="34.6328125" style="451" customWidth="1"/>
    <col min="3" max="3" width="98.6328125" style="451" customWidth="1"/>
    <col min="4" max="16384" width="8.7265625" style="451"/>
  </cols>
  <sheetData>
    <row r="1" spans="2:3" ht="32" customHeight="1">
      <c r="B1" s="452" t="s">
        <v>775</v>
      </c>
    </row>
    <row r="2" spans="2:3" ht="16" customHeight="1">
      <c r="B2" s="453" t="s">
        <v>776</v>
      </c>
    </row>
    <row r="3" spans="2:3" ht="8" customHeight="1"/>
    <row r="4" spans="2:3" ht="15.5">
      <c r="B4" s="500" t="s">
        <v>777</v>
      </c>
      <c r="C4" s="501"/>
    </row>
    <row r="5" spans="2:3">
      <c r="B5" s="499" t="s">
        <v>778</v>
      </c>
      <c r="C5" s="499"/>
    </row>
    <row r="6" spans="2:3">
      <c r="B6" s="499" t="s">
        <v>779</v>
      </c>
      <c r="C6" s="499"/>
    </row>
    <row r="8" spans="2:3" ht="15.5">
      <c r="B8" s="500" t="s">
        <v>780</v>
      </c>
      <c r="C8" s="501"/>
    </row>
    <row r="9" spans="2:3" ht="16.5">
      <c r="B9" s="502" t="s">
        <v>781</v>
      </c>
      <c r="C9" s="502"/>
    </row>
    <row r="10" spans="2:3">
      <c r="B10" s="499" t="s">
        <v>645</v>
      </c>
      <c r="C10" s="499"/>
    </row>
    <row r="11" spans="2:3">
      <c r="B11" s="499" t="s">
        <v>646</v>
      </c>
      <c r="C11" s="499"/>
    </row>
    <row r="13" spans="2:3" ht="15.5">
      <c r="B13" s="500" t="s">
        <v>782</v>
      </c>
      <c r="C13" s="501"/>
    </row>
    <row r="14" spans="2:3">
      <c r="B14" s="455" t="s">
        <v>783</v>
      </c>
      <c r="C14" s="454" t="s">
        <v>784</v>
      </c>
    </row>
    <row r="15" spans="2:3">
      <c r="B15" s="455" t="s">
        <v>785</v>
      </c>
      <c r="C15" s="454" t="s">
        <v>786</v>
      </c>
    </row>
    <row r="16" spans="2:3">
      <c r="B16" s="455" t="s">
        <v>787</v>
      </c>
      <c r="C16" s="454" t="s">
        <v>788</v>
      </c>
    </row>
    <row r="17" spans="2:3">
      <c r="B17" s="455" t="s">
        <v>789</v>
      </c>
      <c r="C17" s="454" t="s">
        <v>790</v>
      </c>
    </row>
    <row r="18" spans="2:3">
      <c r="B18" s="455" t="s">
        <v>791</v>
      </c>
      <c r="C18" s="454" t="s">
        <v>792</v>
      </c>
    </row>
    <row r="19" spans="2:3">
      <c r="B19" s="455" t="s">
        <v>793</v>
      </c>
      <c r="C19" s="454" t="s">
        <v>794</v>
      </c>
    </row>
    <row r="21" spans="2:3" ht="15.5">
      <c r="B21" s="500" t="s">
        <v>795</v>
      </c>
      <c r="C21" s="501"/>
    </row>
    <row r="22" spans="2:3">
      <c r="B22" s="456" t="s">
        <v>647</v>
      </c>
      <c r="C22" s="456" t="s">
        <v>796</v>
      </c>
    </row>
    <row r="23" spans="2:3" ht="29">
      <c r="B23" s="457" t="s">
        <v>648</v>
      </c>
      <c r="C23" s="458" t="s">
        <v>797</v>
      </c>
    </row>
    <row r="24" spans="2:3" ht="43.5">
      <c r="B24" s="459" t="s">
        <v>363</v>
      </c>
      <c r="C24" s="460" t="s">
        <v>865</v>
      </c>
    </row>
    <row r="25" spans="2:3">
      <c r="B25" s="457" t="s">
        <v>1</v>
      </c>
      <c r="C25" s="458" t="s">
        <v>798</v>
      </c>
    </row>
    <row r="26" spans="2:3" ht="43.5">
      <c r="B26" s="459" t="s">
        <v>364</v>
      </c>
      <c r="C26" s="460" t="s">
        <v>872</v>
      </c>
    </row>
    <row r="28" spans="2:3" ht="15.5">
      <c r="B28" s="500" t="s">
        <v>866</v>
      </c>
      <c r="C28" s="501"/>
    </row>
    <row r="29" spans="2:3" ht="29">
      <c r="B29" s="461" t="s">
        <v>867</v>
      </c>
      <c r="C29" s="462" t="s">
        <v>868</v>
      </c>
    </row>
    <row r="30" spans="2:3" ht="29">
      <c r="B30" s="461" t="s">
        <v>869</v>
      </c>
      <c r="C30" s="462" t="s">
        <v>799</v>
      </c>
    </row>
    <row r="31" spans="2:3" ht="29">
      <c r="B31" s="461" t="s">
        <v>870</v>
      </c>
      <c r="C31" s="462" t="s">
        <v>649</v>
      </c>
    </row>
    <row r="32" spans="2:3" ht="29">
      <c r="B32" s="461" t="s">
        <v>871</v>
      </c>
      <c r="C32" s="462" t="s">
        <v>650</v>
      </c>
    </row>
    <row r="33" spans="2:3" ht="15.5">
      <c r="B33" s="500" t="s">
        <v>800</v>
      </c>
      <c r="C33" s="501"/>
    </row>
    <row r="34" spans="2:3">
      <c r="B34" s="463" t="s">
        <v>651</v>
      </c>
      <c r="C34" s="454" t="s">
        <v>801</v>
      </c>
    </row>
    <row r="35" spans="2:3">
      <c r="B35" s="463" t="s">
        <v>652</v>
      </c>
      <c r="C35" s="454" t="s">
        <v>653</v>
      </c>
    </row>
    <row r="36" spans="2:3">
      <c r="B36" s="463"/>
      <c r="C36" s="454"/>
    </row>
  </sheetData>
  <mergeCells count="11">
    <mergeCell ref="B11:C11"/>
    <mergeCell ref="B13:C13"/>
    <mergeCell ref="B21:C21"/>
    <mergeCell ref="B28:C28"/>
    <mergeCell ref="B33:C33"/>
    <mergeCell ref="B10:C10"/>
    <mergeCell ref="B4:C4"/>
    <mergeCell ref="B5:C5"/>
    <mergeCell ref="B6:C6"/>
    <mergeCell ref="B8:C8"/>
    <mergeCell ref="B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  <pageSetUpPr fitToPage="1"/>
  </sheetPr>
  <dimension ref="B1:P161"/>
  <sheetViews>
    <sheetView workbookViewId="0"/>
  </sheetViews>
  <sheetFormatPr defaultColWidth="11.54296875" defaultRowHeight="12.5"/>
  <cols>
    <col min="1" max="1" width="11.453125" customWidth="1"/>
    <col min="2" max="2" width="47.81640625" customWidth="1"/>
    <col min="3" max="4" width="11.453125" customWidth="1"/>
    <col min="5" max="5" width="4" style="11" bestFit="1" customWidth="1"/>
    <col min="6" max="6" width="36" style="11" customWidth="1"/>
    <col min="7" max="7" width="34.453125" style="11" bestFit="1" customWidth="1"/>
    <col min="8" max="9" width="14.7265625" customWidth="1"/>
    <col min="10" max="15" width="22.453125" style="11" customWidth="1"/>
    <col min="16" max="16" width="58.81640625" customWidth="1"/>
  </cols>
  <sheetData>
    <row r="1" spans="2:16" ht="13">
      <c r="B1" s="27" t="s">
        <v>0</v>
      </c>
      <c r="C1" s="27" t="s">
        <v>1</v>
      </c>
      <c r="J1" s="503" t="s">
        <v>2</v>
      </c>
      <c r="K1" s="504"/>
      <c r="L1" s="504"/>
      <c r="M1" s="504"/>
      <c r="N1" s="504"/>
      <c r="O1" s="504"/>
    </row>
    <row r="2" spans="2:16" ht="13">
      <c r="B2" s="78" t="s">
        <v>3</v>
      </c>
      <c r="C2" s="79"/>
      <c r="E2" s="81" t="s">
        <v>4</v>
      </c>
      <c r="F2" s="81" t="s">
        <v>5</v>
      </c>
      <c r="G2" s="81" t="s">
        <v>6</v>
      </c>
      <c r="H2" s="81" t="s">
        <v>7</v>
      </c>
      <c r="I2" s="81" t="s">
        <v>8</v>
      </c>
      <c r="J2" s="83" t="s">
        <v>9</v>
      </c>
      <c r="K2" s="83" t="s">
        <v>10</v>
      </c>
      <c r="L2" s="83" t="s">
        <v>11</v>
      </c>
      <c r="M2" s="83" t="s">
        <v>12</v>
      </c>
      <c r="N2" s="83" t="s">
        <v>13</v>
      </c>
      <c r="O2" s="83" t="s">
        <v>14</v>
      </c>
      <c r="P2" s="81" t="s">
        <v>15</v>
      </c>
    </row>
    <row r="3" spans="2:16" ht="126.5">
      <c r="B3" s="381" t="s">
        <v>16</v>
      </c>
      <c r="C3" s="382">
        <v>48</v>
      </c>
      <c r="E3" s="80">
        <v>1</v>
      </c>
      <c r="F3" s="82" t="s">
        <v>17</v>
      </c>
      <c r="G3" s="82" t="s">
        <v>18</v>
      </c>
      <c r="H3" s="82" t="s">
        <v>19</v>
      </c>
      <c r="I3" s="80"/>
      <c r="J3" s="84" t="s">
        <v>20</v>
      </c>
      <c r="K3" s="84" t="s">
        <v>21</v>
      </c>
      <c r="L3" s="84"/>
      <c r="M3" s="84"/>
      <c r="N3" s="84"/>
      <c r="O3" s="85" t="s">
        <v>22</v>
      </c>
      <c r="P3" s="86" t="s">
        <v>23</v>
      </c>
    </row>
    <row r="4" spans="2:16" ht="126.5">
      <c r="B4" s="381" t="s">
        <v>24</v>
      </c>
      <c r="C4" s="382">
        <v>30</v>
      </c>
      <c r="E4" s="80">
        <v>2</v>
      </c>
      <c r="F4" s="82" t="s">
        <v>25</v>
      </c>
      <c r="G4" s="82" t="s">
        <v>26</v>
      </c>
      <c r="H4" s="82" t="s">
        <v>19</v>
      </c>
      <c r="I4" s="80"/>
      <c r="J4" s="84" t="s">
        <v>27</v>
      </c>
      <c r="K4" s="84" t="s">
        <v>28</v>
      </c>
      <c r="L4" s="84"/>
      <c r="M4" s="84"/>
      <c r="N4" s="84"/>
      <c r="O4" s="85" t="s">
        <v>29</v>
      </c>
      <c r="P4" s="86" t="s">
        <v>30</v>
      </c>
    </row>
    <row r="5" spans="2:16" ht="126.5">
      <c r="B5" s="383" t="s">
        <v>31</v>
      </c>
      <c r="C5" s="382">
        <v>15</v>
      </c>
      <c r="E5" s="80">
        <v>3</v>
      </c>
      <c r="F5" s="82" t="s">
        <v>32</v>
      </c>
      <c r="G5" s="82" t="s">
        <v>33</v>
      </c>
      <c r="H5" s="82" t="s">
        <v>19</v>
      </c>
      <c r="I5" s="80"/>
      <c r="J5" s="84" t="s">
        <v>34</v>
      </c>
      <c r="K5" s="84" t="s">
        <v>35</v>
      </c>
      <c r="L5" s="84"/>
      <c r="M5" s="84"/>
      <c r="N5" s="84"/>
      <c r="O5" s="85" t="s">
        <v>36</v>
      </c>
      <c r="P5" s="86" t="s">
        <v>30</v>
      </c>
    </row>
    <row r="6" spans="2:16" ht="69">
      <c r="B6" s="383" t="s">
        <v>37</v>
      </c>
      <c r="C6" s="382">
        <v>12</v>
      </c>
      <c r="E6" s="80">
        <v>4</v>
      </c>
      <c r="F6" s="82" t="s">
        <v>38</v>
      </c>
      <c r="G6" s="82" t="s">
        <v>39</v>
      </c>
      <c r="H6" s="82" t="s">
        <v>40</v>
      </c>
      <c r="I6" s="80"/>
      <c r="J6" s="84" t="s">
        <v>41</v>
      </c>
      <c r="K6" s="84" t="s">
        <v>42</v>
      </c>
      <c r="L6" s="84"/>
      <c r="M6" s="84"/>
      <c r="N6" s="84"/>
      <c r="O6" s="85" t="s">
        <v>43</v>
      </c>
      <c r="P6" s="86" t="s">
        <v>44</v>
      </c>
    </row>
    <row r="7" spans="2:16" ht="92">
      <c r="B7" s="383" t="s">
        <v>45</v>
      </c>
      <c r="C7" s="382">
        <v>9</v>
      </c>
      <c r="E7" s="80">
        <v>5</v>
      </c>
      <c r="F7" s="82" t="s">
        <v>46</v>
      </c>
      <c r="G7" s="82" t="s">
        <v>47</v>
      </c>
      <c r="H7" s="82" t="s">
        <v>48</v>
      </c>
      <c r="I7" s="80"/>
      <c r="J7" s="84" t="s">
        <v>49</v>
      </c>
      <c r="K7" s="84" t="s">
        <v>50</v>
      </c>
      <c r="L7" s="84"/>
      <c r="M7" s="84"/>
      <c r="N7" s="84"/>
      <c r="O7" s="85" t="s">
        <v>51</v>
      </c>
      <c r="P7" s="86" t="s">
        <v>52</v>
      </c>
    </row>
    <row r="8" spans="2:16" ht="92">
      <c r="B8" s="383" t="s">
        <v>53</v>
      </c>
      <c r="C8" s="382">
        <v>20</v>
      </c>
      <c r="E8" s="80">
        <v>6</v>
      </c>
      <c r="F8" s="82" t="s">
        <v>54</v>
      </c>
      <c r="G8" s="82" t="s">
        <v>55</v>
      </c>
      <c r="H8" s="82" t="s">
        <v>56</v>
      </c>
      <c r="I8" s="80"/>
      <c r="J8" s="84" t="s">
        <v>57</v>
      </c>
      <c r="K8" s="84" t="s">
        <v>58</v>
      </c>
      <c r="L8" s="84"/>
      <c r="M8" s="84"/>
      <c r="N8" s="84"/>
      <c r="O8" s="85" t="s">
        <v>59</v>
      </c>
      <c r="P8" s="86" t="s">
        <v>60</v>
      </c>
    </row>
    <row r="9" spans="2:16" ht="103.5">
      <c r="B9" s="383" t="s">
        <v>61</v>
      </c>
      <c r="C9" s="382">
        <v>14</v>
      </c>
      <c r="E9" s="80">
        <v>7</v>
      </c>
      <c r="F9" s="82" t="s">
        <v>62</v>
      </c>
      <c r="G9" s="82" t="s">
        <v>63</v>
      </c>
      <c r="H9" s="82" t="s">
        <v>19</v>
      </c>
      <c r="I9" s="80"/>
      <c r="J9" s="84" t="s">
        <v>64</v>
      </c>
      <c r="K9" s="84" t="s">
        <v>65</v>
      </c>
      <c r="L9" s="84"/>
      <c r="M9" s="84"/>
      <c r="N9" s="84"/>
      <c r="O9" s="85" t="s">
        <v>66</v>
      </c>
      <c r="P9" s="86" t="s">
        <v>67</v>
      </c>
    </row>
    <row r="10" spans="2:16" ht="103.5">
      <c r="B10" s="378" t="s">
        <v>68</v>
      </c>
      <c r="C10" s="382">
        <v>19</v>
      </c>
      <c r="E10" s="80">
        <v>8</v>
      </c>
      <c r="F10" s="82" t="s">
        <v>69</v>
      </c>
      <c r="G10" s="82" t="s">
        <v>70</v>
      </c>
      <c r="H10" s="82" t="s">
        <v>19</v>
      </c>
      <c r="I10" s="80"/>
      <c r="J10" s="84" t="s">
        <v>71</v>
      </c>
      <c r="K10" s="84" t="s">
        <v>72</v>
      </c>
      <c r="L10" s="84"/>
      <c r="M10" s="84"/>
      <c r="N10" s="84"/>
      <c r="O10" s="85" t="s">
        <v>73</v>
      </c>
      <c r="P10" s="86" t="s">
        <v>67</v>
      </c>
    </row>
    <row r="11" spans="2:16" ht="103.5">
      <c r="B11" s="78" t="s">
        <v>74</v>
      </c>
      <c r="C11" s="79"/>
      <c r="E11" s="80">
        <v>9</v>
      </c>
      <c r="F11" s="82" t="s">
        <v>75</v>
      </c>
      <c r="G11" s="82" t="s">
        <v>76</v>
      </c>
      <c r="H11" s="82" t="s">
        <v>77</v>
      </c>
      <c r="I11" s="80"/>
      <c r="J11" s="84" t="s">
        <v>78</v>
      </c>
      <c r="K11" s="84" t="s">
        <v>79</v>
      </c>
      <c r="L11" s="84"/>
      <c r="M11" s="84"/>
      <c r="N11" s="84"/>
      <c r="O11" s="85" t="s">
        <v>80</v>
      </c>
      <c r="P11" s="86" t="s">
        <v>81</v>
      </c>
    </row>
    <row r="12" spans="2:16" ht="25">
      <c r="B12" s="383" t="s">
        <v>82</v>
      </c>
      <c r="C12" s="382">
        <v>242</v>
      </c>
      <c r="E12"/>
      <c r="F12"/>
      <c r="G12"/>
      <c r="J12"/>
      <c r="K12"/>
      <c r="L12"/>
      <c r="M12"/>
      <c r="N12"/>
      <c r="O12"/>
    </row>
    <row r="13" spans="2:16" ht="25">
      <c r="B13" s="383" t="s">
        <v>83</v>
      </c>
      <c r="C13" s="382">
        <v>55</v>
      </c>
    </row>
    <row r="14" spans="2:16" ht="25">
      <c r="B14" s="378" t="s">
        <v>84</v>
      </c>
      <c r="C14" s="382">
        <v>7</v>
      </c>
      <c r="F14" s="36" t="s">
        <v>85</v>
      </c>
    </row>
    <row r="15" spans="2:16" ht="25">
      <c r="B15" s="378" t="s">
        <v>86</v>
      </c>
      <c r="C15" s="382">
        <v>2</v>
      </c>
      <c r="G15" s="17" t="s">
        <v>87</v>
      </c>
    </row>
    <row r="16" spans="2:16" ht="25">
      <c r="B16" s="378" t="s">
        <v>88</v>
      </c>
      <c r="C16" s="382">
        <v>21</v>
      </c>
    </row>
    <row r="17" spans="2:15" ht="25.5" thickBot="1">
      <c r="B17" s="378" t="s">
        <v>89</v>
      </c>
      <c r="C17" s="382">
        <v>7</v>
      </c>
    </row>
    <row r="18" spans="2:15" ht="25">
      <c r="B18" s="383" t="s">
        <v>90</v>
      </c>
      <c r="C18" s="382">
        <v>2</v>
      </c>
      <c r="F18" s="510" t="s">
        <v>91</v>
      </c>
      <c r="G18" s="511"/>
      <c r="H18" s="511"/>
      <c r="I18" s="511"/>
      <c r="J18" s="511"/>
      <c r="K18" s="511"/>
      <c r="L18" s="511"/>
      <c r="M18" s="511"/>
      <c r="N18" s="512"/>
      <c r="O18"/>
    </row>
    <row r="19" spans="2:15" ht="25">
      <c r="B19" s="383" t="s">
        <v>92</v>
      </c>
      <c r="C19" s="382">
        <v>6</v>
      </c>
      <c r="F19" s="505" t="s">
        <v>91</v>
      </c>
      <c r="G19" s="506"/>
      <c r="H19" s="506"/>
      <c r="J19" s="506" t="s">
        <v>93</v>
      </c>
      <c r="K19" s="506"/>
      <c r="L19" s="506"/>
      <c r="M19"/>
      <c r="N19" s="40"/>
      <c r="O19"/>
    </row>
    <row r="20" spans="2:15" ht="13">
      <c r="F20" s="93" t="s">
        <v>94</v>
      </c>
      <c r="G20" s="92" t="s">
        <v>95</v>
      </c>
      <c r="H20" s="92" t="s">
        <v>8</v>
      </c>
      <c r="J20" s="81" t="s">
        <v>4</v>
      </c>
      <c r="K20" s="81" t="s">
        <v>5</v>
      </c>
      <c r="L20" s="81" t="s">
        <v>8</v>
      </c>
      <c r="M20"/>
      <c r="N20" s="40"/>
      <c r="O20"/>
    </row>
    <row r="21" spans="2:15" ht="25">
      <c r="F21" s="94" t="s">
        <v>17</v>
      </c>
      <c r="G21" s="87" t="s">
        <v>96</v>
      </c>
      <c r="H21" s="88">
        <v>50</v>
      </c>
      <c r="J21" s="80">
        <v>1</v>
      </c>
      <c r="K21" s="90" t="s">
        <v>97</v>
      </c>
      <c r="L21" s="80"/>
      <c r="M21" s="384">
        <v>95</v>
      </c>
      <c r="N21" s="385" t="s">
        <v>97</v>
      </c>
      <c r="O21"/>
    </row>
    <row r="22" spans="2:15" ht="25">
      <c r="F22" s="95">
        <v>103</v>
      </c>
      <c r="G22" s="87" t="s">
        <v>98</v>
      </c>
      <c r="H22" s="88"/>
      <c r="J22" s="80">
        <v>2</v>
      </c>
      <c r="K22" s="90" t="s">
        <v>99</v>
      </c>
      <c r="L22" s="80"/>
      <c r="M22" s="384">
        <v>9</v>
      </c>
      <c r="N22" s="385" t="s">
        <v>97</v>
      </c>
      <c r="O22"/>
    </row>
    <row r="23" spans="2:15" ht="25">
      <c r="F23" s="95"/>
      <c r="G23" s="89" t="s">
        <v>96</v>
      </c>
      <c r="H23" s="88"/>
      <c r="J23" s="80">
        <v>3</v>
      </c>
      <c r="K23" s="90" t="s">
        <v>100</v>
      </c>
      <c r="L23" s="80"/>
      <c r="M23" s="384">
        <v>15</v>
      </c>
      <c r="N23" s="385" t="s">
        <v>97</v>
      </c>
      <c r="O23"/>
    </row>
    <row r="24" spans="2:15" ht="25">
      <c r="F24" s="95"/>
      <c r="G24" s="89" t="s">
        <v>101</v>
      </c>
      <c r="H24" s="88"/>
      <c r="J24" s="80">
        <v>4</v>
      </c>
      <c r="K24" s="90" t="s">
        <v>102</v>
      </c>
      <c r="L24" s="80"/>
      <c r="M24" s="384">
        <v>10</v>
      </c>
      <c r="N24" s="385" t="s">
        <v>97</v>
      </c>
      <c r="O24"/>
    </row>
    <row r="25" spans="2:15" ht="25">
      <c r="F25" s="95"/>
      <c r="G25" s="89" t="s">
        <v>103</v>
      </c>
      <c r="H25" s="88"/>
      <c r="J25" s="80">
        <v>5</v>
      </c>
      <c r="K25" s="90" t="s">
        <v>104</v>
      </c>
      <c r="L25" s="80"/>
      <c r="M25" s="384">
        <v>10</v>
      </c>
      <c r="N25" s="385" t="s">
        <v>97</v>
      </c>
      <c r="O25"/>
    </row>
    <row r="26" spans="2:15" ht="25">
      <c r="F26" s="94" t="s">
        <v>25</v>
      </c>
      <c r="G26" s="90" t="s">
        <v>96</v>
      </c>
      <c r="H26" s="88">
        <v>95</v>
      </c>
      <c r="J26" s="80">
        <v>6</v>
      </c>
      <c r="K26" s="90" t="s">
        <v>105</v>
      </c>
      <c r="L26" s="80"/>
      <c r="M26" s="384">
        <v>10</v>
      </c>
      <c r="N26" s="385" t="s">
        <v>97</v>
      </c>
      <c r="O26"/>
    </row>
    <row r="27" spans="2:15" ht="25">
      <c r="F27" s="95">
        <v>272</v>
      </c>
      <c r="G27" s="90" t="s">
        <v>97</v>
      </c>
      <c r="H27" s="88"/>
      <c r="J27" s="80">
        <v>7</v>
      </c>
      <c r="K27" s="87" t="s">
        <v>96</v>
      </c>
      <c r="L27" s="80"/>
      <c r="M27" s="384">
        <v>95</v>
      </c>
      <c r="N27" s="385" t="s">
        <v>99</v>
      </c>
      <c r="O27"/>
    </row>
    <row r="28" spans="2:15" ht="25">
      <c r="F28" s="95"/>
      <c r="G28" s="90" t="s">
        <v>99</v>
      </c>
      <c r="H28" s="88"/>
      <c r="J28" s="80">
        <v>8</v>
      </c>
      <c r="K28" s="89" t="s">
        <v>103</v>
      </c>
      <c r="L28" s="80"/>
      <c r="M28" s="384">
        <v>9</v>
      </c>
      <c r="N28" s="385" t="s">
        <v>99</v>
      </c>
      <c r="O28"/>
    </row>
    <row r="29" spans="2:15" ht="25">
      <c r="F29" s="95"/>
      <c r="G29" s="90" t="s">
        <v>100</v>
      </c>
      <c r="H29" s="88"/>
      <c r="J29" s="80">
        <v>9</v>
      </c>
      <c r="K29" s="91" t="s">
        <v>106</v>
      </c>
      <c r="L29" s="80"/>
      <c r="M29" s="384">
        <v>15</v>
      </c>
      <c r="N29" s="385" t="s">
        <v>99</v>
      </c>
      <c r="O29"/>
    </row>
    <row r="30" spans="2:15" ht="25">
      <c r="F30" s="95"/>
      <c r="G30" s="89" t="s">
        <v>96</v>
      </c>
      <c r="H30" s="88"/>
      <c r="J30" s="80">
        <v>10</v>
      </c>
      <c r="K30" s="91" t="s">
        <v>107</v>
      </c>
      <c r="L30" s="80"/>
      <c r="M30" s="384">
        <v>10</v>
      </c>
      <c r="N30" s="385" t="s">
        <v>99</v>
      </c>
      <c r="O30"/>
    </row>
    <row r="31" spans="2:15" ht="25">
      <c r="F31" s="95"/>
      <c r="G31" s="89" t="s">
        <v>101</v>
      </c>
      <c r="H31" s="88"/>
      <c r="J31" s="80">
        <v>11</v>
      </c>
      <c r="K31" s="87" t="s">
        <v>98</v>
      </c>
      <c r="L31" s="80"/>
      <c r="M31" s="384">
        <v>10</v>
      </c>
      <c r="N31" s="385" t="s">
        <v>99</v>
      </c>
      <c r="O31"/>
    </row>
    <row r="32" spans="2:15" ht="25">
      <c r="F32" s="95"/>
      <c r="G32" s="89" t="s">
        <v>103</v>
      </c>
      <c r="H32" s="88"/>
      <c r="J32" s="80">
        <v>12</v>
      </c>
      <c r="K32" s="87" t="s">
        <v>108</v>
      </c>
      <c r="L32" s="80"/>
      <c r="M32" s="384">
        <v>10</v>
      </c>
      <c r="N32" s="385" t="s">
        <v>99</v>
      </c>
      <c r="O32"/>
    </row>
    <row r="33" spans="6:15" ht="25">
      <c r="F33" s="94" t="s">
        <v>32</v>
      </c>
      <c r="G33" s="87" t="s">
        <v>109</v>
      </c>
      <c r="H33" s="88">
        <v>27</v>
      </c>
      <c r="J33" s="80">
        <v>13</v>
      </c>
      <c r="K33" s="87" t="s">
        <v>109</v>
      </c>
      <c r="L33" s="80"/>
      <c r="M33" s="384">
        <v>95</v>
      </c>
      <c r="N33" s="385" t="s">
        <v>100</v>
      </c>
      <c r="O33"/>
    </row>
    <row r="34" spans="6:15" ht="25">
      <c r="F34" s="94" t="s">
        <v>38</v>
      </c>
      <c r="G34" s="90" t="s">
        <v>102</v>
      </c>
      <c r="H34" s="88">
        <v>9</v>
      </c>
      <c r="J34" s="80">
        <v>14</v>
      </c>
      <c r="K34" s="89" t="s">
        <v>101</v>
      </c>
      <c r="L34" s="80"/>
      <c r="M34" s="384">
        <v>9</v>
      </c>
      <c r="N34" s="385" t="s">
        <v>102</v>
      </c>
      <c r="O34"/>
    </row>
    <row r="35" spans="6:15" ht="25">
      <c r="F35" s="95">
        <v>9</v>
      </c>
      <c r="G35" s="90" t="s">
        <v>97</v>
      </c>
      <c r="H35" s="88"/>
      <c r="K35"/>
      <c r="M35" s="384">
        <v>15</v>
      </c>
      <c r="N35" s="386" t="s">
        <v>104</v>
      </c>
      <c r="O35"/>
    </row>
    <row r="36" spans="6:15" ht="25">
      <c r="F36" s="95"/>
      <c r="G36" s="90" t="s">
        <v>99</v>
      </c>
      <c r="H36" s="88"/>
      <c r="K36"/>
      <c r="M36" s="384">
        <v>12</v>
      </c>
      <c r="N36" s="387" t="s">
        <v>104</v>
      </c>
      <c r="O36"/>
    </row>
    <row r="37" spans="6:15" ht="25">
      <c r="F37" s="94" t="s">
        <v>46</v>
      </c>
      <c r="G37" s="90" t="s">
        <v>104</v>
      </c>
      <c r="H37" s="88">
        <v>15</v>
      </c>
      <c r="K37"/>
      <c r="M37" s="384">
        <v>10</v>
      </c>
      <c r="N37" s="386" t="s">
        <v>105</v>
      </c>
      <c r="O37"/>
    </row>
    <row r="38" spans="6:15" ht="25">
      <c r="F38" s="95">
        <v>27</v>
      </c>
      <c r="G38" s="90" t="s">
        <v>97</v>
      </c>
      <c r="H38" s="88"/>
      <c r="K38"/>
      <c r="M38" s="384">
        <v>11</v>
      </c>
      <c r="N38" s="387" t="s">
        <v>105</v>
      </c>
      <c r="O38"/>
    </row>
    <row r="39" spans="6:15" ht="25">
      <c r="F39" s="95"/>
      <c r="G39" s="90" t="s">
        <v>99</v>
      </c>
      <c r="H39" s="88"/>
      <c r="K39"/>
      <c r="M39" s="384">
        <v>50</v>
      </c>
      <c r="N39" s="388" t="s">
        <v>96</v>
      </c>
      <c r="O39"/>
    </row>
    <row r="40" spans="6:15" ht="25">
      <c r="F40" s="95"/>
      <c r="G40" s="89" t="s">
        <v>104</v>
      </c>
      <c r="H40" s="88"/>
      <c r="K40"/>
      <c r="M40" s="384">
        <v>53</v>
      </c>
      <c r="N40" s="387" t="s">
        <v>96</v>
      </c>
      <c r="O40"/>
    </row>
    <row r="41" spans="6:15" ht="25">
      <c r="F41" s="95"/>
      <c r="G41" s="89" t="s">
        <v>101</v>
      </c>
      <c r="H41" s="88"/>
      <c r="K41"/>
      <c r="M41" s="384">
        <v>95</v>
      </c>
      <c r="N41" s="386" t="s">
        <v>96</v>
      </c>
      <c r="O41"/>
    </row>
    <row r="42" spans="6:15" ht="25">
      <c r="F42" s="95"/>
      <c r="G42" s="89" t="s">
        <v>103</v>
      </c>
      <c r="H42" s="88"/>
      <c r="K42"/>
      <c r="M42" s="384">
        <v>177</v>
      </c>
      <c r="N42" s="387" t="s">
        <v>96</v>
      </c>
      <c r="O42"/>
    </row>
    <row r="43" spans="6:15" ht="25">
      <c r="F43" s="95"/>
      <c r="G43" s="91" t="s">
        <v>107</v>
      </c>
      <c r="H43" s="88"/>
      <c r="K43"/>
      <c r="M43" s="384">
        <v>53</v>
      </c>
      <c r="N43" s="387" t="s">
        <v>103</v>
      </c>
      <c r="O43"/>
    </row>
    <row r="44" spans="6:15" ht="25">
      <c r="F44" s="94" t="s">
        <v>54</v>
      </c>
      <c r="G44" s="90" t="s">
        <v>97</v>
      </c>
      <c r="H44" s="88">
        <v>10</v>
      </c>
      <c r="K44"/>
      <c r="M44" s="384">
        <v>177</v>
      </c>
      <c r="N44" s="387" t="s">
        <v>103</v>
      </c>
      <c r="O44"/>
    </row>
    <row r="45" spans="6:15" ht="25">
      <c r="F45" s="95">
        <v>23</v>
      </c>
      <c r="G45" s="90" t="s">
        <v>99</v>
      </c>
      <c r="H45" s="88"/>
      <c r="K45"/>
      <c r="M45" s="384">
        <v>12</v>
      </c>
      <c r="N45" s="387" t="s">
        <v>103</v>
      </c>
      <c r="O45"/>
    </row>
    <row r="46" spans="6:15" ht="25">
      <c r="F46" s="95"/>
      <c r="G46" s="89" t="s">
        <v>101</v>
      </c>
      <c r="H46" s="88"/>
      <c r="K46"/>
      <c r="M46" s="384">
        <v>13</v>
      </c>
      <c r="N46" s="387" t="s">
        <v>103</v>
      </c>
      <c r="O46"/>
    </row>
    <row r="47" spans="6:15" ht="25">
      <c r="F47" s="95"/>
      <c r="G47" s="89" t="s">
        <v>103</v>
      </c>
      <c r="H47" s="88"/>
      <c r="K47"/>
      <c r="M47" s="384">
        <v>9</v>
      </c>
      <c r="N47" s="387" t="s">
        <v>103</v>
      </c>
      <c r="O47"/>
    </row>
    <row r="48" spans="6:15" ht="25">
      <c r="F48" s="95"/>
      <c r="G48" s="91" t="s">
        <v>106</v>
      </c>
      <c r="H48" s="88"/>
      <c r="K48"/>
      <c r="M48" s="384">
        <v>2</v>
      </c>
      <c r="N48" s="387" t="s">
        <v>103</v>
      </c>
      <c r="O48"/>
    </row>
    <row r="49" spans="6:15" ht="25">
      <c r="F49" s="94" t="s">
        <v>62</v>
      </c>
      <c r="G49" s="90" t="s">
        <v>97</v>
      </c>
      <c r="H49" s="88">
        <v>10</v>
      </c>
      <c r="K49"/>
      <c r="M49" s="384">
        <v>11</v>
      </c>
      <c r="N49" s="387" t="s">
        <v>103</v>
      </c>
      <c r="O49"/>
    </row>
    <row r="50" spans="6:15" ht="25">
      <c r="F50" s="95">
        <v>19</v>
      </c>
      <c r="G50" s="90" t="s">
        <v>99</v>
      </c>
      <c r="H50" s="88"/>
      <c r="K50"/>
      <c r="M50" s="384">
        <v>92</v>
      </c>
      <c r="N50" s="389" t="s">
        <v>106</v>
      </c>
      <c r="O50"/>
    </row>
    <row r="51" spans="6:15" ht="25">
      <c r="F51" s="95"/>
      <c r="G51" s="89" t="s">
        <v>101</v>
      </c>
      <c r="H51" s="88">
        <v>9</v>
      </c>
      <c r="K51"/>
      <c r="M51" s="384">
        <v>108</v>
      </c>
      <c r="N51" s="389" t="s">
        <v>107</v>
      </c>
      <c r="O51"/>
    </row>
    <row r="52" spans="6:15" ht="25">
      <c r="F52" s="95"/>
      <c r="G52" s="89" t="s">
        <v>103</v>
      </c>
      <c r="H52" s="88"/>
      <c r="K52"/>
      <c r="M52" s="384">
        <v>50</v>
      </c>
      <c r="N52" s="388" t="s">
        <v>98</v>
      </c>
      <c r="O52"/>
    </row>
    <row r="53" spans="6:15" ht="25">
      <c r="F53" s="95"/>
      <c r="G53" s="87" t="s">
        <v>108</v>
      </c>
      <c r="H53" s="88">
        <v>10</v>
      </c>
      <c r="K53"/>
      <c r="M53" s="384">
        <v>10</v>
      </c>
      <c r="N53" s="388" t="s">
        <v>108</v>
      </c>
      <c r="O53"/>
    </row>
    <row r="54" spans="6:15" ht="25">
      <c r="F54" s="94" t="s">
        <v>69</v>
      </c>
      <c r="G54" s="89" t="s">
        <v>101</v>
      </c>
      <c r="H54" s="88">
        <v>2</v>
      </c>
      <c r="K54"/>
      <c r="M54" s="384">
        <v>2</v>
      </c>
      <c r="N54" s="388" t="s">
        <v>108</v>
      </c>
      <c r="O54"/>
    </row>
    <row r="55" spans="6:15" ht="25">
      <c r="F55" s="95">
        <v>2</v>
      </c>
      <c r="G55" s="89" t="s">
        <v>103</v>
      </c>
      <c r="H55" s="88">
        <v>2</v>
      </c>
      <c r="K55"/>
      <c r="M55" s="384">
        <v>27</v>
      </c>
      <c r="N55" s="388" t="s">
        <v>109</v>
      </c>
      <c r="O55"/>
    </row>
    <row r="56" spans="6:15" ht="25">
      <c r="F56" s="95"/>
      <c r="G56" s="87" t="s">
        <v>108</v>
      </c>
      <c r="H56" s="88">
        <v>2</v>
      </c>
      <c r="K56"/>
      <c r="M56" s="384">
        <v>53</v>
      </c>
      <c r="N56" s="387" t="s">
        <v>101</v>
      </c>
      <c r="O56"/>
    </row>
    <row r="57" spans="6:15" ht="25">
      <c r="F57" s="94" t="s">
        <v>75</v>
      </c>
      <c r="G57" s="90" t="s">
        <v>105</v>
      </c>
      <c r="H57" s="88">
        <v>10</v>
      </c>
      <c r="K57"/>
      <c r="M57" s="384">
        <v>177</v>
      </c>
      <c r="N57" s="387" t="s">
        <v>101</v>
      </c>
      <c r="O57"/>
    </row>
    <row r="58" spans="6:15" ht="25">
      <c r="F58" s="95">
        <v>21</v>
      </c>
      <c r="G58" s="90" t="s">
        <v>97</v>
      </c>
      <c r="H58" s="88"/>
      <c r="K58"/>
      <c r="M58" s="384">
        <v>12</v>
      </c>
      <c r="N58" s="387" t="s">
        <v>101</v>
      </c>
      <c r="O58"/>
    </row>
    <row r="59" spans="6:15" ht="25">
      <c r="F59" s="95"/>
      <c r="G59" s="90" t="s">
        <v>99</v>
      </c>
      <c r="H59" s="88"/>
      <c r="K59"/>
      <c r="M59" s="384">
        <v>13</v>
      </c>
      <c r="N59" s="387" t="s">
        <v>101</v>
      </c>
      <c r="O59"/>
    </row>
    <row r="60" spans="6:15" ht="25">
      <c r="F60" s="95"/>
      <c r="G60" s="89" t="s">
        <v>105</v>
      </c>
      <c r="H60" s="88">
        <v>11</v>
      </c>
      <c r="K60"/>
      <c r="M60" s="384">
        <v>9</v>
      </c>
      <c r="N60" s="387" t="s">
        <v>101</v>
      </c>
      <c r="O60"/>
    </row>
    <row r="61" spans="6:15" ht="25">
      <c r="F61" s="95"/>
      <c r="G61" s="89" t="s">
        <v>101</v>
      </c>
      <c r="H61" s="88"/>
      <c r="K61"/>
      <c r="M61" s="384">
        <v>2</v>
      </c>
      <c r="N61" s="387" t="s">
        <v>101</v>
      </c>
      <c r="O61"/>
    </row>
    <row r="62" spans="6:15" ht="25.5" thickBot="1">
      <c r="F62" s="96"/>
      <c r="G62" s="97" t="s">
        <v>103</v>
      </c>
      <c r="H62" s="98"/>
      <c r="I62" s="99"/>
      <c r="J62" s="100"/>
      <c r="K62" s="99"/>
      <c r="L62" s="100"/>
      <c r="M62" s="114">
        <v>11</v>
      </c>
      <c r="N62" s="390" t="s">
        <v>101</v>
      </c>
      <c r="O62"/>
    </row>
    <row r="64" spans="6:15" ht="13" thickBot="1"/>
    <row r="65" spans="2:14" ht="13">
      <c r="F65" s="510" t="s">
        <v>110</v>
      </c>
      <c r="G65" s="511"/>
      <c r="H65" s="511"/>
      <c r="I65" s="511"/>
      <c r="J65" s="511"/>
      <c r="K65" s="511"/>
      <c r="L65" s="511"/>
      <c r="M65" s="511"/>
      <c r="N65" s="512"/>
    </row>
    <row r="66" spans="2:14" ht="14.5">
      <c r="B66" s="27" t="s">
        <v>0</v>
      </c>
      <c r="C66" s="27" t="s">
        <v>1</v>
      </c>
      <c r="F66" s="507" t="s">
        <v>111</v>
      </c>
      <c r="G66" s="507"/>
      <c r="H66" s="507"/>
      <c r="I66" s="507"/>
      <c r="K66" s="507" t="s">
        <v>112</v>
      </c>
      <c r="L66" s="507"/>
      <c r="M66" s="507"/>
      <c r="N66" s="507"/>
    </row>
    <row r="67" spans="2:14" ht="14.5">
      <c r="B67" s="78" t="s">
        <v>3</v>
      </c>
      <c r="C67" s="79"/>
      <c r="F67" s="117" t="s">
        <v>113</v>
      </c>
      <c r="G67" s="117" t="s">
        <v>114</v>
      </c>
      <c r="H67" s="117" t="s">
        <v>115</v>
      </c>
      <c r="I67" s="117" t="s">
        <v>116</v>
      </c>
      <c r="K67" s="117" t="s">
        <v>113</v>
      </c>
      <c r="L67" s="117" t="s">
        <v>114</v>
      </c>
      <c r="M67" s="117" t="s">
        <v>115</v>
      </c>
      <c r="N67" s="117" t="s">
        <v>116</v>
      </c>
    </row>
    <row r="68" spans="2:14" ht="25">
      <c r="B68" s="381" t="s">
        <v>16</v>
      </c>
      <c r="C68" s="382">
        <v>48</v>
      </c>
      <c r="F68" s="118" t="s">
        <v>117</v>
      </c>
      <c r="G68" s="119"/>
      <c r="H68" s="119"/>
      <c r="I68" s="119"/>
      <c r="K68" s="118" t="s">
        <v>117</v>
      </c>
      <c r="L68" s="119"/>
      <c r="M68" s="119"/>
      <c r="N68" s="119"/>
    </row>
    <row r="69" spans="2:14" ht="25">
      <c r="B69" s="381" t="s">
        <v>24</v>
      </c>
      <c r="C69" s="382">
        <v>30</v>
      </c>
      <c r="F69" s="120" t="s">
        <v>118</v>
      </c>
      <c r="G69" s="121">
        <v>50</v>
      </c>
      <c r="H69" s="108"/>
      <c r="I69" s="103"/>
      <c r="K69" s="120" t="s">
        <v>118</v>
      </c>
      <c r="L69" s="121">
        <v>50</v>
      </c>
      <c r="M69" s="108"/>
      <c r="N69" s="103"/>
    </row>
    <row r="70" spans="2:14" ht="25">
      <c r="B70" s="383" t="s">
        <v>31</v>
      </c>
      <c r="C70" s="382">
        <v>15</v>
      </c>
      <c r="F70" s="101" t="s">
        <v>119</v>
      </c>
      <c r="G70" s="103">
        <v>126.49999999999999</v>
      </c>
      <c r="H70" s="108"/>
      <c r="I70" s="103"/>
      <c r="K70" s="101" t="s">
        <v>119</v>
      </c>
      <c r="L70" s="103">
        <v>126.49999999999999</v>
      </c>
      <c r="M70" s="108"/>
      <c r="N70" s="103"/>
    </row>
    <row r="71" spans="2:14" ht="25">
      <c r="B71" s="383" t="s">
        <v>37</v>
      </c>
      <c r="C71" s="382">
        <v>12</v>
      </c>
      <c r="F71" s="101" t="s">
        <v>120</v>
      </c>
      <c r="G71" s="103">
        <v>3000</v>
      </c>
      <c r="H71" s="108"/>
      <c r="I71" s="103"/>
      <c r="K71" s="101" t="s">
        <v>120</v>
      </c>
      <c r="L71" s="103">
        <v>3000</v>
      </c>
      <c r="M71" s="108"/>
      <c r="N71" s="103"/>
    </row>
    <row r="72" spans="2:14" ht="25">
      <c r="B72" s="383" t="s">
        <v>45</v>
      </c>
      <c r="C72" s="382">
        <v>9</v>
      </c>
      <c r="F72" s="101" t="s">
        <v>121</v>
      </c>
      <c r="G72" s="103">
        <v>218.48</v>
      </c>
      <c r="H72" s="108"/>
      <c r="I72" s="103"/>
      <c r="K72" s="101" t="s">
        <v>121</v>
      </c>
      <c r="L72" s="103">
        <v>218.48</v>
      </c>
      <c r="M72" s="108"/>
      <c r="N72" s="103"/>
    </row>
    <row r="73" spans="2:14" ht="25">
      <c r="B73" s="383" t="s">
        <v>53</v>
      </c>
      <c r="C73" s="382">
        <v>20</v>
      </c>
      <c r="F73" s="101" t="s">
        <v>122</v>
      </c>
      <c r="G73" s="103">
        <v>40</v>
      </c>
      <c r="H73" s="108"/>
      <c r="I73" s="103"/>
      <c r="K73" s="101" t="s">
        <v>122</v>
      </c>
      <c r="L73" s="103">
        <v>40</v>
      </c>
      <c r="M73" s="108"/>
      <c r="N73" s="103"/>
    </row>
    <row r="74" spans="2:14" ht="25">
      <c r="B74" s="383" t="s">
        <v>61</v>
      </c>
      <c r="C74" s="382">
        <v>14</v>
      </c>
      <c r="F74" s="101" t="s">
        <v>123</v>
      </c>
      <c r="G74" s="121">
        <v>60</v>
      </c>
      <c r="H74" s="108"/>
      <c r="I74" s="103"/>
      <c r="K74" s="101" t="s">
        <v>123</v>
      </c>
      <c r="L74" s="121">
        <v>60</v>
      </c>
      <c r="M74" s="108"/>
      <c r="N74" s="103"/>
    </row>
    <row r="75" spans="2:14" ht="25">
      <c r="B75" s="378" t="s">
        <v>68</v>
      </c>
      <c r="C75" s="382">
        <v>19</v>
      </c>
      <c r="F75" s="101" t="s">
        <v>124</v>
      </c>
      <c r="G75" s="103">
        <v>144</v>
      </c>
      <c r="H75" s="80"/>
      <c r="I75" s="103"/>
      <c r="K75" s="101" t="s">
        <v>124</v>
      </c>
      <c r="L75" s="103">
        <v>144</v>
      </c>
      <c r="M75" s="80"/>
      <c r="N75" s="103"/>
    </row>
    <row r="76" spans="2:14" ht="25">
      <c r="B76" s="78" t="s">
        <v>74</v>
      </c>
      <c r="C76" s="79"/>
      <c r="F76" s="101" t="s">
        <v>125</v>
      </c>
      <c r="G76" s="103">
        <v>270.60000000000002</v>
      </c>
      <c r="H76" s="108"/>
      <c r="I76" s="103"/>
      <c r="K76" s="101" t="s">
        <v>125</v>
      </c>
      <c r="L76" s="103">
        <v>270.60000000000002</v>
      </c>
      <c r="M76" s="108"/>
      <c r="N76" s="103"/>
    </row>
    <row r="77" spans="2:14" ht="25">
      <c r="B77" s="383" t="s">
        <v>82</v>
      </c>
      <c r="C77" s="382">
        <v>242</v>
      </c>
      <c r="F77" s="101" t="s">
        <v>126</v>
      </c>
      <c r="G77" s="121">
        <v>0.95</v>
      </c>
      <c r="H77" s="107"/>
      <c r="I77" s="103"/>
      <c r="K77" s="101" t="s">
        <v>126</v>
      </c>
      <c r="L77" s="121">
        <v>0.95</v>
      </c>
      <c r="M77" s="107"/>
      <c r="N77" s="103"/>
    </row>
    <row r="78" spans="2:14" ht="25">
      <c r="B78" s="383" t="s">
        <v>83</v>
      </c>
      <c r="C78" s="382">
        <v>55</v>
      </c>
      <c r="F78" s="101" t="s">
        <v>127</v>
      </c>
      <c r="G78" s="121">
        <v>1.25</v>
      </c>
      <c r="H78" s="80"/>
      <c r="I78" s="103"/>
      <c r="K78" s="101" t="s">
        <v>127</v>
      </c>
      <c r="L78" s="121">
        <v>1.25</v>
      </c>
      <c r="M78" s="107"/>
      <c r="N78" s="103"/>
    </row>
    <row r="79" spans="2:14" ht="25">
      <c r="B79" s="378" t="s">
        <v>84</v>
      </c>
      <c r="C79" s="382">
        <v>7</v>
      </c>
      <c r="F79" s="122" t="s">
        <v>128</v>
      </c>
      <c r="G79" s="121">
        <v>4.7</v>
      </c>
      <c r="H79" s="108"/>
      <c r="I79" s="103"/>
      <c r="K79" s="122" t="s">
        <v>128</v>
      </c>
      <c r="L79" s="121">
        <v>4.7</v>
      </c>
      <c r="M79" s="108"/>
      <c r="N79" s="103"/>
    </row>
    <row r="80" spans="2:14" ht="25">
      <c r="B80" s="378" t="s">
        <v>86</v>
      </c>
      <c r="C80" s="382">
        <v>2</v>
      </c>
      <c r="F80" s="101" t="s">
        <v>129</v>
      </c>
      <c r="G80" s="123">
        <v>2000</v>
      </c>
      <c r="H80" s="108"/>
      <c r="I80" s="103"/>
      <c r="K80" s="101" t="s">
        <v>129</v>
      </c>
      <c r="L80" s="123">
        <v>2000</v>
      </c>
      <c r="M80" s="108"/>
      <c r="N80" s="103"/>
    </row>
    <row r="81" spans="2:14" ht="25">
      <c r="B81" s="378" t="s">
        <v>88</v>
      </c>
      <c r="C81" s="382">
        <v>21</v>
      </c>
      <c r="F81" s="107" t="s">
        <v>130</v>
      </c>
      <c r="G81" s="107"/>
      <c r="H81" s="107"/>
      <c r="I81" s="103"/>
      <c r="K81" s="107" t="s">
        <v>130</v>
      </c>
      <c r="L81" s="107"/>
      <c r="M81" s="107"/>
      <c r="N81" s="103"/>
    </row>
    <row r="82" spans="2:14" ht="25">
      <c r="B82" s="378" t="s">
        <v>89</v>
      </c>
      <c r="C82" s="382">
        <v>7</v>
      </c>
      <c r="F82" s="115" t="s">
        <v>131</v>
      </c>
      <c r="G82" s="111">
        <v>7.39</v>
      </c>
      <c r="H82" s="108"/>
      <c r="I82" s="103"/>
      <c r="K82" s="115" t="s">
        <v>131</v>
      </c>
      <c r="L82" s="111">
        <v>7.39</v>
      </c>
      <c r="M82" s="108"/>
      <c r="N82" s="103"/>
    </row>
    <row r="83" spans="2:14" ht="25">
      <c r="B83" s="383" t="s">
        <v>90</v>
      </c>
      <c r="C83" s="382">
        <v>2</v>
      </c>
      <c r="F83" s="118" t="s">
        <v>132</v>
      </c>
      <c r="G83" s="119"/>
      <c r="H83" s="119"/>
      <c r="I83" s="119"/>
      <c r="K83" s="118" t="s">
        <v>132</v>
      </c>
      <c r="L83" s="119"/>
      <c r="M83" s="119"/>
      <c r="N83" s="119"/>
    </row>
    <row r="84" spans="2:14">
      <c r="F84" s="116" t="s">
        <v>133</v>
      </c>
      <c r="G84" s="103">
        <v>2900</v>
      </c>
      <c r="H84" s="108"/>
      <c r="I84" s="103"/>
      <c r="K84" s="116" t="s">
        <v>133</v>
      </c>
      <c r="L84" s="103">
        <v>2900</v>
      </c>
      <c r="M84" s="108"/>
      <c r="N84" s="103"/>
    </row>
    <row r="85" spans="2:14">
      <c r="F85" s="116" t="s">
        <v>134</v>
      </c>
      <c r="G85" s="103">
        <v>6000</v>
      </c>
      <c r="H85" s="108">
        <v>56</v>
      </c>
      <c r="I85" s="103"/>
      <c r="K85" s="116" t="s">
        <v>134</v>
      </c>
      <c r="L85" s="103">
        <v>6000</v>
      </c>
      <c r="M85" s="108"/>
      <c r="N85" s="103"/>
    </row>
    <row r="86" spans="2:14">
      <c r="F86" s="101" t="s">
        <v>135</v>
      </c>
      <c r="G86" s="103">
        <v>7500</v>
      </c>
      <c r="H86" s="107"/>
      <c r="I86" s="103"/>
      <c r="K86" s="101" t="s">
        <v>135</v>
      </c>
      <c r="L86" s="103">
        <v>7500</v>
      </c>
      <c r="M86" s="107"/>
      <c r="N86" s="103"/>
    </row>
    <row r="87" spans="2:14" ht="25">
      <c r="F87" s="101" t="s">
        <v>136</v>
      </c>
      <c r="G87" s="103">
        <v>12.8</v>
      </c>
      <c r="H87" s="108"/>
      <c r="I87" s="103"/>
      <c r="K87" s="101" t="s">
        <v>136</v>
      </c>
      <c r="L87" s="103">
        <v>12.8</v>
      </c>
      <c r="M87" s="108"/>
      <c r="N87" s="103"/>
    </row>
    <row r="88" spans="2:14">
      <c r="F88" s="116" t="s">
        <v>137</v>
      </c>
      <c r="G88" s="121">
        <v>6.7</v>
      </c>
      <c r="H88" s="108"/>
      <c r="I88" s="103"/>
      <c r="K88" s="116" t="s">
        <v>137</v>
      </c>
      <c r="L88" s="121">
        <v>6.7</v>
      </c>
      <c r="M88" s="108"/>
      <c r="N88" s="103"/>
    </row>
    <row r="89" spans="2:14">
      <c r="F89" s="116" t="s">
        <v>138</v>
      </c>
      <c r="G89" s="121">
        <v>6.65</v>
      </c>
      <c r="H89" s="108"/>
      <c r="I89" s="103"/>
      <c r="K89" s="116" t="s">
        <v>138</v>
      </c>
      <c r="L89" s="121">
        <v>6.65</v>
      </c>
      <c r="M89" s="108"/>
      <c r="N89" s="103"/>
    </row>
    <row r="90" spans="2:14" ht="14">
      <c r="F90" s="118" t="s">
        <v>139</v>
      </c>
      <c r="G90" s="119"/>
      <c r="H90" s="119"/>
      <c r="I90" s="119"/>
      <c r="K90" s="118" t="s">
        <v>139</v>
      </c>
      <c r="L90" s="119"/>
      <c r="M90" s="119"/>
      <c r="N90" s="119"/>
    </row>
    <row r="91" spans="2:14">
      <c r="F91" s="107" t="s">
        <v>140</v>
      </c>
      <c r="G91" s="103">
        <v>67</v>
      </c>
      <c r="H91" s="108"/>
      <c r="I91" s="103"/>
      <c r="K91" s="107" t="s">
        <v>140</v>
      </c>
      <c r="L91" s="103">
        <v>67</v>
      </c>
      <c r="M91" s="108"/>
      <c r="N91" s="103"/>
    </row>
    <row r="92" spans="2:14">
      <c r="F92" s="107" t="s">
        <v>141</v>
      </c>
      <c r="G92" s="111">
        <v>45.5</v>
      </c>
      <c r="H92" s="108"/>
      <c r="I92" s="103"/>
      <c r="K92" s="107" t="s">
        <v>141</v>
      </c>
      <c r="L92" s="111">
        <v>45.5</v>
      </c>
      <c r="M92" s="108"/>
      <c r="N92" s="103"/>
    </row>
    <row r="93" spans="2:14">
      <c r="F93" s="107" t="s">
        <v>142</v>
      </c>
      <c r="G93" s="111">
        <v>8.6999999999999993</v>
      </c>
      <c r="H93" s="108"/>
      <c r="I93" s="103"/>
      <c r="K93" s="107" t="s">
        <v>142</v>
      </c>
      <c r="L93" s="111">
        <v>8.6999999999999993</v>
      </c>
      <c r="M93" s="108"/>
      <c r="N93" s="103"/>
    </row>
    <row r="94" spans="2:14">
      <c r="F94" s="107" t="s">
        <v>143</v>
      </c>
      <c r="G94" s="111">
        <v>37</v>
      </c>
      <c r="H94" s="108"/>
      <c r="I94" s="103"/>
      <c r="K94" s="107" t="s">
        <v>143</v>
      </c>
      <c r="L94" s="111">
        <v>37</v>
      </c>
      <c r="M94" s="108"/>
      <c r="N94" s="103"/>
    </row>
    <row r="95" spans="2:14">
      <c r="F95" s="107" t="s">
        <v>144</v>
      </c>
      <c r="G95" s="111">
        <v>7.39</v>
      </c>
      <c r="H95" s="108"/>
      <c r="I95" s="103"/>
      <c r="K95" s="107" t="s">
        <v>144</v>
      </c>
      <c r="L95" s="111">
        <v>7.39</v>
      </c>
      <c r="M95" s="108"/>
      <c r="N95" s="103"/>
    </row>
    <row r="96" spans="2:14" ht="14">
      <c r="F96" s="118" t="s">
        <v>145</v>
      </c>
      <c r="G96" s="119"/>
      <c r="H96" s="119"/>
      <c r="I96" s="119"/>
      <c r="K96" s="118" t="s">
        <v>145</v>
      </c>
      <c r="L96" s="119"/>
      <c r="M96" s="119"/>
      <c r="N96" s="119"/>
    </row>
    <row r="97" spans="4:14">
      <c r="F97" s="101" t="s">
        <v>146</v>
      </c>
      <c r="G97" s="103">
        <v>100</v>
      </c>
      <c r="H97" s="108"/>
      <c r="I97" s="103"/>
      <c r="K97" s="101" t="s">
        <v>146</v>
      </c>
      <c r="L97" s="103">
        <v>100</v>
      </c>
      <c r="M97" s="108"/>
      <c r="N97" s="103"/>
    </row>
    <row r="98" spans="4:14">
      <c r="F98" s="101" t="s">
        <v>147</v>
      </c>
      <c r="G98" s="103">
        <v>2</v>
      </c>
      <c r="H98" s="108"/>
      <c r="I98" s="103"/>
      <c r="K98" s="101" t="s">
        <v>147</v>
      </c>
      <c r="L98" s="103">
        <v>2</v>
      </c>
      <c r="M98" s="108"/>
      <c r="N98" s="103"/>
    </row>
    <row r="99" spans="4:14">
      <c r="F99" s="101" t="s">
        <v>148</v>
      </c>
      <c r="G99" s="103">
        <v>2</v>
      </c>
      <c r="H99" s="108"/>
      <c r="I99" s="103"/>
      <c r="K99" s="101" t="s">
        <v>148</v>
      </c>
      <c r="L99" s="103">
        <v>2</v>
      </c>
      <c r="M99" s="108"/>
      <c r="N99" s="103"/>
    </row>
    <row r="100" spans="4:14">
      <c r="F100" s="101" t="s">
        <v>149</v>
      </c>
      <c r="G100" s="103">
        <v>325</v>
      </c>
      <c r="H100" s="108"/>
      <c r="I100" s="103"/>
      <c r="K100" s="101" t="s">
        <v>149</v>
      </c>
      <c r="L100" s="103">
        <v>325</v>
      </c>
      <c r="M100" s="108"/>
      <c r="N100" s="103"/>
    </row>
    <row r="101" spans="4:14">
      <c r="F101" s="116" t="s">
        <v>150</v>
      </c>
      <c r="G101" s="103">
        <v>3</v>
      </c>
      <c r="H101" s="108">
        <v>0</v>
      </c>
      <c r="I101" s="103"/>
      <c r="K101" s="116" t="s">
        <v>150</v>
      </c>
      <c r="L101" s="103">
        <v>3</v>
      </c>
      <c r="M101" s="108">
        <v>0</v>
      </c>
      <c r="N101" s="103"/>
    </row>
    <row r="102" spans="4:14">
      <c r="F102" s="101" t="s">
        <v>151</v>
      </c>
      <c r="G102" s="103">
        <v>2</v>
      </c>
      <c r="H102" s="108"/>
      <c r="I102" s="103"/>
      <c r="K102" s="101" t="s">
        <v>151</v>
      </c>
      <c r="L102" s="103">
        <v>2</v>
      </c>
      <c r="M102" s="108"/>
      <c r="N102" s="103"/>
    </row>
    <row r="103" spans="4:14" ht="14">
      <c r="F103" s="118" t="s">
        <v>152</v>
      </c>
      <c r="G103" s="119"/>
      <c r="H103" s="119"/>
      <c r="I103" s="119"/>
      <c r="K103" s="118" t="s">
        <v>152</v>
      </c>
      <c r="L103" s="119"/>
      <c r="M103" s="119"/>
      <c r="N103" s="119"/>
    </row>
    <row r="104" spans="4:14">
      <c r="F104" s="101" t="s">
        <v>153</v>
      </c>
      <c r="G104" s="103"/>
      <c r="H104" s="108"/>
      <c r="I104" s="103"/>
      <c r="K104" s="101" t="s">
        <v>153</v>
      </c>
      <c r="L104" s="103"/>
      <c r="M104" s="108"/>
      <c r="N104" s="103"/>
    </row>
    <row r="105" spans="4:14">
      <c r="F105" s="101" t="s">
        <v>154</v>
      </c>
      <c r="G105" s="106">
        <v>28</v>
      </c>
      <c r="H105" s="108"/>
      <c r="I105" s="103"/>
      <c r="K105" s="101" t="s">
        <v>154</v>
      </c>
      <c r="L105" s="106">
        <v>28</v>
      </c>
      <c r="M105" s="108"/>
      <c r="N105" s="103"/>
    </row>
    <row r="106" spans="4:14">
      <c r="F106" s="101" t="s">
        <v>155</v>
      </c>
      <c r="G106" s="110">
        <v>139</v>
      </c>
      <c r="H106" s="108"/>
      <c r="I106" s="103"/>
      <c r="K106" s="101" t="s">
        <v>155</v>
      </c>
      <c r="L106" s="110">
        <v>139</v>
      </c>
      <c r="M106" s="108"/>
      <c r="N106" s="103"/>
    </row>
    <row r="107" spans="4:14">
      <c r="F107" s="101" t="s">
        <v>156</v>
      </c>
      <c r="G107" s="110">
        <v>16.5</v>
      </c>
      <c r="H107" s="108"/>
      <c r="I107" s="103"/>
      <c r="K107" s="101" t="s">
        <v>156</v>
      </c>
      <c r="L107" s="110">
        <v>16.5</v>
      </c>
      <c r="M107" s="108"/>
      <c r="N107" s="103"/>
    </row>
    <row r="108" spans="4:14">
      <c r="F108" s="101" t="s">
        <v>157</v>
      </c>
      <c r="G108" s="110">
        <v>54.12</v>
      </c>
      <c r="H108" s="108"/>
      <c r="I108" s="103"/>
      <c r="K108" s="101" t="s">
        <v>157</v>
      </c>
      <c r="L108" s="110">
        <v>54.12</v>
      </c>
      <c r="M108" s="108"/>
      <c r="N108" s="103"/>
    </row>
    <row r="109" spans="4:14" ht="14">
      <c r="F109" s="118" t="s">
        <v>158</v>
      </c>
      <c r="G109" s="119"/>
      <c r="H109" s="119"/>
      <c r="I109" s="119"/>
      <c r="K109" s="118" t="s">
        <v>158</v>
      </c>
      <c r="L109" s="119"/>
      <c r="M109" s="119"/>
      <c r="N109" s="119"/>
    </row>
    <row r="110" spans="4:14">
      <c r="D110" s="113"/>
      <c r="F110" s="129" t="s">
        <v>159</v>
      </c>
      <c r="G110" s="123">
        <v>183.68</v>
      </c>
      <c r="H110" s="108"/>
      <c r="I110" s="103"/>
      <c r="K110" s="129" t="s">
        <v>159</v>
      </c>
      <c r="L110" s="123">
        <v>183.68</v>
      </c>
      <c r="M110" s="108"/>
      <c r="N110" s="103"/>
    </row>
    <row r="111" spans="4:14" ht="25">
      <c r="D111" s="113"/>
      <c r="F111" s="129" t="s">
        <v>160</v>
      </c>
      <c r="G111" s="103">
        <v>82.1</v>
      </c>
      <c r="H111" s="108"/>
      <c r="I111" s="103"/>
      <c r="K111" s="129" t="s">
        <v>160</v>
      </c>
      <c r="L111" s="103">
        <v>82.1</v>
      </c>
      <c r="M111" s="108">
        <v>272</v>
      </c>
      <c r="N111" s="103"/>
    </row>
    <row r="112" spans="4:14">
      <c r="D112" s="113"/>
      <c r="F112" s="129" t="s">
        <v>161</v>
      </c>
      <c r="G112" s="103">
        <v>36.9</v>
      </c>
      <c r="H112" s="108"/>
      <c r="I112" s="103"/>
      <c r="K112" s="129" t="s">
        <v>161</v>
      </c>
      <c r="L112" s="103">
        <v>36.9</v>
      </c>
      <c r="M112" s="108"/>
      <c r="N112" s="103"/>
    </row>
    <row r="113" spans="4:14">
      <c r="D113" s="113"/>
      <c r="F113" s="129" t="s">
        <v>162</v>
      </c>
      <c r="G113" s="121">
        <v>150.1</v>
      </c>
      <c r="H113" s="108"/>
      <c r="I113" s="103"/>
      <c r="K113" s="129" t="s">
        <v>162</v>
      </c>
      <c r="L113" s="121">
        <v>150.1</v>
      </c>
      <c r="M113" s="108"/>
      <c r="N113" s="103"/>
    </row>
    <row r="114" spans="4:14" ht="14">
      <c r="F114" s="118" t="s">
        <v>163</v>
      </c>
      <c r="G114" s="119"/>
      <c r="H114" s="119"/>
      <c r="I114" s="119"/>
      <c r="K114" s="118" t="s">
        <v>163</v>
      </c>
      <c r="L114" s="119"/>
      <c r="M114" s="119"/>
      <c r="N114" s="119"/>
    </row>
    <row r="115" spans="4:14" ht="14.5">
      <c r="F115" s="101" t="s">
        <v>164</v>
      </c>
      <c r="G115" s="123">
        <v>26.6</v>
      </c>
      <c r="H115" s="117"/>
      <c r="I115" s="103"/>
      <c r="K115" s="101" t="s">
        <v>164</v>
      </c>
      <c r="L115" s="123">
        <v>26.6</v>
      </c>
      <c r="M115" s="117"/>
      <c r="N115" s="103"/>
    </row>
    <row r="116" spans="4:14" ht="25">
      <c r="F116" s="101" t="s">
        <v>165</v>
      </c>
      <c r="G116" s="103">
        <v>12.5</v>
      </c>
      <c r="H116" s="117"/>
      <c r="I116" s="103"/>
      <c r="K116" s="101" t="s">
        <v>165</v>
      </c>
      <c r="L116" s="103">
        <v>12.5</v>
      </c>
      <c r="M116" s="117"/>
      <c r="N116" s="103"/>
    </row>
    <row r="117" spans="4:14" ht="14.5">
      <c r="F117" s="101" t="s">
        <v>166</v>
      </c>
      <c r="G117" s="103">
        <v>4.42</v>
      </c>
      <c r="H117" s="117"/>
      <c r="I117" s="103"/>
      <c r="K117" s="101" t="s">
        <v>166</v>
      </c>
      <c r="L117" s="103">
        <v>4.42</v>
      </c>
      <c r="M117" s="117"/>
      <c r="N117" s="103"/>
    </row>
    <row r="118" spans="4:14" ht="14.5">
      <c r="F118" s="101" t="s">
        <v>167</v>
      </c>
      <c r="G118" s="121">
        <v>20</v>
      </c>
      <c r="H118" s="117"/>
      <c r="I118" s="103"/>
      <c r="K118" s="101" t="s">
        <v>167</v>
      </c>
      <c r="L118" s="121">
        <v>20</v>
      </c>
      <c r="M118" s="117"/>
      <c r="N118" s="103"/>
    </row>
    <row r="119" spans="4:14" ht="14.5">
      <c r="F119" s="116" t="s">
        <v>168</v>
      </c>
      <c r="G119" s="103">
        <v>150</v>
      </c>
      <c r="H119" s="117"/>
      <c r="I119" s="103"/>
      <c r="K119" s="116" t="s">
        <v>168</v>
      </c>
      <c r="L119" s="103">
        <v>150</v>
      </c>
      <c r="M119" s="117"/>
      <c r="N119" s="103"/>
    </row>
    <row r="120" spans="4:14" ht="14.5">
      <c r="F120" s="101" t="s">
        <v>169</v>
      </c>
      <c r="G120" s="103">
        <v>50</v>
      </c>
      <c r="H120" s="117"/>
      <c r="I120" s="103"/>
      <c r="K120" s="101" t="s">
        <v>169</v>
      </c>
      <c r="L120" s="103">
        <v>50</v>
      </c>
      <c r="M120" s="117"/>
      <c r="N120" s="103"/>
    </row>
    <row r="121" spans="4:14" ht="14.5">
      <c r="F121" s="101" t="s">
        <v>170</v>
      </c>
      <c r="G121" s="121">
        <v>360</v>
      </c>
      <c r="H121" s="117"/>
      <c r="I121" s="103"/>
      <c r="K121" s="101" t="s">
        <v>170</v>
      </c>
      <c r="L121" s="121">
        <v>360</v>
      </c>
      <c r="M121" s="117"/>
      <c r="N121" s="103"/>
    </row>
    <row r="122" spans="4:14" ht="14">
      <c r="F122" s="118" t="s">
        <v>117</v>
      </c>
      <c r="G122" s="119"/>
      <c r="H122" s="119"/>
      <c r="I122" s="119"/>
      <c r="K122" s="118" t="s">
        <v>117</v>
      </c>
      <c r="L122" s="119"/>
      <c r="M122" s="119"/>
      <c r="N122" s="119"/>
    </row>
    <row r="123" spans="4:14">
      <c r="F123" s="101" t="s">
        <v>171</v>
      </c>
      <c r="G123" s="123">
        <v>5.6233333333333331</v>
      </c>
      <c r="H123" s="102"/>
      <c r="I123" s="103"/>
      <c r="K123" s="101" t="s">
        <v>171</v>
      </c>
      <c r="L123" s="123">
        <v>5.6233333333333331</v>
      </c>
      <c r="M123" s="102"/>
      <c r="N123" s="103"/>
    </row>
    <row r="124" spans="4:14">
      <c r="F124" s="101" t="s">
        <v>172</v>
      </c>
      <c r="G124" s="123">
        <v>9.5</v>
      </c>
      <c r="H124" s="104"/>
      <c r="I124" s="103"/>
      <c r="K124" s="101" t="s">
        <v>172</v>
      </c>
      <c r="L124" s="123">
        <v>9.5</v>
      </c>
      <c r="M124" s="104"/>
      <c r="N124" s="103"/>
    </row>
    <row r="125" spans="4:14">
      <c r="F125" s="101" t="s">
        <v>173</v>
      </c>
      <c r="G125" s="103">
        <v>3.92</v>
      </c>
      <c r="H125" s="105"/>
      <c r="I125" s="103"/>
      <c r="K125" s="101" t="s">
        <v>173</v>
      </c>
      <c r="L125" s="103">
        <v>3.92</v>
      </c>
      <c r="M125" s="105"/>
      <c r="N125" s="103"/>
    </row>
    <row r="126" spans="4:14">
      <c r="F126" s="101" t="s">
        <v>174</v>
      </c>
      <c r="G126" s="124">
        <v>30</v>
      </c>
      <c r="H126" s="105"/>
      <c r="I126" s="103"/>
      <c r="K126" s="101" t="s">
        <v>174</v>
      </c>
      <c r="L126" s="124">
        <v>30</v>
      </c>
      <c r="M126" s="105"/>
      <c r="N126" s="103"/>
    </row>
    <row r="127" spans="4:14">
      <c r="F127" s="107" t="s">
        <v>175</v>
      </c>
      <c r="G127" s="103">
        <v>25</v>
      </c>
      <c r="H127" s="108"/>
      <c r="I127" s="103"/>
      <c r="K127" s="107" t="s">
        <v>175</v>
      </c>
      <c r="L127" s="103">
        <v>25</v>
      </c>
      <c r="M127" s="108"/>
      <c r="N127" s="103"/>
    </row>
    <row r="128" spans="4:14" ht="25">
      <c r="F128" s="101" t="s">
        <v>176</v>
      </c>
      <c r="G128" s="103">
        <v>100</v>
      </c>
      <c r="H128" s="109"/>
      <c r="I128" s="103"/>
      <c r="K128" s="101" t="s">
        <v>176</v>
      </c>
      <c r="L128" s="103">
        <v>100</v>
      </c>
      <c r="M128" s="109"/>
      <c r="N128" s="103"/>
    </row>
    <row r="129" spans="6:14" ht="25">
      <c r="F129" s="101" t="s">
        <v>177</v>
      </c>
      <c r="G129" s="103">
        <v>403.75</v>
      </c>
      <c r="H129" s="109"/>
      <c r="I129" s="103"/>
      <c r="K129" s="101" t="s">
        <v>177</v>
      </c>
      <c r="L129" s="103">
        <v>403.75</v>
      </c>
      <c r="M129" s="109"/>
      <c r="N129" s="103"/>
    </row>
    <row r="130" spans="6:14">
      <c r="F130" s="101" t="s">
        <v>178</v>
      </c>
      <c r="G130" s="103">
        <v>140</v>
      </c>
      <c r="H130" s="109"/>
      <c r="I130" s="103"/>
      <c r="K130" s="101" t="s">
        <v>178</v>
      </c>
      <c r="L130" s="103">
        <v>140</v>
      </c>
      <c r="M130" s="109"/>
      <c r="N130" s="103"/>
    </row>
    <row r="131" spans="6:14">
      <c r="F131" s="101" t="s">
        <v>179</v>
      </c>
      <c r="G131" s="103">
        <v>45</v>
      </c>
      <c r="H131" s="105"/>
      <c r="I131" s="103"/>
      <c r="K131" s="101" t="s">
        <v>179</v>
      </c>
      <c r="L131" s="103">
        <v>45</v>
      </c>
      <c r="M131" s="105"/>
      <c r="N131" s="103"/>
    </row>
    <row r="132" spans="6:14">
      <c r="F132" s="101" t="s">
        <v>180</v>
      </c>
      <c r="G132" s="103">
        <v>37.31</v>
      </c>
      <c r="H132" s="105"/>
      <c r="I132" s="103"/>
      <c r="K132" s="101" t="s">
        <v>180</v>
      </c>
      <c r="L132" s="103">
        <v>37.31</v>
      </c>
      <c r="M132" s="105"/>
      <c r="N132" s="103"/>
    </row>
    <row r="133" spans="6:14">
      <c r="F133" s="101" t="s">
        <v>181</v>
      </c>
      <c r="G133" s="103">
        <v>964</v>
      </c>
      <c r="H133" s="105"/>
      <c r="I133" s="103"/>
      <c r="K133" s="101" t="s">
        <v>181</v>
      </c>
      <c r="L133" s="103">
        <v>964</v>
      </c>
      <c r="M133" s="105"/>
      <c r="N133" s="103"/>
    </row>
    <row r="134" spans="6:14">
      <c r="F134" s="101" t="s">
        <v>182</v>
      </c>
      <c r="G134" s="121">
        <v>19.899999999999999</v>
      </c>
      <c r="H134" s="105"/>
      <c r="I134" s="103"/>
      <c r="K134" s="101" t="s">
        <v>182</v>
      </c>
      <c r="L134" s="121">
        <v>19.899999999999999</v>
      </c>
      <c r="M134" s="105"/>
      <c r="N134" s="103"/>
    </row>
    <row r="135" spans="6:14">
      <c r="F135" s="101" t="s">
        <v>183</v>
      </c>
      <c r="G135" s="121">
        <v>12.25</v>
      </c>
      <c r="H135" s="105"/>
      <c r="I135" s="103"/>
      <c r="K135" s="101" t="s">
        <v>183</v>
      </c>
      <c r="L135" s="121">
        <v>12.25</v>
      </c>
      <c r="M135" s="105"/>
      <c r="N135" s="103"/>
    </row>
    <row r="136" spans="6:14">
      <c r="F136" s="101" t="s">
        <v>184</v>
      </c>
      <c r="G136" s="121">
        <v>7.85</v>
      </c>
      <c r="H136" s="105"/>
      <c r="I136" s="103"/>
      <c r="K136" s="101" t="s">
        <v>184</v>
      </c>
      <c r="L136" s="121">
        <v>7.85</v>
      </c>
      <c r="M136" s="105"/>
      <c r="N136" s="103"/>
    </row>
    <row r="137" spans="6:14">
      <c r="F137" s="101" t="s">
        <v>185</v>
      </c>
      <c r="G137" s="103">
        <v>21.64</v>
      </c>
      <c r="H137" s="105"/>
      <c r="I137" s="103"/>
      <c r="K137" s="101" t="s">
        <v>185</v>
      </c>
      <c r="L137" s="103">
        <v>21.64</v>
      </c>
      <c r="M137" s="105"/>
      <c r="N137" s="103"/>
    </row>
    <row r="138" spans="6:14" ht="25">
      <c r="F138" s="101" t="s">
        <v>186</v>
      </c>
      <c r="G138" s="121">
        <v>89.1</v>
      </c>
      <c r="H138" s="105"/>
      <c r="I138" s="103"/>
      <c r="K138" s="101" t="s">
        <v>186</v>
      </c>
      <c r="L138" s="121">
        <v>89.1</v>
      </c>
      <c r="M138" s="105"/>
      <c r="N138" s="103"/>
    </row>
    <row r="139" spans="6:14">
      <c r="F139" s="101" t="s">
        <v>187</v>
      </c>
      <c r="G139" s="111">
        <v>13</v>
      </c>
      <c r="H139" s="105"/>
      <c r="I139" s="103"/>
      <c r="K139" s="101" t="s">
        <v>187</v>
      </c>
      <c r="L139" s="111">
        <v>13</v>
      </c>
      <c r="M139" s="105"/>
      <c r="N139" s="103"/>
    </row>
    <row r="140" spans="6:14" ht="25">
      <c r="F140" s="101" t="s">
        <v>188</v>
      </c>
      <c r="G140" s="111">
        <v>60.87</v>
      </c>
      <c r="H140" s="105"/>
      <c r="I140" s="103"/>
      <c r="K140" s="101" t="s">
        <v>188</v>
      </c>
      <c r="L140" s="111">
        <v>60.87</v>
      </c>
      <c r="M140" s="105"/>
      <c r="N140" s="103"/>
    </row>
    <row r="141" spans="6:14">
      <c r="F141" s="101" t="s">
        <v>189</v>
      </c>
      <c r="G141" s="125">
        <v>486</v>
      </c>
      <c r="H141" s="105"/>
      <c r="I141" s="103"/>
      <c r="K141" s="101" t="s">
        <v>189</v>
      </c>
      <c r="L141" s="125">
        <v>486</v>
      </c>
      <c r="M141" s="105"/>
      <c r="N141" s="103"/>
    </row>
    <row r="142" spans="6:14">
      <c r="F142" s="101" t="s">
        <v>190</v>
      </c>
      <c r="G142" s="125">
        <v>44</v>
      </c>
      <c r="H142" s="105"/>
      <c r="I142" s="103"/>
      <c r="K142" s="101" t="s">
        <v>190</v>
      </c>
      <c r="L142" s="125">
        <v>44</v>
      </c>
      <c r="M142" s="105"/>
      <c r="N142" s="103"/>
    </row>
    <row r="143" spans="6:14" ht="25">
      <c r="F143" s="101" t="s">
        <v>191</v>
      </c>
      <c r="G143" s="125">
        <v>110</v>
      </c>
      <c r="H143" s="105"/>
      <c r="I143" s="103"/>
      <c r="K143" s="101" t="s">
        <v>191</v>
      </c>
      <c r="L143" s="125">
        <v>110</v>
      </c>
      <c r="M143" s="105"/>
      <c r="N143" s="103"/>
    </row>
    <row r="144" spans="6:14">
      <c r="F144" s="101" t="s">
        <v>192</v>
      </c>
      <c r="G144" s="125">
        <v>13</v>
      </c>
      <c r="H144" s="105"/>
      <c r="I144" s="103"/>
      <c r="K144" s="101" t="s">
        <v>192</v>
      </c>
      <c r="L144" s="125">
        <v>13</v>
      </c>
      <c r="M144" s="105"/>
      <c r="N144" s="103"/>
    </row>
    <row r="145" spans="6:15">
      <c r="F145" s="101" t="s">
        <v>193</v>
      </c>
      <c r="G145" s="125">
        <v>26</v>
      </c>
      <c r="H145" s="105"/>
      <c r="I145" s="103"/>
      <c r="K145" s="101" t="s">
        <v>193</v>
      </c>
      <c r="L145" s="125">
        <v>26</v>
      </c>
      <c r="M145" s="105"/>
      <c r="N145" s="103"/>
    </row>
    <row r="146" spans="6:15">
      <c r="F146" s="101" t="s">
        <v>194</v>
      </c>
      <c r="G146" s="121">
        <v>3.05</v>
      </c>
      <c r="H146" s="105"/>
      <c r="I146" s="103"/>
      <c r="K146" s="101" t="s">
        <v>194</v>
      </c>
      <c r="L146" s="121">
        <v>3.05</v>
      </c>
      <c r="M146" s="105"/>
      <c r="N146" s="103"/>
    </row>
    <row r="147" spans="6:15" ht="25">
      <c r="F147" s="101" t="s">
        <v>195</v>
      </c>
      <c r="G147" s="125">
        <v>9.19</v>
      </c>
      <c r="H147" s="105"/>
      <c r="I147" s="103"/>
      <c r="K147" s="101" t="s">
        <v>195</v>
      </c>
      <c r="L147" s="125">
        <v>9.19</v>
      </c>
      <c r="M147" s="105"/>
      <c r="N147" s="103"/>
    </row>
    <row r="148" spans="6:15">
      <c r="F148" s="101" t="s">
        <v>196</v>
      </c>
      <c r="G148" s="103">
        <v>35</v>
      </c>
      <c r="H148" s="105"/>
      <c r="I148" s="103"/>
      <c r="K148" s="101" t="s">
        <v>196</v>
      </c>
      <c r="L148" s="103">
        <v>35</v>
      </c>
      <c r="M148" s="105"/>
      <c r="N148" s="103"/>
    </row>
    <row r="149" spans="6:15">
      <c r="F149" s="101" t="s">
        <v>197</v>
      </c>
      <c r="G149" s="125">
        <v>522.88</v>
      </c>
      <c r="H149" s="105"/>
      <c r="I149" s="103"/>
      <c r="K149" s="101" t="s">
        <v>197</v>
      </c>
      <c r="L149" s="125">
        <v>522.88</v>
      </c>
      <c r="M149" s="105"/>
      <c r="N149" s="103"/>
    </row>
    <row r="150" spans="6:15">
      <c r="F150" s="101" t="s">
        <v>198</v>
      </c>
      <c r="G150" s="111">
        <v>23.82</v>
      </c>
      <c r="H150" s="105"/>
      <c r="I150" s="103"/>
      <c r="K150" s="101" t="s">
        <v>198</v>
      </c>
      <c r="L150" s="111">
        <v>23.82</v>
      </c>
      <c r="M150" s="105"/>
      <c r="N150" s="103"/>
    </row>
    <row r="151" spans="6:15" ht="25">
      <c r="F151" s="101" t="s">
        <v>199</v>
      </c>
      <c r="G151" s="111">
        <v>161.96</v>
      </c>
      <c r="H151" s="105"/>
      <c r="I151" s="103"/>
      <c r="K151" s="101" t="s">
        <v>199</v>
      </c>
      <c r="L151" s="111">
        <v>161.96</v>
      </c>
      <c r="M151" s="105"/>
      <c r="N151" s="103"/>
    </row>
    <row r="152" spans="6:15">
      <c r="F152" s="101" t="s">
        <v>200</v>
      </c>
      <c r="G152" s="111">
        <v>750</v>
      </c>
      <c r="H152" s="105"/>
      <c r="I152" s="103"/>
      <c r="K152" s="101" t="s">
        <v>200</v>
      </c>
      <c r="L152" s="111">
        <v>750</v>
      </c>
      <c r="M152" s="105"/>
      <c r="N152" s="103"/>
    </row>
    <row r="153" spans="6:15" ht="25">
      <c r="F153" s="101" t="s">
        <v>201</v>
      </c>
      <c r="G153" s="111">
        <v>17</v>
      </c>
      <c r="H153" s="105"/>
      <c r="I153" s="103"/>
      <c r="K153" s="101" t="s">
        <v>201</v>
      </c>
      <c r="L153" s="111">
        <v>17</v>
      </c>
      <c r="M153" s="105"/>
      <c r="N153" s="103"/>
    </row>
    <row r="154" spans="6:15" ht="25">
      <c r="F154" s="101" t="s">
        <v>202</v>
      </c>
      <c r="G154" s="111">
        <v>7</v>
      </c>
      <c r="H154" s="105"/>
      <c r="I154" s="103"/>
      <c r="K154" s="101" t="s">
        <v>202</v>
      </c>
      <c r="L154" s="111">
        <v>7</v>
      </c>
      <c r="M154" s="105"/>
      <c r="N154" s="103"/>
    </row>
    <row r="155" spans="6:15">
      <c r="F155" s="101" t="s">
        <v>203</v>
      </c>
      <c r="G155" s="125">
        <v>25</v>
      </c>
      <c r="H155" s="104"/>
      <c r="I155" s="103"/>
      <c r="K155" s="101" t="s">
        <v>203</v>
      </c>
      <c r="L155" s="125">
        <v>25</v>
      </c>
      <c r="M155" s="104"/>
      <c r="N155" s="103"/>
    </row>
    <row r="156" spans="6:15" ht="25">
      <c r="F156" s="101" t="s">
        <v>204</v>
      </c>
      <c r="G156" s="125">
        <v>4</v>
      </c>
      <c r="H156" s="105"/>
      <c r="I156" s="103"/>
      <c r="K156" s="101" t="s">
        <v>204</v>
      </c>
      <c r="L156" s="125">
        <v>4</v>
      </c>
      <c r="M156" s="105"/>
      <c r="N156" s="103"/>
    </row>
    <row r="157" spans="6:15">
      <c r="F157" s="112" t="s">
        <v>205</v>
      </c>
      <c r="G157" s="111">
        <v>22</v>
      </c>
      <c r="H157" s="105"/>
      <c r="I157" s="103"/>
      <c r="K157" s="112" t="s">
        <v>205</v>
      </c>
      <c r="L157" s="111">
        <v>22</v>
      </c>
      <c r="M157" s="105"/>
      <c r="N157" s="103"/>
    </row>
    <row r="158" spans="6:15">
      <c r="F158" s="112" t="s">
        <v>206</v>
      </c>
      <c r="G158" s="111">
        <v>14</v>
      </c>
      <c r="H158" s="105"/>
      <c r="I158" s="103"/>
      <c r="K158" s="112" t="s">
        <v>206</v>
      </c>
      <c r="L158" s="111">
        <v>14</v>
      </c>
      <c r="M158" s="105"/>
      <c r="N158" s="103"/>
    </row>
    <row r="159" spans="6:15">
      <c r="F159" s="107" t="s">
        <v>207</v>
      </c>
      <c r="G159" s="111">
        <v>2</v>
      </c>
      <c r="H159" s="105"/>
      <c r="I159" s="103"/>
      <c r="K159" s="107" t="s">
        <v>207</v>
      </c>
      <c r="L159" s="111">
        <v>2</v>
      </c>
      <c r="M159" s="105"/>
      <c r="N159" s="103"/>
    </row>
    <row r="160" spans="6:15" ht="14.5">
      <c r="F160" s="126"/>
      <c r="G160" s="508" t="s">
        <v>208</v>
      </c>
      <c r="H160" s="509"/>
      <c r="I160" s="127"/>
      <c r="K160" s="126"/>
      <c r="L160" s="508" t="s">
        <v>208</v>
      </c>
      <c r="M160" s="509"/>
      <c r="N160" s="127"/>
      <c r="O160" s="134"/>
    </row>
    <row r="161" spans="8:14" ht="14.5">
      <c r="H161" s="15"/>
      <c r="I161" s="128"/>
      <c r="M161" s="15"/>
      <c r="N161" s="128"/>
    </row>
  </sheetData>
  <sortState xmlns:xlrd2="http://schemas.microsoft.com/office/spreadsheetml/2017/richdata2" ref="K21:K34">
    <sortCondition ref="K21"/>
  </sortState>
  <mergeCells count="9">
    <mergeCell ref="J1:O1"/>
    <mergeCell ref="F19:H19"/>
    <mergeCell ref="F66:I66"/>
    <mergeCell ref="G160:H160"/>
    <mergeCell ref="J19:L19"/>
    <mergeCell ref="F18:N18"/>
    <mergeCell ref="K66:N66"/>
    <mergeCell ref="L160:M160"/>
    <mergeCell ref="F65:N6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E5A5-24EB-48A2-9DAB-0842F130446B}">
  <sheetPr>
    <tabColor rgb="FF31859C"/>
  </sheetPr>
  <dimension ref="A1:AMK1048576"/>
  <sheetViews>
    <sheetView zoomScale="85" zoomScaleNormal="85" workbookViewId="0">
      <selection activeCell="G43" sqref="G43"/>
    </sheetView>
  </sheetViews>
  <sheetFormatPr defaultColWidth="11.54296875" defaultRowHeight="14.5" zeroHeight="1"/>
  <cols>
    <col min="1" max="1" width="3.54296875" style="48" customWidth="1"/>
    <col min="2" max="2" width="46.1796875" style="48" customWidth="1"/>
    <col min="3" max="3" width="9.54296875" style="49" customWidth="1"/>
    <col min="4" max="4" width="1.26953125" style="48" customWidth="1"/>
    <col min="5" max="5" width="1.54296875" style="48" customWidth="1"/>
    <col min="6" max="7" width="20.453125" style="69" customWidth="1"/>
    <col min="8" max="12" width="20.453125" style="48" customWidth="1"/>
    <col min="13" max="13" width="3.54296875" style="48" customWidth="1"/>
    <col min="14" max="1025" width="11.54296875" style="48"/>
    <col min="1026" max="16384" width="11.54296875" style="70"/>
  </cols>
  <sheetData>
    <row r="1" spans="1:13" s="41" customFormat="1" ht="20.5" thickBot="1">
      <c r="F1" s="42"/>
      <c r="G1" s="42"/>
    </row>
    <row r="2" spans="1:13" s="44" customFormat="1" ht="18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48" customFormat="1" ht="18.5" thickBot="1">
      <c r="A3" s="43"/>
      <c r="B3" s="45" t="s">
        <v>209</v>
      </c>
      <c r="C3" s="45"/>
      <c r="D3" s="45"/>
      <c r="E3" s="45"/>
      <c r="F3" s="46" t="s">
        <v>210</v>
      </c>
      <c r="G3" s="46"/>
      <c r="H3" s="45"/>
      <c r="I3" s="45"/>
      <c r="J3" s="45"/>
      <c r="K3" s="45"/>
      <c r="L3" s="45"/>
      <c r="M3" s="43"/>
    </row>
    <row r="4" spans="1:13" s="48" customFormat="1">
      <c r="A4" s="43"/>
      <c r="B4" s="43"/>
      <c r="C4" s="49"/>
      <c r="D4" s="43"/>
      <c r="E4" s="43"/>
      <c r="F4" s="50"/>
      <c r="G4" s="51">
        <v>2020</v>
      </c>
      <c r="H4" s="51">
        <v>2021</v>
      </c>
      <c r="I4" s="51">
        <v>2022</v>
      </c>
      <c r="J4" s="51">
        <v>2023</v>
      </c>
      <c r="K4" s="51">
        <v>2024</v>
      </c>
      <c r="L4" s="51">
        <v>2024</v>
      </c>
      <c r="M4" s="43"/>
    </row>
    <row r="5" spans="1:13" s="48" customFormat="1">
      <c r="A5" s="43"/>
      <c r="B5" s="52" t="s">
        <v>211</v>
      </c>
      <c r="C5" s="49"/>
      <c r="D5" s="43"/>
      <c r="E5" s="43"/>
      <c r="F5" s="50"/>
      <c r="G5" s="50"/>
      <c r="H5" s="43"/>
      <c r="I5" s="43"/>
      <c r="J5" s="43"/>
      <c r="K5" s="43"/>
      <c r="L5" s="43"/>
      <c r="M5" s="43"/>
    </row>
    <row r="6" spans="1:13" s="48" customFormat="1">
      <c r="A6" s="43"/>
      <c r="B6" s="43" t="s">
        <v>212</v>
      </c>
      <c r="C6" s="49" t="s">
        <v>213</v>
      </c>
      <c r="D6" s="43"/>
      <c r="E6" s="43"/>
      <c r="F6" s="50"/>
      <c r="G6" s="53">
        <v>0</v>
      </c>
      <c r="H6" s="54">
        <v>0</v>
      </c>
      <c r="I6" s="54">
        <f>+H6</f>
        <v>0</v>
      </c>
      <c r="J6" s="54">
        <f>+I6</f>
        <v>0</v>
      </c>
      <c r="K6" s="54">
        <f>+J6</f>
        <v>0</v>
      </c>
      <c r="L6" s="54"/>
      <c r="M6" s="43"/>
    </row>
    <row r="7" spans="1:13" s="48" customFormat="1">
      <c r="A7" s="43"/>
      <c r="B7" s="43"/>
      <c r="C7" s="49"/>
      <c r="D7" s="43"/>
      <c r="E7" s="43"/>
      <c r="F7" s="50"/>
      <c r="G7" s="47"/>
      <c r="H7" s="47"/>
      <c r="I7" s="47"/>
      <c r="J7" s="47"/>
      <c r="K7" s="47"/>
      <c r="L7" s="47"/>
      <c r="M7" s="43"/>
    </row>
    <row r="8" spans="1:13" s="48" customFormat="1">
      <c r="A8" s="43"/>
      <c r="B8" s="52" t="s">
        <v>214</v>
      </c>
      <c r="C8" s="49"/>
      <c r="D8" s="43"/>
      <c r="E8" s="43"/>
      <c r="F8" s="50"/>
      <c r="G8" s="47"/>
      <c r="H8" s="47"/>
      <c r="I8" s="47"/>
      <c r="J8" s="47"/>
      <c r="K8" s="47"/>
      <c r="L8" s="47"/>
      <c r="M8" s="43"/>
    </row>
    <row r="9" spans="1:13" s="48" customFormat="1">
      <c r="A9" s="43"/>
      <c r="B9" s="43" t="s">
        <v>215</v>
      </c>
      <c r="C9" s="49" t="s">
        <v>213</v>
      </c>
      <c r="D9" s="43"/>
      <c r="E9" s="43"/>
      <c r="F9" s="50"/>
      <c r="G9" s="54">
        <v>0</v>
      </c>
      <c r="H9" s="54">
        <v>0</v>
      </c>
      <c r="I9" s="54">
        <f>+H9</f>
        <v>0</v>
      </c>
      <c r="J9" s="54">
        <f>+I9</f>
        <v>0</v>
      </c>
      <c r="K9" s="54">
        <f>+J9</f>
        <v>0</v>
      </c>
      <c r="L9" s="54"/>
      <c r="M9" s="43"/>
    </row>
    <row r="10" spans="1:13" s="48" customFormat="1">
      <c r="A10" s="43"/>
      <c r="B10" s="43" t="s">
        <v>216</v>
      </c>
      <c r="C10" s="49" t="s">
        <v>213</v>
      </c>
      <c r="D10" s="43"/>
      <c r="E10" s="43"/>
      <c r="F10" s="50"/>
      <c r="G10" s="54">
        <f>-RESUMEN!C19</f>
        <v>0</v>
      </c>
      <c r="H10" s="54">
        <v>0</v>
      </c>
      <c r="I10" s="54">
        <v>0</v>
      </c>
      <c r="J10" s="54">
        <v>0</v>
      </c>
      <c r="K10" s="54">
        <v>0</v>
      </c>
      <c r="L10" s="54"/>
      <c r="M10" s="43"/>
    </row>
    <row r="11" spans="1:13" s="48" customFormat="1">
      <c r="A11" s="43"/>
      <c r="B11" s="55" t="s">
        <v>217</v>
      </c>
      <c r="C11" s="49" t="s">
        <v>213</v>
      </c>
      <c r="D11" s="43"/>
      <c r="E11" s="43"/>
      <c r="F11" s="50"/>
      <c r="G11" s="54">
        <v>0</v>
      </c>
      <c r="H11" s="54">
        <f>-(SUM(RESUMEN!C10:C11)+RESUMEN!C18)/4</f>
        <v>0</v>
      </c>
      <c r="I11" s="54">
        <f>+H11</f>
        <v>0</v>
      </c>
      <c r="J11" s="54">
        <f>+I11</f>
        <v>0</v>
      </c>
      <c r="K11" s="54">
        <f>+J11</f>
        <v>0</v>
      </c>
      <c r="L11" s="54"/>
      <c r="M11" s="43"/>
    </row>
    <row r="12" spans="1:13" s="48" customFormat="1">
      <c r="A12" s="43"/>
      <c r="B12" s="55" t="s">
        <v>218</v>
      </c>
      <c r="C12" s="49" t="s">
        <v>213</v>
      </c>
      <c r="D12" s="43"/>
      <c r="E12" s="43"/>
      <c r="F12" s="50"/>
      <c r="G12" s="54">
        <v>0</v>
      </c>
      <c r="H12" s="379"/>
      <c r="I12" s="379"/>
      <c r="J12" s="379"/>
      <c r="K12" s="379"/>
      <c r="L12" s="379"/>
      <c r="M12" s="43"/>
    </row>
    <row r="13" spans="1:13" s="48" customFormat="1">
      <c r="A13" s="43"/>
      <c r="B13" s="55" t="s">
        <v>219</v>
      </c>
      <c r="C13" s="49" t="s">
        <v>213</v>
      </c>
      <c r="D13" s="43"/>
      <c r="E13" s="43"/>
      <c r="F13" s="50"/>
      <c r="G13" s="54">
        <v>0</v>
      </c>
      <c r="H13" s="54">
        <v>0</v>
      </c>
      <c r="I13" s="54">
        <f>+H13</f>
        <v>0</v>
      </c>
      <c r="J13" s="54">
        <f>+I13</f>
        <v>0</v>
      </c>
      <c r="K13" s="54">
        <f>+J13</f>
        <v>0</v>
      </c>
      <c r="L13" s="54"/>
      <c r="M13" s="43"/>
    </row>
    <row r="14" spans="1:13" s="48" customFormat="1">
      <c r="A14" s="43"/>
      <c r="B14" s="43" t="s">
        <v>220</v>
      </c>
      <c r="C14" s="49" t="s">
        <v>213</v>
      </c>
      <c r="D14" s="43"/>
      <c r="E14" s="43"/>
      <c r="F14" s="50"/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/>
      <c r="M14" s="43"/>
    </row>
    <row r="15" spans="1:13" s="48" customFormat="1">
      <c r="A15" s="43"/>
      <c r="B15" s="43"/>
      <c r="C15" s="49"/>
      <c r="D15" s="43"/>
      <c r="E15" s="43"/>
      <c r="F15" s="50"/>
      <c r="G15" s="47"/>
      <c r="H15" s="47"/>
      <c r="I15" s="47"/>
      <c r="J15" s="47"/>
      <c r="K15" s="47"/>
      <c r="L15" s="47"/>
      <c r="M15" s="43"/>
    </row>
    <row r="16" spans="1:13" s="48" customFormat="1">
      <c r="A16" s="43"/>
      <c r="B16" s="43" t="s">
        <v>221</v>
      </c>
      <c r="C16" s="49" t="s">
        <v>213</v>
      </c>
      <c r="D16" s="43"/>
      <c r="E16" s="43"/>
      <c r="F16" s="50"/>
      <c r="G16" s="54">
        <v>0</v>
      </c>
      <c r="H16" s="54">
        <f>-SUM(H6:H14)*0.3</f>
        <v>0</v>
      </c>
      <c r="I16" s="54">
        <f t="shared" ref="I16:K16" si="0">-SUM(I6:I14)*0.3</f>
        <v>0</v>
      </c>
      <c r="J16" s="54">
        <f t="shared" si="0"/>
        <v>0</v>
      </c>
      <c r="K16" s="54">
        <f t="shared" si="0"/>
        <v>0</v>
      </c>
      <c r="L16" s="54"/>
      <c r="M16" s="43"/>
    </row>
    <row r="17" spans="1:13" s="48" customFormat="1">
      <c r="A17" s="43"/>
      <c r="B17" s="43"/>
      <c r="C17" s="49"/>
      <c r="D17" s="43"/>
      <c r="E17" s="43"/>
      <c r="F17" s="50"/>
      <c r="G17" s="47"/>
      <c r="H17" s="47"/>
      <c r="I17" s="47"/>
      <c r="J17" s="47"/>
      <c r="K17" s="47"/>
      <c r="L17" s="47"/>
      <c r="M17" s="43"/>
    </row>
    <row r="18" spans="1:13" s="48" customFormat="1">
      <c r="A18" s="43"/>
      <c r="B18" s="56" t="s">
        <v>222</v>
      </c>
      <c r="C18" s="49" t="s">
        <v>213</v>
      </c>
      <c r="D18" s="43"/>
      <c r="E18" s="43"/>
      <c r="F18" s="50"/>
      <c r="G18" s="57">
        <f>SUM(G6:G16)</f>
        <v>0</v>
      </c>
      <c r="H18" s="57">
        <f t="shared" ref="H18:K18" si="1">SUM(H6:H16)</f>
        <v>0</v>
      </c>
      <c r="I18" s="57">
        <f t="shared" si="1"/>
        <v>0</v>
      </c>
      <c r="J18" s="57">
        <f t="shared" si="1"/>
        <v>0</v>
      </c>
      <c r="K18" s="57">
        <f t="shared" si="1"/>
        <v>0</v>
      </c>
      <c r="L18" s="57"/>
      <c r="M18" s="43"/>
    </row>
    <row r="19" spans="1:13" s="48" customFormat="1">
      <c r="A19" s="43"/>
      <c r="B19" s="43"/>
      <c r="C19" s="49"/>
      <c r="D19" s="43"/>
      <c r="E19" s="43"/>
      <c r="F19" s="50"/>
      <c r="G19" s="47"/>
      <c r="H19" s="47"/>
      <c r="I19" s="47"/>
      <c r="J19" s="47"/>
      <c r="K19" s="47"/>
      <c r="L19" s="47"/>
      <c r="M19" s="43"/>
    </row>
    <row r="20" spans="1:13" s="48" customFormat="1">
      <c r="A20" s="43"/>
      <c r="B20" s="52" t="s">
        <v>223</v>
      </c>
      <c r="C20" s="49"/>
      <c r="D20" s="43"/>
      <c r="E20" s="43"/>
      <c r="F20" s="50"/>
      <c r="G20" s="47"/>
      <c r="H20" s="47"/>
      <c r="I20" s="47"/>
      <c r="J20" s="47"/>
      <c r="K20" s="47"/>
      <c r="L20" s="47"/>
      <c r="M20" s="43"/>
    </row>
    <row r="21" spans="1:13" s="48" customFormat="1">
      <c r="A21" s="43"/>
      <c r="B21" s="55" t="s">
        <v>224</v>
      </c>
      <c r="C21" s="49" t="s">
        <v>213</v>
      </c>
      <c r="D21" s="43"/>
      <c r="E21" s="43"/>
      <c r="F21" s="50"/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/>
      <c r="M21" s="43"/>
    </row>
    <row r="22" spans="1:13" s="48" customFormat="1">
      <c r="A22" s="43"/>
      <c r="B22" s="160" t="s">
        <v>225</v>
      </c>
      <c r="C22" s="49" t="s">
        <v>213</v>
      </c>
      <c r="D22" s="43"/>
      <c r="E22" s="43"/>
      <c r="F22" s="50"/>
      <c r="G22" s="54"/>
      <c r="H22" s="54">
        <f>H9*-1</f>
        <v>0</v>
      </c>
      <c r="I22" s="54">
        <f t="shared" ref="I22:K22" si="2">I9*-1</f>
        <v>0</v>
      </c>
      <c r="J22" s="54">
        <f t="shared" si="2"/>
        <v>0</v>
      </c>
      <c r="K22" s="54">
        <f t="shared" si="2"/>
        <v>0</v>
      </c>
      <c r="L22" s="54"/>
      <c r="M22" s="43"/>
    </row>
    <row r="23" spans="1:13" s="48" customFormat="1">
      <c r="A23" s="43"/>
      <c r="B23" s="56" t="s">
        <v>226</v>
      </c>
      <c r="C23" s="49" t="s">
        <v>213</v>
      </c>
      <c r="D23" s="43"/>
      <c r="E23" s="43"/>
      <c r="F23" s="50"/>
      <c r="G23" s="57">
        <f t="shared" ref="G23:K23" si="3">SUM(G21:G22)</f>
        <v>0</v>
      </c>
      <c r="H23" s="57">
        <f t="shared" si="3"/>
        <v>0</v>
      </c>
      <c r="I23" s="57">
        <f t="shared" si="3"/>
        <v>0</v>
      </c>
      <c r="J23" s="57">
        <f t="shared" si="3"/>
        <v>0</v>
      </c>
      <c r="K23" s="57">
        <f t="shared" si="3"/>
        <v>0</v>
      </c>
      <c r="L23" s="57"/>
      <c r="M23" s="43"/>
    </row>
    <row r="24" spans="1:13" s="48" customFormat="1">
      <c r="A24" s="43"/>
      <c r="B24" s="43"/>
      <c r="C24" s="49"/>
      <c r="D24" s="43"/>
      <c r="E24" s="43"/>
      <c r="F24" s="50"/>
      <c r="G24" s="47"/>
      <c r="H24" s="47"/>
      <c r="I24" s="47"/>
      <c r="J24" s="47"/>
      <c r="K24" s="47"/>
      <c r="L24" s="47"/>
      <c r="M24" s="43"/>
    </row>
    <row r="25" spans="1:13" s="48" customFormat="1">
      <c r="A25" s="43"/>
      <c r="B25" s="52" t="s">
        <v>227</v>
      </c>
      <c r="C25" s="49"/>
      <c r="D25" s="43"/>
      <c r="E25" s="43"/>
      <c r="F25" s="50"/>
      <c r="G25" s="47"/>
      <c r="H25" s="47"/>
      <c r="I25" s="47"/>
      <c r="J25" s="47"/>
      <c r="K25" s="47"/>
      <c r="L25" s="47"/>
      <c r="M25" s="43"/>
    </row>
    <row r="26" spans="1:13" s="48" customFormat="1">
      <c r="A26" s="43"/>
      <c r="B26" s="43" t="s">
        <v>228</v>
      </c>
      <c r="C26" s="49" t="s">
        <v>213</v>
      </c>
      <c r="D26" s="43"/>
      <c r="E26" s="43"/>
      <c r="F26" s="50"/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/>
      <c r="M26" s="43"/>
    </row>
    <row r="27" spans="1:13" s="48" customFormat="1">
      <c r="A27" s="43"/>
      <c r="B27" s="58" t="s">
        <v>14</v>
      </c>
      <c r="C27" s="49" t="s">
        <v>213</v>
      </c>
      <c r="D27" s="43"/>
      <c r="E27" s="43"/>
      <c r="F27" s="50"/>
      <c r="G27" s="57">
        <f t="shared" ref="G27:K27" si="4">SUM(G26:G26)</f>
        <v>0</v>
      </c>
      <c r="H27" s="57">
        <f t="shared" si="4"/>
        <v>0</v>
      </c>
      <c r="I27" s="57">
        <f t="shared" si="4"/>
        <v>0</v>
      </c>
      <c r="J27" s="57">
        <f t="shared" si="4"/>
        <v>0</v>
      </c>
      <c r="K27" s="57">
        <f t="shared" si="4"/>
        <v>0</v>
      </c>
      <c r="L27" s="57"/>
      <c r="M27" s="43"/>
    </row>
    <row r="28" spans="1:13" s="48" customFormat="1">
      <c r="A28" s="43"/>
      <c r="B28" s="43"/>
      <c r="C28" s="49"/>
      <c r="D28" s="43"/>
      <c r="E28" s="43"/>
      <c r="F28" s="50"/>
      <c r="G28" s="47"/>
      <c r="H28" s="47"/>
      <c r="I28" s="47"/>
      <c r="J28" s="47"/>
      <c r="K28" s="47"/>
      <c r="L28" s="47"/>
      <c r="M28" s="43"/>
    </row>
    <row r="29" spans="1:13" s="48" customFormat="1">
      <c r="A29" s="43"/>
      <c r="B29" s="43" t="s">
        <v>229</v>
      </c>
      <c r="C29" s="49" t="s">
        <v>213</v>
      </c>
      <c r="D29" s="43"/>
      <c r="E29" s="43"/>
      <c r="F29" s="50"/>
      <c r="G29" s="59">
        <f t="shared" ref="G29:K29" si="5">G18+G23+G27</f>
        <v>0</v>
      </c>
      <c r="H29" s="59">
        <f t="shared" si="5"/>
        <v>0</v>
      </c>
      <c r="I29" s="59">
        <f t="shared" si="5"/>
        <v>0</v>
      </c>
      <c r="J29" s="59">
        <f t="shared" si="5"/>
        <v>0</v>
      </c>
      <c r="K29" s="59">
        <f t="shared" si="5"/>
        <v>0</v>
      </c>
      <c r="L29" s="59"/>
      <c r="M29" s="43"/>
    </row>
    <row r="30" spans="1:13" s="48" customFormat="1">
      <c r="A30" s="43"/>
      <c r="B30" s="43"/>
      <c r="C30" s="49"/>
      <c r="D30" s="43"/>
      <c r="E30" s="43"/>
      <c r="F30" s="50"/>
      <c r="G30" s="47"/>
      <c r="H30" s="47"/>
      <c r="I30" s="47"/>
      <c r="J30" s="47"/>
      <c r="K30" s="47"/>
      <c r="L30" s="47"/>
      <c r="M30" s="43"/>
    </row>
    <row r="31" spans="1:13" s="48" customFormat="1">
      <c r="A31" s="43"/>
      <c r="B31" s="58" t="s">
        <v>230</v>
      </c>
      <c r="C31" s="49"/>
      <c r="D31" s="43"/>
      <c r="E31" s="43"/>
      <c r="F31" s="50"/>
      <c r="G31" s="47"/>
      <c r="H31" s="47"/>
      <c r="I31" s="47"/>
      <c r="J31" s="47"/>
      <c r="K31" s="47"/>
      <c r="L31" s="47"/>
      <c r="M31" s="43"/>
    </row>
    <row r="32" spans="1:13" s="48" customFormat="1">
      <c r="A32" s="43"/>
      <c r="B32" s="43" t="s">
        <v>231</v>
      </c>
      <c r="C32" s="49" t="s">
        <v>213</v>
      </c>
      <c r="D32" s="43"/>
      <c r="E32" s="43"/>
      <c r="F32" s="50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4"/>
      <c r="M32" s="43"/>
    </row>
    <row r="33" spans="1:13" s="48" customFormat="1">
      <c r="A33" s="43"/>
      <c r="B33" s="43" t="s">
        <v>232</v>
      </c>
      <c r="C33" s="49" t="s">
        <v>213</v>
      </c>
      <c r="D33" s="43"/>
      <c r="E33" s="43"/>
      <c r="F33" s="50"/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/>
      <c r="M33" s="43"/>
    </row>
    <row r="34" spans="1:13" s="48" customFormat="1">
      <c r="A34" s="43"/>
      <c r="B34" s="58" t="s">
        <v>14</v>
      </c>
      <c r="C34" s="49" t="s">
        <v>213</v>
      </c>
      <c r="D34" s="43"/>
      <c r="E34" s="43"/>
      <c r="F34" s="50"/>
      <c r="G34" s="57">
        <f t="shared" ref="G34" si="6">SUM(G32:G33)</f>
        <v>0</v>
      </c>
      <c r="H34" s="57">
        <f t="shared" ref="H34:K34" si="7">SUM(H32:H33)</f>
        <v>0</v>
      </c>
      <c r="I34" s="57">
        <f t="shared" si="7"/>
        <v>0</v>
      </c>
      <c r="J34" s="57">
        <f t="shared" si="7"/>
        <v>0</v>
      </c>
      <c r="K34" s="57">
        <f t="shared" si="7"/>
        <v>0</v>
      </c>
      <c r="L34" s="57"/>
      <c r="M34" s="43"/>
    </row>
    <row r="35" spans="1:13" s="48" customFormat="1">
      <c r="A35" s="43"/>
      <c r="B35" s="43"/>
      <c r="C35" s="49"/>
      <c r="D35" s="43"/>
      <c r="E35" s="43"/>
      <c r="F35" s="50"/>
      <c r="G35" s="47"/>
      <c r="H35" s="47"/>
      <c r="I35" s="47"/>
      <c r="J35" s="47"/>
      <c r="K35" s="47"/>
      <c r="L35" s="47"/>
      <c r="M35" s="43"/>
    </row>
    <row r="36" spans="1:13" s="48" customFormat="1">
      <c r="A36" s="43"/>
      <c r="B36" s="43" t="s">
        <v>233</v>
      </c>
      <c r="C36" s="49" t="s">
        <v>213</v>
      </c>
      <c r="D36" s="43"/>
      <c r="E36" s="43"/>
      <c r="F36" s="50"/>
      <c r="G36" s="59">
        <f t="shared" ref="G36:K36" si="8">G29+G34</f>
        <v>0</v>
      </c>
      <c r="H36" s="59">
        <f t="shared" si="8"/>
        <v>0</v>
      </c>
      <c r="I36" s="59">
        <f t="shared" si="8"/>
        <v>0</v>
      </c>
      <c r="J36" s="59">
        <f t="shared" si="8"/>
        <v>0</v>
      </c>
      <c r="K36" s="59">
        <f t="shared" si="8"/>
        <v>0</v>
      </c>
      <c r="L36" s="59"/>
      <c r="M36" s="43"/>
    </row>
    <row r="37" spans="1:13" s="48" customFormat="1">
      <c r="A37" s="43"/>
      <c r="B37" s="43"/>
      <c r="C37" s="49"/>
      <c r="D37" s="43"/>
      <c r="E37" s="43"/>
      <c r="F37" s="50"/>
      <c r="G37" s="47"/>
      <c r="H37" s="47"/>
      <c r="I37" s="47"/>
      <c r="J37" s="47"/>
      <c r="K37" s="47"/>
      <c r="L37" s="47"/>
      <c r="M37" s="43"/>
    </row>
    <row r="38" spans="1:13" s="48" customFormat="1">
      <c r="A38" s="43"/>
      <c r="B38" s="43" t="s">
        <v>234</v>
      </c>
      <c r="C38" s="49" t="s">
        <v>213</v>
      </c>
      <c r="D38" s="43"/>
      <c r="E38" s="43"/>
      <c r="F38" s="50"/>
      <c r="G38" s="54">
        <v>0</v>
      </c>
      <c r="H38" s="54">
        <f>G39</f>
        <v>0</v>
      </c>
      <c r="I38" s="54">
        <f>H39</f>
        <v>0</v>
      </c>
      <c r="J38" s="54">
        <f>I39</f>
        <v>0</v>
      </c>
      <c r="K38" s="54">
        <f>J39</f>
        <v>0</v>
      </c>
      <c r="L38" s="54"/>
      <c r="M38" s="43"/>
    </row>
    <row r="39" spans="1:13" s="48" customFormat="1">
      <c r="A39" s="43"/>
      <c r="B39" s="43" t="s">
        <v>235</v>
      </c>
      <c r="C39" s="49" t="s">
        <v>213</v>
      </c>
      <c r="D39" s="43"/>
      <c r="E39" s="43"/>
      <c r="F39" s="50"/>
      <c r="G39" s="54">
        <f t="shared" ref="G39:K39" si="9">+G36+G38</f>
        <v>0</v>
      </c>
      <c r="H39" s="54">
        <f t="shared" si="9"/>
        <v>0</v>
      </c>
      <c r="I39" s="54">
        <f t="shared" si="9"/>
        <v>0</v>
      </c>
      <c r="J39" s="54">
        <f t="shared" si="9"/>
        <v>0</v>
      </c>
      <c r="K39" s="54">
        <f t="shared" si="9"/>
        <v>0</v>
      </c>
      <c r="L39" s="54"/>
      <c r="M39" s="43"/>
    </row>
    <row r="40" spans="1:13" s="48" customFormat="1">
      <c r="A40" s="43"/>
      <c r="B40" s="58" t="s">
        <v>236</v>
      </c>
      <c r="C40" s="49" t="s">
        <v>237</v>
      </c>
      <c r="D40" s="43"/>
      <c r="E40" s="43"/>
      <c r="F40" s="50"/>
      <c r="G40" s="60">
        <f t="shared" ref="G40:K40" si="10">+G39</f>
        <v>0</v>
      </c>
      <c r="H40" s="60">
        <f t="shared" si="10"/>
        <v>0</v>
      </c>
      <c r="I40" s="60">
        <f t="shared" si="10"/>
        <v>0</v>
      </c>
      <c r="J40" s="60">
        <f t="shared" si="10"/>
        <v>0</v>
      </c>
      <c r="K40" s="60">
        <f t="shared" si="10"/>
        <v>0</v>
      </c>
      <c r="L40" s="60"/>
      <c r="M40" s="43"/>
    </row>
    <row r="41" spans="1:13" s="48" customFormat="1">
      <c r="A41" s="43"/>
      <c r="B41" s="58"/>
      <c r="C41" s="49"/>
      <c r="D41" s="43"/>
      <c r="E41" s="43"/>
      <c r="F41" s="43"/>
      <c r="G41" s="61">
        <v>0</v>
      </c>
      <c r="H41" s="61">
        <v>1</v>
      </c>
      <c r="I41" s="61">
        <v>2</v>
      </c>
      <c r="J41" s="61">
        <v>3</v>
      </c>
      <c r="K41" s="61">
        <v>4</v>
      </c>
      <c r="L41" s="61"/>
      <c r="M41" s="43"/>
    </row>
    <row r="42" spans="1:13" s="48" customFormat="1">
      <c r="A42" s="43"/>
      <c r="B42" s="58" t="s">
        <v>238</v>
      </c>
      <c r="C42" s="49"/>
      <c r="D42" s="43"/>
      <c r="E42" s="43"/>
      <c r="F42" s="43"/>
      <c r="G42" s="62">
        <v>0</v>
      </c>
      <c r="H42" s="62">
        <f>G42</f>
        <v>0</v>
      </c>
      <c r="I42" s="62">
        <f t="shared" ref="I42:K42" si="11">H42</f>
        <v>0</v>
      </c>
      <c r="J42" s="62">
        <f t="shared" si="11"/>
        <v>0</v>
      </c>
      <c r="K42" s="62">
        <f t="shared" si="11"/>
        <v>0</v>
      </c>
      <c r="L42" s="62"/>
      <c r="M42" s="43"/>
    </row>
    <row r="43" spans="1:13" s="48" customFormat="1">
      <c r="A43" s="43"/>
      <c r="B43" s="58" t="s">
        <v>239</v>
      </c>
      <c r="C43" s="49"/>
      <c r="D43" s="43"/>
      <c r="E43" s="43"/>
      <c r="F43" s="43"/>
      <c r="G43" s="63">
        <f>+G36</f>
        <v>0</v>
      </c>
      <c r="H43" s="63">
        <f>H36/(1+H$42)^H41</f>
        <v>0</v>
      </c>
      <c r="I43" s="63">
        <f>I36/(1+I$42)^I41</f>
        <v>0</v>
      </c>
      <c r="J43" s="63">
        <f t="shared" ref="J43:K43" si="12">J36/(1+J$42)^J41</f>
        <v>0</v>
      </c>
      <c r="K43" s="63">
        <f t="shared" si="12"/>
        <v>0</v>
      </c>
      <c r="L43" s="63"/>
      <c r="M43" s="43"/>
    </row>
    <row r="44" spans="1:13" s="48" customFormat="1">
      <c r="A44" s="43"/>
      <c r="B44" s="58" t="s">
        <v>240</v>
      </c>
      <c r="C44" s="49"/>
      <c r="D44" s="43"/>
      <c r="E44" s="43"/>
      <c r="F44" s="64">
        <f>+SUM(G43:L43)</f>
        <v>0</v>
      </c>
      <c r="G44" s="65"/>
      <c r="H44" s="65"/>
      <c r="I44" s="65"/>
      <c r="J44" s="65"/>
      <c r="K44" s="65"/>
      <c r="L44" s="65"/>
      <c r="M44" s="43"/>
    </row>
    <row r="45" spans="1:13" s="48" customFormat="1">
      <c r="A45" s="43"/>
      <c r="B45" s="58" t="s">
        <v>241</v>
      </c>
      <c r="C45" s="49"/>
      <c r="D45" s="43"/>
      <c r="E45" s="43"/>
      <c r="F45" s="66" t="str">
        <f>IFERROR(+IRR(G36:L36),"")</f>
        <v/>
      </c>
      <c r="G45" s="65"/>
      <c r="H45" s="65"/>
      <c r="I45" s="65"/>
      <c r="J45" s="65"/>
      <c r="K45" s="65"/>
      <c r="L45" s="65"/>
      <c r="M45" s="43"/>
    </row>
    <row r="46" spans="1:13" s="48" customFormat="1">
      <c r="A46" s="43"/>
      <c r="B46" s="43"/>
      <c r="C46" s="49"/>
      <c r="D46" s="43"/>
      <c r="E46" s="43"/>
      <c r="F46" s="50"/>
      <c r="G46" s="50"/>
      <c r="H46" s="161">
        <f>H43</f>
        <v>0</v>
      </c>
      <c r="I46" s="161">
        <f>I43</f>
        <v>0</v>
      </c>
      <c r="J46" s="161">
        <f>J43</f>
        <v>0</v>
      </c>
      <c r="K46" s="161">
        <f>K43</f>
        <v>0</v>
      </c>
      <c r="L46" s="71"/>
      <c r="M46" s="43"/>
    </row>
    <row r="47" spans="1:13" s="48" customFormat="1">
      <c r="A47" s="43"/>
      <c r="B47" s="43"/>
      <c r="C47" s="49"/>
      <c r="D47" s="43"/>
      <c r="E47" s="43"/>
      <c r="F47" s="50"/>
      <c r="G47" s="50"/>
      <c r="H47" s="162">
        <f>SUM(H46:L46)</f>
        <v>0</v>
      </c>
      <c r="I47" s="161"/>
      <c r="J47" s="161"/>
      <c r="K47" s="161"/>
      <c r="L47" s="71"/>
      <c r="M47" s="43"/>
    </row>
    <row r="48" spans="1:13" s="48" customFormat="1">
      <c r="A48" s="43"/>
      <c r="B48" s="43"/>
      <c r="C48" s="49"/>
      <c r="D48" s="43"/>
      <c r="E48" s="43"/>
      <c r="F48" s="50"/>
      <c r="G48" s="50"/>
      <c r="H48" s="43"/>
      <c r="I48" s="43"/>
      <c r="J48" s="67"/>
      <c r="K48" s="43"/>
      <c r="L48" s="43"/>
      <c r="M48" s="43"/>
    </row>
    <row r="49" spans="1:13" s="48" customFormat="1">
      <c r="A49" s="43"/>
      <c r="B49" s="43"/>
      <c r="C49" s="49"/>
      <c r="D49" s="43"/>
      <c r="E49" s="43"/>
      <c r="F49" s="50"/>
      <c r="G49" s="50"/>
      <c r="H49" s="43"/>
      <c r="I49" s="43"/>
      <c r="J49" s="67"/>
      <c r="K49" s="43"/>
      <c r="L49" s="43"/>
      <c r="M49" s="43"/>
    </row>
    <row r="50" spans="1:13" s="48" customFormat="1">
      <c r="A50" s="43"/>
      <c r="B50" s="43"/>
      <c r="C50" s="49"/>
      <c r="D50" s="43"/>
      <c r="E50" s="43"/>
      <c r="F50" s="50"/>
      <c r="G50" s="50"/>
      <c r="H50" s="43"/>
      <c r="I50" s="43"/>
      <c r="J50" s="67"/>
      <c r="K50" s="43"/>
      <c r="L50" s="43"/>
      <c r="M50" s="43"/>
    </row>
    <row r="51" spans="1:13" s="48" customFormat="1">
      <c r="A51" s="43"/>
      <c r="B51" s="43"/>
      <c r="C51" s="49"/>
      <c r="D51" s="43"/>
      <c r="E51" s="43"/>
      <c r="F51" s="50"/>
      <c r="G51" s="50"/>
      <c r="H51" s="43"/>
      <c r="I51" s="43"/>
      <c r="J51" s="43"/>
      <c r="K51" s="43"/>
      <c r="L51" s="43"/>
      <c r="M51" s="43"/>
    </row>
    <row r="52" spans="1:13" s="48" customFormat="1">
      <c r="A52" s="43"/>
      <c r="B52" s="43"/>
      <c r="C52" s="49"/>
      <c r="D52" s="43"/>
      <c r="E52" s="43"/>
      <c r="F52" s="50"/>
      <c r="G52" s="50"/>
      <c r="H52" s="43"/>
      <c r="I52" s="43"/>
      <c r="J52" s="43"/>
      <c r="K52" s="43"/>
      <c r="L52" s="43"/>
      <c r="M52" s="43"/>
    </row>
    <row r="53" spans="1:13" s="48" customFormat="1">
      <c r="A53" s="43"/>
      <c r="B53" s="43"/>
      <c r="C53" s="49"/>
      <c r="D53" s="43"/>
      <c r="E53" s="43"/>
      <c r="F53" s="50"/>
      <c r="G53" s="50"/>
      <c r="H53" s="43"/>
      <c r="I53" s="43"/>
      <c r="J53" s="43"/>
      <c r="K53" s="43"/>
      <c r="L53" s="43"/>
      <c r="M53" s="43"/>
    </row>
    <row r="54" spans="1:13" s="48" customFormat="1">
      <c r="A54" s="43"/>
      <c r="B54" s="43"/>
      <c r="C54" s="49"/>
      <c r="D54" s="43"/>
      <c r="E54" s="43"/>
      <c r="F54" s="50"/>
      <c r="G54" s="50"/>
      <c r="H54" s="43"/>
      <c r="I54" s="43"/>
      <c r="J54" s="43"/>
      <c r="K54" s="43"/>
      <c r="L54" s="43"/>
      <c r="M54" s="43"/>
    </row>
    <row r="55" spans="1:13" s="48" customFormat="1">
      <c r="A55" s="43"/>
      <c r="B55" s="43"/>
      <c r="C55" s="49"/>
      <c r="D55" s="43"/>
      <c r="E55" s="43"/>
      <c r="F55" s="50"/>
      <c r="G55" s="50"/>
      <c r="H55" s="43"/>
      <c r="I55" s="43"/>
      <c r="J55" s="43"/>
      <c r="K55" s="43"/>
      <c r="L55" s="43"/>
      <c r="M55" s="43"/>
    </row>
    <row r="56" spans="1:13" s="48" customFormat="1">
      <c r="A56" s="43"/>
      <c r="B56" s="43"/>
      <c r="C56" s="49"/>
      <c r="D56" s="43"/>
      <c r="E56" s="43"/>
      <c r="F56" s="50"/>
      <c r="G56" s="50"/>
      <c r="H56" s="43"/>
      <c r="I56" s="43"/>
      <c r="J56" s="43"/>
      <c r="K56" s="43"/>
      <c r="L56" s="43"/>
      <c r="M56" s="43"/>
    </row>
    <row r="57" spans="1:13" s="48" customFormat="1">
      <c r="A57" s="43"/>
      <c r="B57" s="43"/>
      <c r="C57" s="49"/>
      <c r="D57" s="43"/>
      <c r="E57" s="43"/>
      <c r="F57" s="50"/>
      <c r="G57" s="50"/>
      <c r="H57" s="43"/>
      <c r="I57" s="43"/>
      <c r="J57" s="43"/>
      <c r="K57" s="43"/>
      <c r="L57" s="43"/>
      <c r="M57" s="43"/>
    </row>
    <row r="58" spans="1:13" s="48" customFormat="1">
      <c r="A58" s="43"/>
      <c r="B58" s="43"/>
      <c r="C58" s="49"/>
      <c r="D58" s="43"/>
      <c r="E58" s="43"/>
      <c r="F58" s="50"/>
      <c r="G58" s="50"/>
      <c r="H58" s="43"/>
      <c r="I58" s="43"/>
      <c r="J58" s="43"/>
      <c r="K58" s="43"/>
      <c r="L58" s="43"/>
      <c r="M58" s="43"/>
    </row>
    <row r="59" spans="1:13" s="68" customFormat="1"/>
    <row r="60" spans="1:13" s="68" customFormat="1"/>
    <row r="61" spans="1:13" s="68" customFormat="1"/>
    <row r="62" spans="1:13" s="68" customFormat="1"/>
    <row r="63" spans="1:13"/>
    <row r="64" spans="1:13"/>
    <row r="65" spans="3:7" s="48" customFormat="1">
      <c r="C65" s="49"/>
      <c r="F65" s="69"/>
      <c r="G65" s="69"/>
    </row>
    <row r="66" spans="3:7" s="48" customFormat="1">
      <c r="C66" s="49"/>
      <c r="F66" s="69"/>
      <c r="G66" s="69"/>
    </row>
    <row r="67" spans="3:7" s="48" customFormat="1">
      <c r="C67" s="49"/>
      <c r="F67" s="69"/>
      <c r="G67" s="69"/>
    </row>
    <row r="68" spans="3:7" s="48" customFormat="1">
      <c r="C68" s="49"/>
      <c r="F68" s="69"/>
      <c r="G68" s="69"/>
    </row>
    <row r="69" spans="3:7" s="48" customFormat="1">
      <c r="C69" s="49"/>
      <c r="F69" s="69"/>
      <c r="G69" s="69"/>
    </row>
    <row r="70" spans="3:7" s="48" customFormat="1">
      <c r="C70" s="49"/>
      <c r="F70" s="69"/>
      <c r="G70" s="69"/>
    </row>
    <row r="71" spans="3:7" s="48" customFormat="1">
      <c r="C71" s="49"/>
      <c r="F71" s="69"/>
      <c r="G71" s="69"/>
    </row>
    <row r="72" spans="3:7" s="48" customFormat="1">
      <c r="C72" s="49"/>
      <c r="F72" s="69"/>
      <c r="G72" s="69"/>
    </row>
    <row r="73" spans="3:7" s="48" customFormat="1">
      <c r="C73" s="49"/>
      <c r="F73" s="69"/>
      <c r="G73" s="69"/>
    </row>
    <row r="74" spans="3:7" s="48" customFormat="1">
      <c r="C74" s="49"/>
      <c r="F74" s="69"/>
      <c r="G74" s="69"/>
    </row>
    <row r="75" spans="3:7" s="48" customFormat="1">
      <c r="C75" s="49"/>
      <c r="F75" s="69"/>
      <c r="G75" s="69"/>
    </row>
    <row r="76" spans="3:7" s="48" customFormat="1">
      <c r="C76" s="49"/>
      <c r="F76" s="69"/>
      <c r="G76" s="69"/>
    </row>
    <row r="77" spans="3:7" s="48" customFormat="1">
      <c r="C77" s="49"/>
      <c r="F77" s="69"/>
      <c r="G77" s="69"/>
    </row>
    <row r="78" spans="3:7" s="48" customFormat="1">
      <c r="C78" s="49"/>
      <c r="F78" s="69"/>
      <c r="G78" s="69"/>
    </row>
    <row r="79" spans="3:7" s="48" customFormat="1">
      <c r="C79" s="49"/>
      <c r="F79" s="69"/>
      <c r="G79" s="69"/>
    </row>
    <row r="80" spans="3:7" s="48" customFormat="1">
      <c r="C80" s="49"/>
      <c r="F80" s="69"/>
      <c r="G80" s="69"/>
    </row>
    <row r="81" spans="3:7" s="48" customFormat="1">
      <c r="C81" s="49"/>
      <c r="F81" s="69"/>
      <c r="G81" s="69"/>
    </row>
    <row r="82" spans="3:7" s="48" customFormat="1">
      <c r="C82" s="49"/>
      <c r="F82" s="69"/>
      <c r="G82" s="69"/>
    </row>
    <row r="83" spans="3:7" s="48" customFormat="1">
      <c r="C83" s="49"/>
      <c r="F83" s="69"/>
      <c r="G83" s="69"/>
    </row>
    <row r="84" spans="3:7" s="48" customFormat="1">
      <c r="C84" s="49"/>
      <c r="F84" s="69"/>
      <c r="G84" s="69"/>
    </row>
    <row r="85" spans="3:7" s="48" customFormat="1">
      <c r="C85" s="49"/>
      <c r="F85" s="69"/>
      <c r="G85" s="69"/>
    </row>
    <row r="86" spans="3:7" s="48" customFormat="1">
      <c r="C86" s="49"/>
      <c r="F86" s="69"/>
      <c r="G86" s="69"/>
    </row>
    <row r="87" spans="3:7" s="48" customFormat="1">
      <c r="C87" s="49"/>
      <c r="F87" s="69"/>
      <c r="G87" s="69"/>
    </row>
    <row r="88" spans="3:7" s="48" customFormat="1">
      <c r="C88" s="49"/>
      <c r="F88" s="69"/>
      <c r="G88" s="69"/>
    </row>
    <row r="89" spans="3:7" s="48" customFormat="1">
      <c r="C89" s="49"/>
      <c r="F89" s="69"/>
      <c r="G89" s="69"/>
    </row>
    <row r="90" spans="3:7" s="48" customFormat="1">
      <c r="C90" s="49"/>
      <c r="F90" s="69"/>
      <c r="G90" s="69"/>
    </row>
    <row r="91" spans="3:7" s="48" customFormat="1">
      <c r="C91" s="49"/>
      <c r="F91" s="69"/>
      <c r="G91" s="69"/>
    </row>
    <row r="92" spans="3:7" s="48" customFormat="1">
      <c r="C92" s="49"/>
      <c r="F92" s="69"/>
      <c r="G92" s="69"/>
    </row>
    <row r="93" spans="3:7" s="48" customFormat="1">
      <c r="C93" s="49"/>
      <c r="F93" s="69"/>
      <c r="G93" s="69"/>
    </row>
    <row r="94" spans="3:7" s="48" customFormat="1">
      <c r="C94" s="49"/>
      <c r="F94" s="69"/>
      <c r="G94" s="69"/>
    </row>
    <row r="95" spans="3:7" s="48" customFormat="1">
      <c r="C95" s="49"/>
      <c r="F95" s="69"/>
      <c r="G95" s="69"/>
    </row>
    <row r="96" spans="3:7" s="48" customFormat="1">
      <c r="C96" s="49"/>
      <c r="F96" s="69"/>
      <c r="G96" s="69"/>
    </row>
    <row r="97" spans="3:7" s="48" customFormat="1">
      <c r="C97" s="49"/>
      <c r="F97" s="69"/>
      <c r="G97" s="69"/>
    </row>
    <row r="98" spans="3:7" s="48" customFormat="1">
      <c r="C98" s="49"/>
      <c r="F98" s="69"/>
      <c r="G98" s="69"/>
    </row>
    <row r="99" spans="3:7" s="48" customFormat="1">
      <c r="C99" s="49"/>
      <c r="F99" s="69"/>
      <c r="G99" s="69"/>
    </row>
    <row r="100" spans="3:7" s="48" customFormat="1">
      <c r="C100" s="49"/>
      <c r="F100" s="69"/>
      <c r="G100" s="69"/>
    </row>
    <row r="101" spans="3:7" s="48" customFormat="1">
      <c r="C101" s="49"/>
      <c r="F101" s="69"/>
      <c r="G101" s="69"/>
    </row>
    <row r="102" spans="3:7" s="48" customFormat="1">
      <c r="C102" s="49"/>
      <c r="F102" s="69"/>
      <c r="G102" s="69"/>
    </row>
    <row r="103" spans="3:7" s="48" customFormat="1">
      <c r="C103" s="49"/>
      <c r="F103" s="69"/>
      <c r="G103" s="69"/>
    </row>
    <row r="104" spans="3:7" s="48" customFormat="1">
      <c r="C104" s="49"/>
      <c r="F104" s="69"/>
      <c r="G104" s="69"/>
    </row>
    <row r="105" spans="3:7" s="48" customFormat="1">
      <c r="C105" s="49"/>
      <c r="F105" s="69"/>
      <c r="G105" s="69"/>
    </row>
    <row r="106" spans="3:7" s="48" customFormat="1">
      <c r="C106" s="49"/>
      <c r="F106" s="69"/>
      <c r="G106" s="69"/>
    </row>
    <row r="107" spans="3:7" s="48" customFormat="1">
      <c r="C107" s="49"/>
      <c r="F107" s="69"/>
      <c r="G107" s="69"/>
    </row>
    <row r="108" spans="3:7" s="48" customFormat="1">
      <c r="C108" s="49"/>
      <c r="F108" s="69"/>
      <c r="G108" s="69"/>
    </row>
    <row r="109" spans="3:7" s="48" customFormat="1">
      <c r="C109" s="49"/>
      <c r="F109" s="69"/>
      <c r="G109" s="69"/>
    </row>
    <row r="110" spans="3:7" s="48" customFormat="1">
      <c r="C110" s="49"/>
      <c r="F110" s="69"/>
      <c r="G110" s="69"/>
    </row>
    <row r="111" spans="3:7" s="48" customFormat="1">
      <c r="C111" s="49"/>
      <c r="F111" s="69"/>
      <c r="G111" s="69"/>
    </row>
    <row r="112" spans="3:7" s="48" customFormat="1">
      <c r="C112" s="49"/>
      <c r="F112" s="69"/>
      <c r="G112" s="69"/>
    </row>
    <row r="113" spans="3:7" s="48" customFormat="1">
      <c r="C113" s="49"/>
      <c r="F113" s="69"/>
      <c r="G113" s="69"/>
    </row>
    <row r="114" spans="3:7" s="48" customFormat="1">
      <c r="C114" s="49"/>
      <c r="F114" s="69"/>
      <c r="G114" s="69"/>
    </row>
    <row r="115" spans="3:7" s="48" customFormat="1">
      <c r="C115" s="49"/>
      <c r="F115" s="69"/>
      <c r="G115" s="69"/>
    </row>
    <row r="116" spans="3:7" s="48" customFormat="1">
      <c r="C116" s="49"/>
      <c r="F116" s="69"/>
      <c r="G116" s="69"/>
    </row>
    <row r="117" spans="3:7" s="48" customFormat="1">
      <c r="C117" s="49"/>
      <c r="F117" s="69"/>
      <c r="G117" s="69"/>
    </row>
    <row r="118" spans="3:7" s="48" customFormat="1">
      <c r="C118" s="49"/>
      <c r="F118" s="69"/>
      <c r="G118" s="69"/>
    </row>
    <row r="119" spans="3:7" s="48" customFormat="1">
      <c r="C119" s="49"/>
      <c r="F119" s="69"/>
      <c r="G119" s="69"/>
    </row>
    <row r="120" spans="3:7" s="48" customFormat="1">
      <c r="C120" s="49"/>
      <c r="F120" s="69"/>
      <c r="G120" s="69"/>
    </row>
    <row r="121" spans="3:7" s="48" customFormat="1">
      <c r="C121" s="49"/>
      <c r="F121" s="69"/>
      <c r="G121" s="69"/>
    </row>
    <row r="122" spans="3:7" s="48" customFormat="1">
      <c r="C122" s="49"/>
      <c r="F122" s="69"/>
      <c r="G122" s="69"/>
    </row>
    <row r="123" spans="3:7" s="48" customFormat="1">
      <c r="C123" s="49"/>
      <c r="F123" s="69"/>
      <c r="G123" s="69"/>
    </row>
    <row r="124" spans="3:7" s="48" customFormat="1">
      <c r="C124" s="49"/>
      <c r="F124" s="69"/>
      <c r="G124" s="69"/>
    </row>
    <row r="125" spans="3:7" s="48" customFormat="1">
      <c r="C125" s="49"/>
      <c r="F125" s="69"/>
      <c r="G125" s="69"/>
    </row>
    <row r="126" spans="3:7" s="48" customFormat="1">
      <c r="C126" s="49"/>
      <c r="F126" s="69"/>
      <c r="G126" s="69"/>
    </row>
    <row r="127" spans="3:7" s="48" customFormat="1">
      <c r="C127" s="49"/>
      <c r="F127" s="69"/>
      <c r="G127" s="69"/>
    </row>
    <row r="128" spans="3:7" s="48" customFormat="1">
      <c r="C128" s="49"/>
      <c r="F128" s="69"/>
      <c r="G128" s="69"/>
    </row>
    <row r="129" spans="3:7" s="48" customFormat="1">
      <c r="C129" s="49"/>
      <c r="F129" s="69"/>
      <c r="G129" s="69"/>
    </row>
    <row r="130" spans="3:7" s="48" customFormat="1">
      <c r="C130" s="49"/>
      <c r="F130" s="69"/>
      <c r="G130" s="69"/>
    </row>
    <row r="131" spans="3:7" s="48" customFormat="1">
      <c r="C131" s="49"/>
      <c r="F131" s="69"/>
      <c r="G131" s="69"/>
    </row>
    <row r="132" spans="3:7" s="48" customFormat="1">
      <c r="C132" s="49"/>
      <c r="F132" s="69"/>
      <c r="G132" s="69"/>
    </row>
    <row r="133" spans="3:7" s="48" customFormat="1">
      <c r="C133" s="49"/>
      <c r="F133" s="69"/>
      <c r="G133" s="69"/>
    </row>
    <row r="134" spans="3:7" s="48" customFormat="1">
      <c r="C134" s="49"/>
      <c r="F134" s="69"/>
      <c r="G134" s="69"/>
    </row>
    <row r="135" spans="3:7" s="48" customFormat="1">
      <c r="C135" s="49"/>
      <c r="F135" s="69"/>
      <c r="G135" s="69"/>
    </row>
    <row r="136" spans="3:7" s="48" customFormat="1">
      <c r="C136" s="49"/>
      <c r="F136" s="69"/>
      <c r="G136" s="69"/>
    </row>
    <row r="137" spans="3:7" s="48" customFormat="1">
      <c r="C137" s="49"/>
      <c r="F137" s="69"/>
      <c r="G137" s="69"/>
    </row>
    <row r="138" spans="3:7" s="48" customFormat="1">
      <c r="C138" s="49"/>
      <c r="F138" s="69"/>
      <c r="G138" s="69"/>
    </row>
    <row r="139" spans="3:7" s="48" customFormat="1">
      <c r="C139" s="49"/>
      <c r="F139" s="69"/>
      <c r="G139" s="69"/>
    </row>
    <row r="140" spans="3:7" s="48" customFormat="1">
      <c r="C140" s="49"/>
      <c r="F140" s="69"/>
      <c r="G140" s="69"/>
    </row>
    <row r="141" spans="3:7" s="48" customFormat="1">
      <c r="C141" s="49"/>
      <c r="F141" s="69"/>
      <c r="G141" s="69"/>
    </row>
    <row r="142" spans="3:7" s="48" customFormat="1">
      <c r="C142" s="49"/>
      <c r="F142" s="69"/>
      <c r="G142" s="69"/>
    </row>
    <row r="143" spans="3:7" s="48" customFormat="1">
      <c r="C143" s="49"/>
      <c r="F143" s="69"/>
      <c r="G143" s="69"/>
    </row>
    <row r="144" spans="3:7" s="48" customFormat="1">
      <c r="C144" s="49"/>
      <c r="F144" s="69"/>
      <c r="G144" s="69"/>
    </row>
    <row r="145" spans="3:7" s="48" customFormat="1">
      <c r="C145" s="49"/>
      <c r="F145" s="69"/>
      <c r="G145" s="69"/>
    </row>
    <row r="146" spans="3:7" s="48" customFormat="1">
      <c r="C146" s="49"/>
      <c r="F146" s="69"/>
      <c r="G146" s="69"/>
    </row>
    <row r="147" spans="3:7" s="48" customFormat="1">
      <c r="C147" s="49"/>
      <c r="F147" s="69"/>
      <c r="G147" s="69"/>
    </row>
    <row r="148" spans="3:7" s="48" customFormat="1">
      <c r="C148" s="49"/>
      <c r="F148" s="69"/>
      <c r="G148" s="69"/>
    </row>
    <row r="149" spans="3:7" s="48" customFormat="1">
      <c r="C149" s="49"/>
      <c r="F149" s="69"/>
      <c r="G149" s="69"/>
    </row>
    <row r="150" spans="3:7" s="48" customFormat="1">
      <c r="C150" s="49"/>
      <c r="F150" s="69"/>
      <c r="G150" s="69"/>
    </row>
    <row r="151" spans="3:7" s="48" customFormat="1">
      <c r="C151" s="49"/>
      <c r="F151" s="69"/>
      <c r="G151" s="69"/>
    </row>
    <row r="152" spans="3:7" s="48" customFormat="1">
      <c r="C152" s="49"/>
      <c r="F152" s="69"/>
      <c r="G152" s="69"/>
    </row>
    <row r="153" spans="3:7" s="48" customFormat="1">
      <c r="C153" s="49"/>
      <c r="F153" s="69"/>
      <c r="G153" s="69"/>
    </row>
    <row r="154" spans="3:7"/>
    <row r="155" spans="3:7"/>
    <row r="156" spans="3:7"/>
    <row r="157" spans="3:7"/>
    <row r="158" spans="3:7"/>
    <row r="159" spans="3:7"/>
    <row r="160" spans="3:7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1048367" spans="3:7" s="48" customFormat="1">
      <c r="C1048367" s="49"/>
      <c r="F1048367" s="69"/>
      <c r="G1048367" s="69"/>
    </row>
    <row r="1048368" spans="3:7" s="48" customFormat="1">
      <c r="C1048368" s="49"/>
      <c r="F1048368" s="69"/>
      <c r="G1048368" s="69"/>
    </row>
    <row r="1048369" spans="3:7" s="48" customFormat="1">
      <c r="C1048369" s="49"/>
      <c r="F1048369" s="69"/>
      <c r="G1048369" s="69"/>
    </row>
    <row r="1048370" spans="3:7" s="48" customFormat="1">
      <c r="C1048370" s="49"/>
      <c r="F1048370" s="69"/>
      <c r="G1048370" s="69"/>
    </row>
    <row r="1048371" spans="3:7" s="48" customFormat="1">
      <c r="C1048371" s="49"/>
      <c r="F1048371" s="69"/>
      <c r="G1048371" s="69"/>
    </row>
    <row r="1048372" spans="3:7" s="48" customFormat="1">
      <c r="C1048372" s="49"/>
      <c r="F1048372" s="69"/>
      <c r="G1048372" s="69"/>
    </row>
    <row r="1048373" spans="3:7" s="48" customFormat="1">
      <c r="C1048373" s="49"/>
      <c r="F1048373" s="69"/>
      <c r="G1048373" s="69"/>
    </row>
    <row r="1048374" spans="3:7" s="48" customFormat="1">
      <c r="C1048374" s="49"/>
      <c r="F1048374" s="69"/>
      <c r="G1048374" s="69"/>
    </row>
    <row r="1048375" spans="3:7" s="48" customFormat="1">
      <c r="C1048375" s="49"/>
      <c r="F1048375" s="69"/>
      <c r="G1048375" s="69"/>
    </row>
    <row r="1048376" spans="3:7" s="48" customFormat="1">
      <c r="C1048376" s="49"/>
      <c r="F1048376" s="69"/>
      <c r="G1048376" s="69"/>
    </row>
    <row r="1048377" spans="3:7" s="48" customFormat="1">
      <c r="C1048377" s="49"/>
      <c r="F1048377" s="69"/>
      <c r="G1048377" s="69"/>
    </row>
    <row r="1048378" spans="3:7" s="48" customFormat="1">
      <c r="C1048378" s="49"/>
      <c r="F1048378" s="69"/>
      <c r="G1048378" s="69"/>
    </row>
    <row r="1048379" spans="3:7" s="48" customFormat="1">
      <c r="C1048379" s="49"/>
      <c r="F1048379" s="69"/>
      <c r="G1048379" s="69"/>
    </row>
    <row r="1048380" spans="3:7" s="48" customFormat="1">
      <c r="C1048380" s="49"/>
      <c r="F1048380" s="69"/>
      <c r="G1048380" s="69"/>
    </row>
    <row r="1048381" spans="3:7" s="48" customFormat="1">
      <c r="C1048381" s="49"/>
      <c r="F1048381" s="69"/>
      <c r="G1048381" s="69"/>
    </row>
    <row r="1048382" spans="3:7" s="48" customFormat="1">
      <c r="C1048382" s="49"/>
      <c r="F1048382" s="69"/>
      <c r="G1048382" s="69"/>
    </row>
    <row r="1048383" spans="3:7" s="48" customFormat="1">
      <c r="C1048383" s="49"/>
      <c r="F1048383" s="69"/>
      <c r="G1048383" s="69"/>
    </row>
    <row r="1048384" spans="3:7" s="48" customFormat="1">
      <c r="C1048384" s="49"/>
      <c r="F1048384" s="69"/>
      <c r="G1048384" s="69"/>
    </row>
    <row r="1048385" spans="3:7" s="48" customFormat="1">
      <c r="C1048385" s="49"/>
      <c r="F1048385" s="69"/>
      <c r="G1048385" s="69"/>
    </row>
    <row r="1048386" spans="3:7" s="48" customFormat="1">
      <c r="C1048386" s="49"/>
      <c r="F1048386" s="69"/>
      <c r="G1048386" s="69"/>
    </row>
    <row r="1048387" spans="3:7" s="48" customFormat="1">
      <c r="C1048387" s="49"/>
      <c r="F1048387" s="69"/>
      <c r="G1048387" s="69"/>
    </row>
    <row r="1048388" spans="3:7" s="48" customFormat="1">
      <c r="C1048388" s="49"/>
      <c r="F1048388" s="69"/>
      <c r="G1048388" s="69"/>
    </row>
    <row r="1048389" spans="3:7" s="48" customFormat="1">
      <c r="C1048389" s="49"/>
      <c r="F1048389" s="69"/>
      <c r="G1048389" s="69"/>
    </row>
    <row r="1048390" spans="3:7" s="48" customFormat="1">
      <c r="C1048390" s="49"/>
      <c r="F1048390" s="69"/>
      <c r="G1048390" s="69"/>
    </row>
    <row r="1048391" spans="3:7" s="48" customFormat="1">
      <c r="C1048391" s="49"/>
      <c r="F1048391" s="69"/>
      <c r="G1048391" s="69"/>
    </row>
    <row r="1048392" spans="3:7" s="48" customFormat="1">
      <c r="C1048392" s="49"/>
      <c r="F1048392" s="69"/>
      <c r="G1048392" s="69"/>
    </row>
    <row r="1048393" spans="3:7" s="48" customFormat="1">
      <c r="C1048393" s="49"/>
      <c r="F1048393" s="69"/>
      <c r="G1048393" s="69"/>
    </row>
    <row r="1048394" spans="3:7" s="48" customFormat="1">
      <c r="C1048394" s="49"/>
      <c r="F1048394" s="69"/>
      <c r="G1048394" s="69"/>
    </row>
    <row r="1048395" spans="3:7" s="48" customFormat="1">
      <c r="C1048395" s="49"/>
      <c r="F1048395" s="69"/>
      <c r="G1048395" s="69"/>
    </row>
    <row r="1048396" spans="3:7" s="48" customFormat="1">
      <c r="C1048396" s="49"/>
      <c r="F1048396" s="69"/>
      <c r="G1048396" s="69"/>
    </row>
    <row r="1048397" spans="3:7" s="48" customFormat="1">
      <c r="C1048397" s="49"/>
      <c r="F1048397" s="69"/>
      <c r="G1048397" s="69"/>
    </row>
    <row r="1048398" spans="3:7" s="48" customFormat="1">
      <c r="C1048398" s="49"/>
      <c r="F1048398" s="69"/>
      <c r="G1048398" s="69"/>
    </row>
    <row r="1048399" spans="3:7" s="48" customFormat="1">
      <c r="C1048399" s="49"/>
      <c r="F1048399" s="69"/>
      <c r="G1048399" s="69"/>
    </row>
    <row r="1048400" spans="3:7" s="48" customFormat="1">
      <c r="C1048400" s="49"/>
      <c r="F1048400" s="69"/>
      <c r="G1048400" s="69"/>
    </row>
    <row r="1048401" spans="3:7" s="48" customFormat="1">
      <c r="C1048401" s="49"/>
      <c r="F1048401" s="69"/>
      <c r="G1048401" s="69"/>
    </row>
    <row r="1048402" spans="3:7" s="48" customFormat="1">
      <c r="C1048402" s="49"/>
      <c r="F1048402" s="69"/>
      <c r="G1048402" s="69"/>
    </row>
    <row r="1048403" spans="3:7" s="48" customFormat="1">
      <c r="C1048403" s="49"/>
      <c r="F1048403" s="69"/>
      <c r="G1048403" s="69"/>
    </row>
    <row r="1048404" spans="3:7" s="48" customFormat="1">
      <c r="C1048404" s="49"/>
      <c r="F1048404" s="69"/>
      <c r="G1048404" s="69"/>
    </row>
    <row r="1048405" spans="3:7" s="48" customFormat="1">
      <c r="C1048405" s="49"/>
      <c r="F1048405" s="69"/>
      <c r="G1048405" s="69"/>
    </row>
    <row r="1048406" spans="3:7" s="48" customFormat="1">
      <c r="C1048406" s="49"/>
      <c r="F1048406" s="69"/>
      <c r="G1048406" s="69"/>
    </row>
    <row r="1048407" spans="3:7" s="48" customFormat="1">
      <c r="C1048407" s="49"/>
      <c r="F1048407" s="69"/>
      <c r="G1048407" s="69"/>
    </row>
    <row r="1048408" spans="3:7" s="48" customFormat="1">
      <c r="C1048408" s="49"/>
      <c r="F1048408" s="69"/>
      <c r="G1048408" s="69"/>
    </row>
    <row r="1048409" spans="3:7" s="48" customFormat="1">
      <c r="C1048409" s="49"/>
      <c r="F1048409" s="69"/>
      <c r="G1048409" s="69"/>
    </row>
    <row r="1048410" spans="3:7" s="48" customFormat="1">
      <c r="C1048410" s="49"/>
      <c r="F1048410" s="69"/>
      <c r="G1048410" s="69"/>
    </row>
    <row r="1048411" spans="3:7" s="48" customFormat="1">
      <c r="C1048411" s="49"/>
      <c r="F1048411" s="69"/>
      <c r="G1048411" s="69"/>
    </row>
    <row r="1048412" spans="3:7" s="48" customFormat="1">
      <c r="C1048412" s="49"/>
      <c r="F1048412" s="69"/>
      <c r="G1048412" s="69"/>
    </row>
    <row r="1048413" spans="3:7" s="48" customFormat="1">
      <c r="C1048413" s="49"/>
      <c r="F1048413" s="69"/>
      <c r="G1048413" s="69"/>
    </row>
    <row r="1048414" spans="3:7" s="48" customFormat="1">
      <c r="C1048414" s="49"/>
      <c r="F1048414" s="69"/>
      <c r="G1048414" s="69"/>
    </row>
    <row r="1048415" spans="3:7" s="48" customFormat="1">
      <c r="C1048415" s="49"/>
      <c r="F1048415" s="69"/>
      <c r="G1048415" s="69"/>
    </row>
    <row r="1048416" spans="3:7" s="48" customFormat="1">
      <c r="C1048416" s="49"/>
      <c r="F1048416" s="69"/>
      <c r="G1048416" s="69"/>
    </row>
    <row r="1048417" spans="3:7" s="48" customFormat="1">
      <c r="C1048417" s="49"/>
      <c r="F1048417" s="69"/>
      <c r="G1048417" s="69"/>
    </row>
    <row r="1048418" spans="3:7" s="48" customFormat="1">
      <c r="C1048418" s="49"/>
      <c r="F1048418" s="69"/>
      <c r="G1048418" s="69"/>
    </row>
    <row r="1048419" spans="3:7" s="48" customFormat="1">
      <c r="C1048419" s="49"/>
      <c r="F1048419" s="69"/>
      <c r="G1048419" s="69"/>
    </row>
    <row r="1048420" spans="3:7" s="48" customFormat="1">
      <c r="C1048420" s="49"/>
      <c r="F1048420" s="69"/>
      <c r="G1048420" s="69"/>
    </row>
    <row r="1048421" spans="3:7" s="48" customFormat="1">
      <c r="C1048421" s="49"/>
      <c r="F1048421" s="69"/>
      <c r="G1048421" s="69"/>
    </row>
    <row r="1048422" spans="3:7" s="48" customFormat="1">
      <c r="C1048422" s="49"/>
      <c r="F1048422" s="69"/>
      <c r="G1048422" s="69"/>
    </row>
    <row r="1048423" spans="3:7" s="48" customFormat="1">
      <c r="C1048423" s="49"/>
      <c r="F1048423" s="69"/>
      <c r="G1048423" s="69"/>
    </row>
    <row r="1048424" spans="3:7" s="48" customFormat="1">
      <c r="C1048424" s="49"/>
      <c r="F1048424" s="69"/>
      <c r="G1048424" s="69"/>
    </row>
    <row r="1048425" spans="3:7" s="48" customFormat="1">
      <c r="C1048425" s="49"/>
      <c r="F1048425" s="69"/>
      <c r="G1048425" s="69"/>
    </row>
    <row r="1048426" spans="3:7" s="48" customFormat="1">
      <c r="C1048426" s="49"/>
      <c r="F1048426" s="69"/>
      <c r="G1048426" s="69"/>
    </row>
    <row r="1048427" spans="3:7" s="48" customFormat="1">
      <c r="C1048427" s="49"/>
      <c r="F1048427" s="69"/>
      <c r="G1048427" s="69"/>
    </row>
    <row r="1048428" spans="3:7" s="48" customFormat="1">
      <c r="C1048428" s="49"/>
      <c r="F1048428" s="69"/>
      <c r="G1048428" s="69"/>
    </row>
    <row r="1048429" spans="3:7" s="48" customFormat="1">
      <c r="C1048429" s="49"/>
      <c r="F1048429" s="69"/>
      <c r="G1048429" s="69"/>
    </row>
    <row r="1048430" spans="3:7" s="48" customFormat="1">
      <c r="C1048430" s="49"/>
      <c r="F1048430" s="69"/>
      <c r="G1048430" s="69"/>
    </row>
    <row r="1048431" spans="3:7" s="48" customFormat="1">
      <c r="C1048431" s="49"/>
      <c r="F1048431" s="69"/>
      <c r="G1048431" s="69"/>
    </row>
    <row r="1048432" spans="3:7" s="48" customFormat="1">
      <c r="C1048432" s="49"/>
      <c r="F1048432" s="69"/>
      <c r="G1048432" s="69"/>
    </row>
    <row r="1048433" spans="3:7" s="48" customFormat="1">
      <c r="C1048433" s="49"/>
      <c r="F1048433" s="69"/>
      <c r="G1048433" s="69"/>
    </row>
    <row r="1048434" spans="3:7" s="48" customFormat="1">
      <c r="C1048434" s="49"/>
      <c r="F1048434" s="69"/>
      <c r="G1048434" s="69"/>
    </row>
    <row r="1048435" spans="3:7" s="48" customFormat="1">
      <c r="C1048435" s="49"/>
      <c r="F1048435" s="69"/>
      <c r="G1048435" s="69"/>
    </row>
    <row r="1048436" spans="3:7" s="48" customFormat="1">
      <c r="C1048436" s="49"/>
      <c r="F1048436" s="69"/>
      <c r="G1048436" s="69"/>
    </row>
    <row r="1048437" spans="3:7" s="48" customFormat="1">
      <c r="C1048437" s="49"/>
      <c r="F1048437" s="69"/>
      <c r="G1048437" s="69"/>
    </row>
    <row r="1048438" spans="3:7" s="48" customFormat="1">
      <c r="C1048438" s="49"/>
      <c r="F1048438" s="69"/>
      <c r="G1048438" s="69"/>
    </row>
    <row r="1048439" spans="3:7" s="48" customFormat="1">
      <c r="C1048439" s="49"/>
      <c r="F1048439" s="69"/>
      <c r="G1048439" s="69"/>
    </row>
    <row r="1048440" spans="3:7" s="48" customFormat="1">
      <c r="C1048440" s="49"/>
      <c r="F1048440" s="69"/>
      <c r="G1048440" s="69"/>
    </row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conditionalFormatting sqref="F40:F45 G42:L43">
    <cfRule type="cellIs" dxfId="3" priority="1" operator="equal">
      <formula>0</formula>
    </cfRule>
    <cfRule type="cellIs" dxfId="2" priority="2" operator="equal">
      <formula>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894A-C99B-423F-BA09-2B9D4C45E2D8}">
  <sheetPr>
    <tabColor theme="4" tint="-0.249977111117893"/>
  </sheetPr>
  <dimension ref="A1:N38"/>
  <sheetViews>
    <sheetView zoomScaleNormal="100" workbookViewId="0">
      <selection activeCell="D17" sqref="D17"/>
    </sheetView>
  </sheetViews>
  <sheetFormatPr defaultColWidth="10.54296875" defaultRowHeight="12.5"/>
  <cols>
    <col min="1" max="1" width="12.453125" style="15" customWidth="1"/>
    <col min="2" max="2" width="36" style="15" customWidth="1"/>
    <col min="3" max="3" width="19" style="15" customWidth="1"/>
    <col min="4" max="4" width="15.81640625" style="15" customWidth="1"/>
    <col min="5" max="5" width="16.26953125" style="15" customWidth="1"/>
    <col min="6" max="6" width="15.453125" style="15" customWidth="1"/>
    <col min="7" max="7" width="16.1796875" style="15" customWidth="1"/>
    <col min="8" max="8" width="17.7265625" style="15" customWidth="1"/>
    <col min="9" max="9" width="18.81640625" style="15" customWidth="1"/>
    <col min="10" max="10" width="16.81640625" style="15" customWidth="1"/>
    <col min="11" max="11" width="15.26953125" style="15" customWidth="1"/>
    <col min="12" max="12" width="14.26953125" style="15" customWidth="1"/>
    <col min="13" max="13" width="15.26953125" style="15" customWidth="1"/>
    <col min="14" max="14" width="16.453125" style="15" bestFit="1" customWidth="1"/>
    <col min="15" max="16384" width="10.54296875" style="15"/>
  </cols>
  <sheetData>
    <row r="1" spans="2:14" ht="14">
      <c r="B1" s="140" t="s">
        <v>242</v>
      </c>
      <c r="C1" s="140"/>
      <c r="D1" s="140"/>
      <c r="H1" s="34"/>
      <c r="I1" s="11"/>
      <c r="N1" s="35"/>
    </row>
    <row r="2" spans="2:14" ht="16.5" customHeight="1">
      <c r="B2" s="513" t="s">
        <v>243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</row>
    <row r="3" spans="2:14" s="39" customFormat="1" ht="37.5" customHeight="1" thickBot="1">
      <c r="B3" s="136" t="s">
        <v>244</v>
      </c>
      <c r="C3" s="137" t="s">
        <v>245</v>
      </c>
      <c r="D3" s="137" t="s">
        <v>246</v>
      </c>
      <c r="E3" s="137" t="s">
        <v>247</v>
      </c>
      <c r="F3" s="137" t="s">
        <v>248</v>
      </c>
      <c r="G3" s="137" t="s">
        <v>249</v>
      </c>
      <c r="H3" s="137" t="s">
        <v>250</v>
      </c>
      <c r="I3" s="137" t="s">
        <v>251</v>
      </c>
      <c r="J3" s="164" t="s">
        <v>252</v>
      </c>
      <c r="K3" s="164" t="s">
        <v>253</v>
      </c>
      <c r="L3" s="164" t="s">
        <v>254</v>
      </c>
      <c r="M3" s="164" t="s">
        <v>255</v>
      </c>
    </row>
    <row r="4" spans="2:14" ht="16" customHeight="1" thickBot="1">
      <c r="B4" s="165" t="s">
        <v>256</v>
      </c>
      <c r="C4" s="166"/>
      <c r="D4" s="174"/>
      <c r="E4" s="174"/>
      <c r="F4" s="141" t="str">
        <f t="shared" ref="F4:F13" si="0">IFERROR(E4/$E$14,"")</f>
        <v/>
      </c>
      <c r="G4" s="174"/>
      <c r="H4" s="175"/>
      <c r="I4" s="176"/>
      <c r="J4" s="176"/>
      <c r="K4" s="176"/>
      <c r="L4" s="176"/>
      <c r="M4" s="176"/>
    </row>
    <row r="5" spans="2:14" ht="16" customHeight="1" thickBot="1">
      <c r="B5" s="165" t="s">
        <v>257</v>
      </c>
      <c r="C5" s="167"/>
      <c r="D5" s="174"/>
      <c r="E5" s="174"/>
      <c r="F5" s="135" t="str">
        <f t="shared" si="0"/>
        <v/>
      </c>
      <c r="G5" s="174"/>
      <c r="H5" s="175"/>
      <c r="I5" s="176"/>
      <c r="J5" s="176"/>
      <c r="K5" s="176"/>
      <c r="L5" s="176"/>
      <c r="M5" s="176"/>
    </row>
    <row r="6" spans="2:14" ht="16" customHeight="1" thickBot="1">
      <c r="B6" s="165" t="s">
        <v>258</v>
      </c>
      <c r="C6" s="168"/>
      <c r="D6" s="174"/>
      <c r="E6" s="174"/>
      <c r="F6" s="135" t="str">
        <f t="shared" si="0"/>
        <v/>
      </c>
      <c r="G6" s="174"/>
      <c r="H6" s="175"/>
      <c r="I6" s="176"/>
      <c r="J6" s="176"/>
      <c r="K6" s="176"/>
      <c r="L6" s="176"/>
      <c r="M6" s="176"/>
    </row>
    <row r="7" spans="2:14" ht="16" customHeight="1" thickBot="1">
      <c r="B7" s="165" t="s">
        <v>259</v>
      </c>
      <c r="C7" s="169"/>
      <c r="D7" s="174"/>
      <c r="E7" s="174"/>
      <c r="F7" s="135" t="str">
        <f t="shared" si="0"/>
        <v/>
      </c>
      <c r="G7" s="174"/>
      <c r="H7" s="175"/>
      <c r="I7" s="176"/>
      <c r="J7" s="176"/>
      <c r="K7" s="176"/>
      <c r="L7" s="176"/>
      <c r="M7" s="176"/>
    </row>
    <row r="8" spans="2:14" ht="16" customHeight="1" thickBot="1">
      <c r="B8" s="165" t="s">
        <v>260</v>
      </c>
      <c r="C8" s="168"/>
      <c r="D8" s="174"/>
      <c r="E8" s="174"/>
      <c r="F8" s="135" t="str">
        <f t="shared" si="0"/>
        <v/>
      </c>
      <c r="G8" s="174"/>
      <c r="H8" s="175"/>
      <c r="I8" s="176"/>
      <c r="J8" s="176"/>
      <c r="K8" s="176"/>
      <c r="L8" s="176"/>
      <c r="M8" s="176"/>
    </row>
    <row r="9" spans="2:14" ht="15.75" customHeight="1" thickBot="1">
      <c r="B9" s="165" t="s">
        <v>261</v>
      </c>
      <c r="C9" s="168"/>
      <c r="D9" s="174"/>
      <c r="E9" s="174"/>
      <c r="F9" s="135" t="str">
        <f t="shared" si="0"/>
        <v/>
      </c>
      <c r="G9" s="174"/>
      <c r="H9" s="175"/>
      <c r="I9" s="176"/>
      <c r="J9" s="176"/>
      <c r="K9" s="176"/>
      <c r="L9" s="176"/>
      <c r="M9" s="176"/>
    </row>
    <row r="10" spans="2:14" ht="16" customHeight="1" thickBot="1">
      <c r="B10" s="165" t="s">
        <v>262</v>
      </c>
      <c r="C10" s="170"/>
      <c r="D10" s="174"/>
      <c r="E10" s="174"/>
      <c r="F10" s="142" t="str">
        <f t="shared" si="0"/>
        <v/>
      </c>
      <c r="G10" s="174"/>
      <c r="H10" s="175"/>
      <c r="I10" s="176"/>
      <c r="J10" s="176"/>
      <c r="K10" s="176"/>
      <c r="L10" s="176"/>
      <c r="M10" s="176"/>
    </row>
    <row r="11" spans="2:14" ht="16" customHeight="1" thickBot="1">
      <c r="B11" s="165" t="s">
        <v>263</v>
      </c>
      <c r="C11" s="171"/>
      <c r="D11" s="174"/>
      <c r="E11" s="174"/>
      <c r="F11" s="141" t="str">
        <f t="shared" si="0"/>
        <v/>
      </c>
      <c r="G11" s="174"/>
      <c r="H11" s="175"/>
      <c r="I11" s="176"/>
      <c r="J11" s="176"/>
      <c r="K11" s="176"/>
      <c r="L11" s="176"/>
      <c r="M11" s="176"/>
    </row>
    <row r="12" spans="2:14" ht="16" customHeight="1" thickBot="1">
      <c r="B12" s="165" t="s">
        <v>264</v>
      </c>
      <c r="C12" s="172"/>
      <c r="D12" s="174"/>
      <c r="E12" s="174"/>
      <c r="F12" s="135" t="str">
        <f t="shared" si="0"/>
        <v/>
      </c>
      <c r="G12" s="174"/>
      <c r="H12" s="175"/>
      <c r="I12" s="176"/>
      <c r="J12" s="176"/>
      <c r="K12" s="176"/>
      <c r="L12" s="176"/>
      <c r="M12" s="176"/>
    </row>
    <row r="13" spans="2:14" ht="16" customHeight="1" thickBot="1">
      <c r="B13" s="165" t="s">
        <v>265</v>
      </c>
      <c r="C13" s="173"/>
      <c r="D13" s="174"/>
      <c r="E13" s="174"/>
      <c r="F13" s="142" t="str">
        <f t="shared" si="0"/>
        <v/>
      </c>
      <c r="G13" s="174"/>
      <c r="H13" s="175"/>
      <c r="I13" s="176"/>
      <c r="J13" s="176"/>
      <c r="K13" s="176"/>
      <c r="L13" s="176"/>
      <c r="M13" s="176"/>
    </row>
    <row r="14" spans="2:14" ht="16" customHeight="1">
      <c r="B14" s="143" t="s">
        <v>266</v>
      </c>
      <c r="C14" s="143"/>
      <c r="D14" s="143"/>
      <c r="E14" s="177"/>
      <c r="F14" s="138"/>
      <c r="G14" s="138"/>
      <c r="H14" s="178"/>
      <c r="I14" s="178"/>
      <c r="J14" s="178"/>
      <c r="K14" s="178"/>
      <c r="L14" s="178"/>
      <c r="M14" s="178"/>
    </row>
    <row r="15" spans="2:14" ht="16" customHeight="1">
      <c r="E15" s="146"/>
      <c r="F15" s="147"/>
      <c r="G15" s="147"/>
      <c r="H15" s="148"/>
      <c r="I15" s="149"/>
      <c r="K15" s="18"/>
    </row>
    <row r="17" spans="1:6" ht="52">
      <c r="B17" s="180" t="s">
        <v>267</v>
      </c>
      <c r="C17" s="181" t="s">
        <v>268</v>
      </c>
      <c r="D17" s="36"/>
    </row>
    <row r="18" spans="1:6">
      <c r="B18" s="179" t="s">
        <v>256</v>
      </c>
      <c r="C18" s="182" t="str">
        <f t="shared" ref="C18:C27" si="1">IFERROR((J4-I4)/J4,"")</f>
        <v/>
      </c>
    </row>
    <row r="19" spans="1:6">
      <c r="B19" s="179" t="s">
        <v>257</v>
      </c>
      <c r="C19" s="182" t="str">
        <f t="shared" si="1"/>
        <v/>
      </c>
    </row>
    <row r="20" spans="1:6">
      <c r="B20" s="179" t="s">
        <v>258</v>
      </c>
      <c r="C20" s="182" t="str">
        <f t="shared" si="1"/>
        <v/>
      </c>
    </row>
    <row r="21" spans="1:6">
      <c r="B21" s="179" t="s">
        <v>259</v>
      </c>
      <c r="C21" s="182" t="str">
        <f t="shared" si="1"/>
        <v/>
      </c>
    </row>
    <row r="22" spans="1:6">
      <c r="B22" s="179" t="s">
        <v>260</v>
      </c>
      <c r="C22" s="182" t="str">
        <f t="shared" si="1"/>
        <v/>
      </c>
    </row>
    <row r="23" spans="1:6">
      <c r="B23" s="179" t="s">
        <v>261</v>
      </c>
      <c r="C23" s="182" t="str">
        <f t="shared" si="1"/>
        <v/>
      </c>
    </row>
    <row r="24" spans="1:6">
      <c r="B24" s="179" t="s">
        <v>262</v>
      </c>
      <c r="C24" s="182" t="str">
        <f t="shared" si="1"/>
        <v/>
      </c>
    </row>
    <row r="25" spans="1:6">
      <c r="B25" s="179" t="s">
        <v>263</v>
      </c>
      <c r="C25" s="182" t="str">
        <f t="shared" si="1"/>
        <v/>
      </c>
    </row>
    <row r="26" spans="1:6">
      <c r="B26" s="179" t="s">
        <v>264</v>
      </c>
      <c r="C26" s="182" t="str">
        <f t="shared" si="1"/>
        <v/>
      </c>
    </row>
    <row r="27" spans="1:6">
      <c r="B27" s="179" t="s">
        <v>265</v>
      </c>
      <c r="C27" s="182" t="str">
        <f t="shared" si="1"/>
        <v/>
      </c>
    </row>
    <row r="30" spans="1:6">
      <c r="A30" s="186"/>
      <c r="B30" s="185" t="s">
        <v>269</v>
      </c>
      <c r="C30" s="185" t="s">
        <v>270</v>
      </c>
      <c r="E30" s="30"/>
      <c r="F30" s="30"/>
    </row>
    <row r="31" spans="1:6">
      <c r="A31" s="185" t="s">
        <v>271</v>
      </c>
      <c r="B31" s="183"/>
      <c r="C31" s="183">
        <v>477579.73</v>
      </c>
      <c r="D31" s="183"/>
      <c r="E31" s="184"/>
      <c r="F31" s="184"/>
    </row>
    <row r="32" spans="1:6" ht="25">
      <c r="A32" s="187" t="s">
        <v>272</v>
      </c>
      <c r="B32" s="183"/>
      <c r="C32" s="183">
        <v>676559.19</v>
      </c>
      <c r="D32" s="183"/>
      <c r="E32" s="184"/>
    </row>
    <row r="33" spans="1:4">
      <c r="A33" s="185" t="s">
        <v>273</v>
      </c>
      <c r="B33" s="188" t="str">
        <f>IFERROR((B32-B31)/B32,"")</f>
        <v/>
      </c>
      <c r="C33" s="188"/>
    </row>
    <row r="34" spans="1:4" ht="25">
      <c r="A34" s="187" t="s">
        <v>274</v>
      </c>
      <c r="B34" s="183"/>
      <c r="C34" s="183">
        <v>33773.638964035439</v>
      </c>
    </row>
    <row r="35" spans="1:4" ht="25">
      <c r="A35" s="187" t="s">
        <v>275</v>
      </c>
      <c r="B35" s="107">
        <v>48</v>
      </c>
      <c r="C35" s="107">
        <v>48</v>
      </c>
    </row>
    <row r="36" spans="1:4" ht="25">
      <c r="A36" s="187" t="s">
        <v>276</v>
      </c>
      <c r="B36" s="183"/>
      <c r="C36" s="183"/>
      <c r="D36" s="184"/>
    </row>
    <row r="37" spans="1:4" ht="25.5" customHeight="1">
      <c r="A37" s="187" t="s">
        <v>277</v>
      </c>
      <c r="B37" s="183"/>
      <c r="C37" s="183">
        <v>1004708.1340252117</v>
      </c>
    </row>
    <row r="38" spans="1:4">
      <c r="B38" s="184"/>
      <c r="C38" s="30" t="s">
        <v>278</v>
      </c>
      <c r="D38" s="190"/>
    </row>
  </sheetData>
  <mergeCells count="1">
    <mergeCell ref="B2:M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M37"/>
  <sheetViews>
    <sheetView showGridLines="0" topLeftCell="A9" zoomScale="90" zoomScaleNormal="90" workbookViewId="0">
      <selection activeCell="F16" sqref="F16"/>
    </sheetView>
  </sheetViews>
  <sheetFormatPr defaultColWidth="10.54296875" defaultRowHeight="12.5"/>
  <cols>
    <col min="1" max="1" width="17.54296875" style="33" customWidth="1"/>
    <col min="2" max="2" width="45.81640625" style="15" customWidth="1"/>
    <col min="3" max="3" width="20.26953125" style="15" customWidth="1"/>
    <col min="4" max="4" width="19.1796875" style="15" bestFit="1" customWidth="1"/>
    <col min="5" max="5" width="16.1796875" style="15" customWidth="1"/>
    <col min="6" max="6" width="17.7265625" style="15" customWidth="1"/>
    <col min="7" max="7" width="21.1796875" style="15" bestFit="1" customWidth="1"/>
    <col min="8" max="8" width="18.81640625" style="15" customWidth="1"/>
    <col min="9" max="9" width="18.26953125" style="15" customWidth="1"/>
    <col min="10" max="10" width="16.453125" style="15" bestFit="1" customWidth="1"/>
    <col min="11" max="11" width="10.54296875" style="15" customWidth="1"/>
    <col min="12" max="12" width="13.1796875" style="15" customWidth="1"/>
    <col min="13" max="13" width="13.7265625" style="15" customWidth="1"/>
    <col min="14" max="16384" width="10.54296875" style="15"/>
  </cols>
  <sheetData>
    <row r="1" spans="1:13" ht="14.5" thickBot="1">
      <c r="B1" s="140" t="s">
        <v>279</v>
      </c>
      <c r="F1" s="34" t="s">
        <v>280</v>
      </c>
      <c r="G1" s="11">
        <v>25</v>
      </c>
      <c r="J1" s="35"/>
    </row>
    <row r="2" spans="1:13" ht="16.5" customHeight="1" thickBot="1">
      <c r="B2" s="520" t="s">
        <v>243</v>
      </c>
      <c r="C2" s="520"/>
      <c r="D2" s="520"/>
      <c r="E2" s="520"/>
      <c r="F2" s="520"/>
      <c r="G2" s="520"/>
      <c r="H2" s="239"/>
      <c r="I2" s="240"/>
      <c r="J2" s="517" t="s">
        <v>287</v>
      </c>
      <c r="K2" s="518"/>
      <c r="L2" s="518"/>
      <c r="M2" s="519"/>
    </row>
    <row r="3" spans="1:13" s="39" customFormat="1" ht="31.5" customHeight="1" thickBot="1">
      <c r="A3" s="38"/>
      <c r="B3" s="136" t="s">
        <v>244</v>
      </c>
      <c r="C3" s="137" t="s">
        <v>281</v>
      </c>
      <c r="D3" s="137" t="s">
        <v>248</v>
      </c>
      <c r="E3" s="137" t="s">
        <v>282</v>
      </c>
      <c r="F3" s="137" t="s">
        <v>283</v>
      </c>
      <c r="G3" s="137" t="s">
        <v>284</v>
      </c>
      <c r="H3" s="340"/>
      <c r="I3" s="238"/>
      <c r="J3" s="150" t="s">
        <v>288</v>
      </c>
      <c r="K3" s="32">
        <f>+F12</f>
        <v>0</v>
      </c>
      <c r="L3" s="151" t="s">
        <v>289</v>
      </c>
      <c r="M3" s="197">
        <v>0.1</v>
      </c>
    </row>
    <row r="4" spans="1:13" ht="16" customHeight="1" thickBot="1">
      <c r="A4" s="521" t="s">
        <v>285</v>
      </c>
      <c r="B4" s="166" t="str">
        <f>Equipos!B3</f>
        <v>Productos 1</v>
      </c>
      <c r="C4" s="211">
        <f>+Equipos!M57</f>
        <v>0</v>
      </c>
      <c r="D4" s="213" t="str">
        <f t="shared" ref="D4:D11" si="0">IFERROR(C4/$C$12,"")</f>
        <v/>
      </c>
      <c r="E4" s="214">
        <f>+Equipos!N4</f>
        <v>0.27400000000000002</v>
      </c>
      <c r="F4" s="215">
        <f>Tabla2[[#This Row],[Costo]]/(1-Tabla2[[#This Row],[% de venta]])</f>
        <v>0</v>
      </c>
      <c r="G4" s="216">
        <f>+Tabla2[[#This Row],[P. Venta ]]-Tabla2[[#This Row],[Costo]]</f>
        <v>0</v>
      </c>
      <c r="H4" s="233"/>
      <c r="J4" s="152" t="s">
        <v>290</v>
      </c>
      <c r="K4" s="196">
        <v>48</v>
      </c>
      <c r="L4" s="11"/>
      <c r="M4" s="153"/>
    </row>
    <row r="5" spans="1:13" ht="16" customHeight="1">
      <c r="A5" s="522"/>
      <c r="B5" s="391" t="str">
        <f>+'Productos 2'!A3</f>
        <v>Productos 2</v>
      </c>
      <c r="C5" s="392">
        <f>+'Productos 2'!L17</f>
        <v>0</v>
      </c>
      <c r="D5" s="393" t="str">
        <f t="shared" si="0"/>
        <v/>
      </c>
      <c r="E5" s="394">
        <f>+'Productos 2'!M4</f>
        <v>0.3</v>
      </c>
      <c r="F5" s="395">
        <f>Tabla2[[#This Row],[Costo]]/(1-Tabla2[[#This Row],[% de venta]])</f>
        <v>0</v>
      </c>
      <c r="G5" s="396">
        <f>+Tabla2[[#This Row],[P. Venta ]]-Tabla2[[#This Row],[Costo]]</f>
        <v>0</v>
      </c>
      <c r="H5" s="234"/>
      <c r="J5" s="152" t="s">
        <v>292</v>
      </c>
      <c r="K5" s="37">
        <f>PMT(M3/12,K4,-K3)</f>
        <v>0</v>
      </c>
      <c r="L5" s="154"/>
      <c r="M5" s="40"/>
    </row>
    <row r="6" spans="1:13" ht="16" customHeight="1" thickBot="1">
      <c r="A6" s="522"/>
      <c r="B6" s="397" t="str">
        <f>+'Productos 3'!A3</f>
        <v>Productos 3</v>
      </c>
      <c r="C6" s="392">
        <f>+'Productos 3'!L22</f>
        <v>0</v>
      </c>
      <c r="D6" s="393" t="str">
        <f t="shared" si="0"/>
        <v/>
      </c>
      <c r="E6" s="394">
        <f>+'Productos 3'!M4</f>
        <v>0.3</v>
      </c>
      <c r="F6" s="395">
        <f>Tabla2[[#This Row],[Costo]]/(1-Tabla2[[#This Row],[% de venta]])</f>
        <v>0</v>
      </c>
      <c r="G6" s="396">
        <f>+Tabla2[[#This Row],[P. Venta ]]-Tabla2[[#This Row],[Costo]]</f>
        <v>0</v>
      </c>
      <c r="H6" s="234"/>
      <c r="J6" s="155" t="s">
        <v>241</v>
      </c>
      <c r="K6" s="156" t="str">
        <f>IFERROR('Evaluacion TIR-VAN'!F45,"")</f>
        <v/>
      </c>
      <c r="L6" s="99"/>
      <c r="M6" s="157"/>
    </row>
    <row r="7" spans="1:13" ht="16" customHeight="1" thickBot="1">
      <c r="A7" s="522"/>
      <c r="B7" s="391" t="str">
        <f>+'Productos 4'!A3</f>
        <v>Productos 4</v>
      </c>
      <c r="C7" s="392">
        <f>+'Productos 4'!L21</f>
        <v>0</v>
      </c>
      <c r="D7" s="393" t="str">
        <f t="shared" si="0"/>
        <v/>
      </c>
      <c r="E7" s="394">
        <f>+'Productos 4'!M4</f>
        <v>0.3</v>
      </c>
      <c r="F7" s="395">
        <f>Tabla2[[#This Row],[Costo]]/(1-Tabla2[[#This Row],[% de venta]])</f>
        <v>0</v>
      </c>
      <c r="G7" s="396">
        <f>+Tabla2[[#This Row],[P. Venta ]]-Tabla2[[#This Row],[Costo]]</f>
        <v>0</v>
      </c>
      <c r="H7" s="234"/>
      <c r="J7" s="158" t="s">
        <v>295</v>
      </c>
      <c r="K7" s="159"/>
      <c r="L7" s="163">
        <f>'Evaluacion TIR-VAN'!H47</f>
        <v>0</v>
      </c>
      <c r="M7" s="189" t="str">
        <f>IFERROR(L7/K3,"")</f>
        <v/>
      </c>
    </row>
    <row r="8" spans="1:13" ht="16" customHeight="1" thickBot="1">
      <c r="A8" s="523"/>
      <c r="B8" s="170" t="str">
        <f>+'Productos 5'!A3</f>
        <v>Productos 5</v>
      </c>
      <c r="C8" s="212">
        <f>+'Productos 5'!L25</f>
        <v>0</v>
      </c>
      <c r="D8" s="217" t="str">
        <f t="shared" si="0"/>
        <v/>
      </c>
      <c r="E8" s="218">
        <f>+'Productos 5'!M4</f>
        <v>0.3</v>
      </c>
      <c r="F8" s="219">
        <f>Tabla2[[#This Row],[Costo]]/(1-Tabla2[[#This Row],[% de venta]])</f>
        <v>0</v>
      </c>
      <c r="G8" s="220">
        <f>+Tabla2[[#This Row],[P. Venta ]]-Tabla2[[#This Row],[Costo]]</f>
        <v>0</v>
      </c>
      <c r="H8" s="235"/>
    </row>
    <row r="9" spans="1:13" ht="114.75" customHeight="1" thickBot="1">
      <c r="A9" s="265" t="s">
        <v>286</v>
      </c>
      <c r="B9" s="242" t="str">
        <f>+MATERIALES!A3</f>
        <v>Materiales</v>
      </c>
      <c r="C9" s="243">
        <f>+MATERIALES!L46</f>
        <v>0</v>
      </c>
      <c r="D9" s="221" t="str">
        <f t="shared" si="0"/>
        <v/>
      </c>
      <c r="E9" s="244">
        <f>+MATERIALES!M4</f>
        <v>0.3</v>
      </c>
      <c r="F9" s="245">
        <f>Tabla2[[#This Row],[Costo]]/(1-Tabla2[[#This Row],[% de venta]])</f>
        <v>0</v>
      </c>
      <c r="G9" s="246">
        <f>+Tabla2[[#This Row],[P. Venta ]]-Tabla2[[#This Row],[Costo]]</f>
        <v>0</v>
      </c>
      <c r="H9" s="236"/>
    </row>
    <row r="10" spans="1:13" ht="57" customHeight="1" thickBot="1">
      <c r="A10" s="264"/>
      <c r="B10" s="398" t="str">
        <f>+'OPEX GV'!A3</f>
        <v>OPEX GV</v>
      </c>
      <c r="C10" s="399">
        <v>0</v>
      </c>
      <c r="D10" s="248" t="str">
        <f t="shared" si="0"/>
        <v/>
      </c>
      <c r="E10" s="218">
        <f>+'OPEX GV'!M4</f>
        <v>0.27400000000000002</v>
      </c>
      <c r="F10" s="219">
        <f>Tabla2[[#This Row],[Costo]]/(1-Tabla2[[#This Row],[% de venta]])</f>
        <v>0</v>
      </c>
      <c r="G10" s="247">
        <f>+Tabla2[[#This Row],[P. Venta ]]-Tabla2[[#This Row],[Costo]]</f>
        <v>0</v>
      </c>
      <c r="H10" s="249"/>
    </row>
    <row r="11" spans="1:13" ht="36.65" customHeight="1" thickBot="1">
      <c r="A11" s="139" t="s">
        <v>217</v>
      </c>
      <c r="B11" s="167" t="str">
        <f>+'OPEX Proyecto'!A3</f>
        <v>OPEX</v>
      </c>
      <c r="C11" s="212">
        <v>0</v>
      </c>
      <c r="D11" s="241" t="str">
        <f t="shared" si="0"/>
        <v/>
      </c>
      <c r="E11" s="222">
        <f>+'OPEX Proyecto'!M4</f>
        <v>0.3</v>
      </c>
      <c r="F11" s="223">
        <f>Tabla2[[#This Row],[Costo]]/(1-Tabla2[[#This Row],[% de venta]])</f>
        <v>0</v>
      </c>
      <c r="G11" s="224">
        <f>+Tabla2[[#This Row],[P. Venta ]]-Tabla2[[#This Row],[Costo]]</f>
        <v>0</v>
      </c>
      <c r="H11" s="234"/>
    </row>
    <row r="12" spans="1:13" ht="16" customHeight="1">
      <c r="A12" s="15"/>
      <c r="B12" s="143" t="s">
        <v>266</v>
      </c>
      <c r="C12" s="144">
        <f>SUBTOTAL(109,C4:C11)</f>
        <v>0</v>
      </c>
      <c r="D12" s="138">
        <f>SUBTOTAL(109,D4:D11)</f>
        <v>0</v>
      </c>
      <c r="E12" s="138">
        <f>+AVERAGE(E4:E11)</f>
        <v>0.29349999999999998</v>
      </c>
      <c r="F12" s="145">
        <f>SUBTOTAL(109,F4:F11)</f>
        <v>0</v>
      </c>
      <c r="G12" s="145">
        <f>SUBTOTAL(109,G4:G11)</f>
        <v>0</v>
      </c>
      <c r="H12" s="237"/>
    </row>
    <row r="13" spans="1:13" ht="16" customHeight="1">
      <c r="A13" s="15"/>
      <c r="C13" s="146"/>
      <c r="D13" s="147"/>
      <c r="E13" s="147"/>
      <c r="F13" s="148"/>
      <c r="G13" s="149"/>
    </row>
    <row r="14" spans="1:13" ht="16" customHeight="1">
      <c r="A14" s="15"/>
    </row>
    <row r="15" spans="1:13" ht="16" customHeight="1">
      <c r="A15" s="15"/>
      <c r="B15" s="252" t="s">
        <v>211</v>
      </c>
      <c r="C15" s="253">
        <f>F12</f>
        <v>0</v>
      </c>
    </row>
    <row r="16" spans="1:13" ht="16" customHeight="1">
      <c r="A16" s="15"/>
      <c r="B16" s="179" t="s">
        <v>214</v>
      </c>
      <c r="C16" s="254">
        <f>C12</f>
        <v>0</v>
      </c>
    </row>
    <row r="17" spans="1:9" ht="16" customHeight="1">
      <c r="A17" s="15"/>
      <c r="B17" s="179" t="s">
        <v>291</v>
      </c>
      <c r="C17" s="255">
        <f>C15-C16</f>
        <v>0</v>
      </c>
    </row>
    <row r="18" spans="1:9" ht="16" customHeight="1">
      <c r="A18" s="15"/>
      <c r="B18" s="179" t="s">
        <v>293</v>
      </c>
      <c r="C18" s="254">
        <f>C11</f>
        <v>0</v>
      </c>
    </row>
    <row r="19" spans="1:9" ht="16" customHeight="1">
      <c r="A19" s="15"/>
      <c r="B19" s="179" t="s">
        <v>294</v>
      </c>
      <c r="C19" s="254"/>
      <c r="D19" s="256"/>
    </row>
    <row r="20" spans="1:9">
      <c r="A20" s="15"/>
      <c r="B20" s="179" t="s">
        <v>296</v>
      </c>
      <c r="C20" s="254">
        <f>C15*3%</f>
        <v>0</v>
      </c>
    </row>
    <row r="21" spans="1:9" ht="13">
      <c r="A21" s="15"/>
      <c r="B21" s="257" t="s">
        <v>297</v>
      </c>
      <c r="C21" s="258">
        <f>+C17-SUM(C18:C20)</f>
        <v>0</v>
      </c>
    </row>
    <row r="22" spans="1:9">
      <c r="B22" s="179" t="s">
        <v>298</v>
      </c>
      <c r="C22" s="254">
        <v>0</v>
      </c>
      <c r="H22" s="184"/>
    </row>
    <row r="23" spans="1:9">
      <c r="B23" s="179" t="s">
        <v>299</v>
      </c>
      <c r="C23" s="259">
        <v>0</v>
      </c>
      <c r="G23" s="30"/>
      <c r="I23" s="184"/>
    </row>
    <row r="24" spans="1:9">
      <c r="B24" s="260" t="s">
        <v>300</v>
      </c>
      <c r="C24" s="261">
        <f>C21-C22-C23</f>
        <v>0</v>
      </c>
      <c r="G24" s="30"/>
    </row>
    <row r="25" spans="1:9">
      <c r="B25" s="179" t="s">
        <v>301</v>
      </c>
      <c r="C25" s="259">
        <f>C24*Tabla2[[#This Row],[% del costo]]</f>
        <v>0</v>
      </c>
      <c r="D25" s="262">
        <f>_xlfn.IFS(C24&lt;=D34,C34,C24&lt;=D35,C35,C24&gt;D36,C36)</f>
        <v>0.1</v>
      </c>
      <c r="G25" s="30"/>
    </row>
    <row r="26" spans="1:9" ht="13">
      <c r="B26" s="257" t="s">
        <v>302</v>
      </c>
      <c r="C26" s="258">
        <f>C24-C25</f>
        <v>0</v>
      </c>
      <c r="D26" s="31" t="str">
        <f>IFERROR(Tabla2[[#This Row],[Costo]]/F12,"")</f>
        <v/>
      </c>
      <c r="G26" s="30"/>
    </row>
    <row r="27" spans="1:9">
      <c r="B27" s="251"/>
      <c r="C27" s="18"/>
      <c r="D27" s="250"/>
      <c r="G27" s="30"/>
    </row>
    <row r="28" spans="1:9">
      <c r="B28" s="251"/>
      <c r="C28" s="18"/>
      <c r="D28" s="250"/>
      <c r="G28" s="30"/>
    </row>
    <row r="29" spans="1:9" ht="15.5">
      <c r="B29" s="198" t="s">
        <v>295</v>
      </c>
      <c r="C29" s="199">
        <f>C26</f>
        <v>0</v>
      </c>
      <c r="D29" s="200" t="str">
        <f>IFERROR(+C29/F12,"")</f>
        <v/>
      </c>
    </row>
    <row r="30" spans="1:9">
      <c r="B30" s="30"/>
      <c r="C30" s="18"/>
    </row>
    <row r="31" spans="1:9" ht="29.25" customHeight="1" thickBot="1">
      <c r="B31" s="30"/>
      <c r="C31" s="18"/>
      <c r="E31" s="231"/>
    </row>
    <row r="32" spans="1:9" ht="30.5" thickBot="1">
      <c r="A32" s="230" t="s">
        <v>303</v>
      </c>
      <c r="B32" s="514" t="s">
        <v>304</v>
      </c>
      <c r="C32" s="515"/>
      <c r="D32" s="516"/>
      <c r="F32"/>
    </row>
    <row r="33" spans="1:6" ht="30.5" thickBot="1">
      <c r="A33" s="230" t="s">
        <v>303</v>
      </c>
      <c r="B33" s="226" t="s">
        <v>305</v>
      </c>
      <c r="C33" s="229" t="s">
        <v>306</v>
      </c>
      <c r="D33" s="226" t="s">
        <v>307</v>
      </c>
    </row>
    <row r="34" spans="1:6" ht="47" thickBot="1">
      <c r="A34" s="230" t="s">
        <v>308</v>
      </c>
      <c r="B34" s="227">
        <v>54303000</v>
      </c>
      <c r="C34" s="228">
        <v>0.1</v>
      </c>
      <c r="D34" s="232">
        <f>B34/565</f>
        <v>96111.504424778759</v>
      </c>
    </row>
    <row r="35" spans="1:6" ht="13" thickBot="1">
      <c r="B35" s="227">
        <v>109228000</v>
      </c>
      <c r="C35" s="228">
        <v>0.2</v>
      </c>
      <c r="D35" s="232">
        <f t="shared" ref="D35:D36" si="1">B35/565</f>
        <v>193323.89380530972</v>
      </c>
      <c r="F35" s="15">
        <f>_xlfn.IFS(C14&lt;=D34,C34,C14&lt;=D35,C35,C14&gt;D36,C36)</f>
        <v>0.1</v>
      </c>
    </row>
    <row r="36" spans="1:6" ht="13" thickBot="1">
      <c r="B36" s="227">
        <v>109228000</v>
      </c>
      <c r="C36" s="228">
        <v>0.3</v>
      </c>
      <c r="D36" s="232">
        <f t="shared" si="1"/>
        <v>193323.89380530972</v>
      </c>
    </row>
    <row r="37" spans="1:6">
      <c r="B37" s="225"/>
      <c r="C37" s="201"/>
      <c r="D37" s="231"/>
    </row>
  </sheetData>
  <mergeCells count="4">
    <mergeCell ref="B32:D32"/>
    <mergeCell ref="J2:M2"/>
    <mergeCell ref="B2:G2"/>
    <mergeCell ref="A4:A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44AA-A5C7-44E6-A812-9DCD8B5CB8B3}">
  <dimension ref="B1:L52"/>
  <sheetViews>
    <sheetView topLeftCell="A14" zoomScale="70" zoomScaleNormal="70" workbookViewId="0">
      <selection activeCell="N18" sqref="N18"/>
    </sheetView>
  </sheetViews>
  <sheetFormatPr defaultColWidth="11.453125" defaultRowHeight="14.5"/>
  <cols>
    <col min="1" max="1" width="11.453125" style="278"/>
    <col min="2" max="2" width="5.81640625" style="278" customWidth="1"/>
    <col min="3" max="3" width="10.7265625" style="278" customWidth="1"/>
    <col min="4" max="4" width="11.7265625" style="282" hidden="1" customWidth="1"/>
    <col min="5" max="5" width="11.54296875" style="278" hidden="1" customWidth="1"/>
    <col min="6" max="6" width="39.54296875" style="278" customWidth="1"/>
    <col min="7" max="7" width="13.1796875" style="278" hidden="1" customWidth="1"/>
    <col min="8" max="8" width="32.81640625" style="278" customWidth="1"/>
    <col min="9" max="9" width="28.81640625" style="278" customWidth="1"/>
    <col min="10" max="11" width="38" style="278" customWidth="1"/>
    <col min="12" max="12" width="50.1796875" style="278" hidden="1" customWidth="1"/>
    <col min="13" max="16384" width="11.453125" style="278"/>
  </cols>
  <sheetData>
    <row r="1" spans="2:11">
      <c r="B1" s="276" t="s">
        <v>309</v>
      </c>
      <c r="C1" s="276" t="s">
        <v>310</v>
      </c>
      <c r="D1" s="277" t="s">
        <v>311</v>
      </c>
      <c r="E1" s="276" t="s">
        <v>312</v>
      </c>
      <c r="F1" s="276" t="s">
        <v>14</v>
      </c>
    </row>
    <row r="2" spans="2:11">
      <c r="B2" s="279">
        <v>1</v>
      </c>
      <c r="C2" s="280" t="s">
        <v>313</v>
      </c>
      <c r="D2" s="281">
        <v>1</v>
      </c>
      <c r="E2" s="280"/>
      <c r="F2" s="280">
        <f>E2*D2</f>
        <v>0</v>
      </c>
    </row>
    <row r="3" spans="2:11">
      <c r="B3" s="279">
        <v>2</v>
      </c>
      <c r="C3" s="280" t="s">
        <v>314</v>
      </c>
      <c r="D3" s="281">
        <v>1</v>
      </c>
      <c r="E3" s="280">
        <v>0</v>
      </c>
      <c r="F3" s="280">
        <f>E3*D3</f>
        <v>0</v>
      </c>
    </row>
    <row r="4" spans="2:11">
      <c r="B4" s="279">
        <v>3</v>
      </c>
      <c r="C4" s="280" t="s">
        <v>315</v>
      </c>
      <c r="D4" s="281">
        <v>1</v>
      </c>
      <c r="E4" s="280">
        <v>0</v>
      </c>
      <c r="F4" s="280">
        <f>E4*D4</f>
        <v>0</v>
      </c>
    </row>
    <row r="5" spans="2:11">
      <c r="B5" s="279">
        <v>5</v>
      </c>
      <c r="C5" s="280" t="s">
        <v>316</v>
      </c>
      <c r="D5" s="281">
        <v>1</v>
      </c>
      <c r="E5" s="280">
        <v>0</v>
      </c>
      <c r="F5" s="280">
        <f>E5*D5</f>
        <v>0</v>
      </c>
    </row>
    <row r="6" spans="2:11">
      <c r="B6" s="279">
        <v>6</v>
      </c>
      <c r="C6" s="280" t="s">
        <v>317</v>
      </c>
      <c r="D6" s="281">
        <v>1</v>
      </c>
      <c r="E6" s="280">
        <v>0</v>
      </c>
      <c r="F6" s="280">
        <f>E6*D6</f>
        <v>0</v>
      </c>
    </row>
    <row r="7" spans="2:11">
      <c r="E7" s="283" t="s">
        <v>318</v>
      </c>
      <c r="F7" s="283">
        <f>SUM(F2:F6)</f>
        <v>0</v>
      </c>
    </row>
    <row r="8" spans="2:11">
      <c r="B8" s="279">
        <v>4</v>
      </c>
      <c r="C8" s="280" t="s">
        <v>319</v>
      </c>
      <c r="D8" s="281">
        <v>1</v>
      </c>
      <c r="E8" s="280">
        <v>0</v>
      </c>
      <c r="F8" s="280">
        <f>E8*D8</f>
        <v>0</v>
      </c>
    </row>
    <row r="9" spans="2:11">
      <c r="E9" s="283" t="s">
        <v>320</v>
      </c>
      <c r="F9" s="283">
        <f>F7*0.13</f>
        <v>0</v>
      </c>
    </row>
    <row r="10" spans="2:11">
      <c r="E10" s="283" t="s">
        <v>14</v>
      </c>
      <c r="F10" s="283">
        <f>SUM(F7:F9)</f>
        <v>0</v>
      </c>
    </row>
    <row r="15" spans="2:11" ht="15.5">
      <c r="B15" s="284" t="s">
        <v>309</v>
      </c>
      <c r="C15" s="285" t="s">
        <v>8</v>
      </c>
      <c r="D15" s="285" t="s">
        <v>321</v>
      </c>
      <c r="E15" s="285" t="s">
        <v>322</v>
      </c>
      <c r="F15" s="285" t="s">
        <v>323</v>
      </c>
      <c r="G15" s="285" t="s">
        <v>323</v>
      </c>
      <c r="H15" s="527" t="s">
        <v>324</v>
      </c>
      <c r="I15" s="528"/>
      <c r="J15" s="286" t="s">
        <v>246</v>
      </c>
      <c r="K15" s="287" t="s">
        <v>318</v>
      </c>
    </row>
    <row r="16" spans="2:11" ht="21" customHeight="1">
      <c r="B16" s="529"/>
      <c r="C16" s="530"/>
      <c r="D16" s="530"/>
      <c r="E16" s="530"/>
      <c r="F16" s="530"/>
      <c r="G16" s="530"/>
      <c r="H16" s="530"/>
      <c r="I16" s="530"/>
      <c r="J16" s="530"/>
      <c r="K16" s="531"/>
    </row>
    <row r="17" spans="2:12" ht="67.5" customHeight="1">
      <c r="B17" s="288">
        <v>1</v>
      </c>
      <c r="C17" s="289"/>
      <c r="D17" s="290"/>
      <c r="E17" s="290"/>
      <c r="F17" s="291"/>
      <c r="G17" s="304"/>
      <c r="H17" s="534"/>
      <c r="I17" s="535"/>
      <c r="J17" s="292"/>
      <c r="K17" s="292">
        <f t="shared" ref="K17:K20" si="0">+J17*C17</f>
        <v>0</v>
      </c>
    </row>
    <row r="18" spans="2:12" ht="55.5" customHeight="1">
      <c r="B18" s="288">
        <v>2</v>
      </c>
      <c r="C18" s="289">
        <f>+Equipos!D6</f>
        <v>0</v>
      </c>
      <c r="D18" s="290"/>
      <c r="E18" s="290"/>
      <c r="F18" s="291"/>
      <c r="G18" s="304"/>
      <c r="H18" s="534">
        <f>+Equipos!B6</f>
        <v>0</v>
      </c>
      <c r="I18" s="535"/>
      <c r="J18" s="292">
        <f>+Equipos!O6</f>
        <v>0</v>
      </c>
      <c r="K18" s="292">
        <f t="shared" si="0"/>
        <v>0</v>
      </c>
      <c r="L18" s="533"/>
    </row>
    <row r="19" spans="2:12" ht="134.25" customHeight="1">
      <c r="B19" s="288">
        <v>3</v>
      </c>
      <c r="C19" s="289">
        <f>+Equipos!D7</f>
        <v>0</v>
      </c>
      <c r="D19" s="290"/>
      <c r="E19" s="290"/>
      <c r="F19" s="291"/>
      <c r="G19" s="304"/>
      <c r="H19" s="534">
        <f>+Equipos!B7</f>
        <v>0</v>
      </c>
      <c r="I19" s="535"/>
      <c r="J19" s="292">
        <f>+Equipos!O7</f>
        <v>0</v>
      </c>
      <c r="K19" s="292">
        <f t="shared" si="0"/>
        <v>0</v>
      </c>
      <c r="L19" s="533"/>
    </row>
    <row r="20" spans="2:12" ht="40.5" customHeight="1">
      <c r="B20" s="288">
        <v>4</v>
      </c>
      <c r="C20" s="289"/>
      <c r="D20" s="290"/>
      <c r="E20" s="290"/>
      <c r="F20" s="291"/>
      <c r="G20" s="304"/>
      <c r="H20" s="534"/>
      <c r="I20" s="535"/>
      <c r="J20" s="292"/>
      <c r="K20" s="292">
        <f t="shared" si="0"/>
        <v>0</v>
      </c>
    </row>
    <row r="21" spans="2:12" ht="38.25" hidden="1" customHeight="1">
      <c r="B21" s="288">
        <v>5</v>
      </c>
      <c r="C21" s="289"/>
      <c r="D21" s="290"/>
      <c r="E21" s="290"/>
      <c r="F21" s="291"/>
      <c r="G21" s="304"/>
      <c r="H21" s="534"/>
      <c r="I21" s="535"/>
      <c r="J21" s="292"/>
      <c r="K21" s="292">
        <f>J21*C21</f>
        <v>0</v>
      </c>
    </row>
    <row r="22" spans="2:12" ht="40.5" hidden="1" customHeight="1">
      <c r="B22" s="288">
        <v>6</v>
      </c>
      <c r="C22" s="289"/>
      <c r="D22" s="290"/>
      <c r="E22" s="290"/>
      <c r="F22" s="291"/>
      <c r="G22" s="304"/>
      <c r="H22" s="534"/>
      <c r="I22" s="535"/>
      <c r="J22" s="292"/>
      <c r="K22" s="292">
        <f>J22*C22</f>
        <v>0</v>
      </c>
    </row>
    <row r="23" spans="2:12" ht="40.5" hidden="1" customHeight="1">
      <c r="B23" s="288">
        <v>7</v>
      </c>
      <c r="C23" s="289">
        <f>+'Productos 5'!C9</f>
        <v>0</v>
      </c>
      <c r="D23" s="290"/>
      <c r="E23" s="290"/>
      <c r="F23" s="291"/>
      <c r="G23" s="304"/>
      <c r="H23" s="536"/>
      <c r="I23" s="536"/>
      <c r="J23" s="292">
        <f>+'Productos 5'!N9</f>
        <v>0</v>
      </c>
      <c r="K23" s="292">
        <f t="shared" ref="K23:K25" si="1">J23*C23</f>
        <v>0</v>
      </c>
    </row>
    <row r="24" spans="2:12" ht="38.25" hidden="1" customHeight="1">
      <c r="B24" s="288">
        <v>6</v>
      </c>
      <c r="C24" s="289">
        <f>+'Productos 5'!C10</f>
        <v>0</v>
      </c>
      <c r="D24" s="290"/>
      <c r="E24" s="290"/>
      <c r="F24" s="291"/>
      <c r="G24" s="304"/>
      <c r="H24" s="536"/>
      <c r="I24" s="536"/>
      <c r="J24" s="292">
        <f>+'Productos 5'!N10</f>
        <v>0</v>
      </c>
      <c r="K24" s="292">
        <f t="shared" si="1"/>
        <v>0</v>
      </c>
    </row>
    <row r="25" spans="2:12" ht="40.5" hidden="1" customHeight="1">
      <c r="B25" s="288">
        <v>7</v>
      </c>
      <c r="C25" s="289">
        <f>+'Productos 5'!C11</f>
        <v>0</v>
      </c>
      <c r="D25" s="290"/>
      <c r="E25" s="290"/>
      <c r="F25" s="291"/>
      <c r="G25" s="304"/>
      <c r="H25" s="536"/>
      <c r="I25" s="536"/>
      <c r="J25" s="292">
        <f>+'Productos 5'!N11</f>
        <v>0</v>
      </c>
      <c r="K25" s="292">
        <f t="shared" si="1"/>
        <v>0</v>
      </c>
    </row>
    <row r="26" spans="2:12" ht="15.75" hidden="1" customHeight="1">
      <c r="B26" s="524" t="s">
        <v>325</v>
      </c>
      <c r="C26" s="525"/>
      <c r="D26" s="525"/>
      <c r="E26" s="525"/>
      <c r="F26" s="525"/>
      <c r="G26" s="525"/>
      <c r="H26" s="525"/>
      <c r="I26" s="525"/>
      <c r="J26" s="525"/>
      <c r="K26" s="526"/>
    </row>
    <row r="27" spans="2:12" ht="15.5">
      <c r="B27" s="293"/>
      <c r="C27" s="294"/>
      <c r="D27" s="294"/>
      <c r="E27" s="294"/>
      <c r="F27" s="294"/>
      <c r="G27" s="294"/>
      <c r="H27" s="294"/>
      <c r="I27" s="295"/>
      <c r="J27" s="296" t="s">
        <v>326</v>
      </c>
      <c r="K27" s="297">
        <f>SUM(K17:K25)</f>
        <v>0</v>
      </c>
    </row>
    <row r="28" spans="2:12" ht="15.5" hidden="1">
      <c r="B28" s="293"/>
      <c r="C28" s="294"/>
      <c r="D28" s="294"/>
      <c r="E28" s="294"/>
      <c r="F28" s="294"/>
      <c r="G28" s="294"/>
      <c r="H28" s="294"/>
      <c r="I28" s="295"/>
      <c r="J28" s="296" t="s">
        <v>327</v>
      </c>
      <c r="K28" s="298">
        <f>+MATERIALES!O46</f>
        <v>0</v>
      </c>
    </row>
    <row r="29" spans="2:12" ht="63" hidden="1" customHeight="1">
      <c r="B29" s="293"/>
      <c r="C29" s="294"/>
      <c r="D29" s="294"/>
      <c r="E29" s="294"/>
      <c r="F29" s="294"/>
      <c r="G29" s="294"/>
      <c r="H29" s="294"/>
      <c r="I29" s="295"/>
      <c r="J29" s="305" t="s">
        <v>328</v>
      </c>
      <c r="K29" s="337">
        <f>+'OPEX GV'!O17</f>
        <v>0</v>
      </c>
    </row>
    <row r="30" spans="2:12" ht="16" thickBot="1">
      <c r="B30" s="293"/>
      <c r="C30" s="294"/>
      <c r="D30" s="294"/>
      <c r="E30" s="294"/>
      <c r="F30" s="294"/>
      <c r="G30" s="294"/>
      <c r="H30" s="294"/>
      <c r="I30" s="295"/>
      <c r="J30" s="296" t="s">
        <v>329</v>
      </c>
      <c r="K30" s="339">
        <f>(K27+K28+K29)*0.13</f>
        <v>0</v>
      </c>
    </row>
    <row r="31" spans="2:12" ht="20">
      <c r="B31" s="299"/>
      <c r="C31" s="300"/>
      <c r="D31" s="300"/>
      <c r="E31" s="300"/>
      <c r="F31" s="300"/>
      <c r="G31" s="300"/>
      <c r="H31" s="300"/>
      <c r="I31" s="301"/>
      <c r="J31" s="302" t="s">
        <v>330</v>
      </c>
      <c r="K31" s="338">
        <f>SUM(K27:K30)</f>
        <v>0</v>
      </c>
    </row>
    <row r="39" spans="2:11">
      <c r="K39" s="278">
        <f>K31*635</f>
        <v>0</v>
      </c>
    </row>
    <row r="44" spans="2:11" ht="15.5">
      <c r="B44" s="284" t="s">
        <v>309</v>
      </c>
      <c r="C44" s="285" t="s">
        <v>8</v>
      </c>
      <c r="D44" s="285"/>
      <c r="E44" s="285"/>
      <c r="F44" s="285" t="s">
        <v>331</v>
      </c>
      <c r="G44" s="285" t="s">
        <v>323</v>
      </c>
      <c r="H44" s="527" t="s">
        <v>324</v>
      </c>
      <c r="I44" s="528"/>
      <c r="J44" s="286" t="s">
        <v>246</v>
      </c>
      <c r="K44" s="287" t="s">
        <v>318</v>
      </c>
    </row>
    <row r="45" spans="2:11" ht="18">
      <c r="B45" s="529" t="s">
        <v>332</v>
      </c>
      <c r="C45" s="530"/>
      <c r="D45" s="530"/>
      <c r="E45" s="530"/>
      <c r="F45" s="530"/>
      <c r="G45" s="530"/>
      <c r="H45" s="530"/>
      <c r="I45" s="530"/>
      <c r="J45" s="530"/>
      <c r="K45" s="531"/>
    </row>
    <row r="46" spans="2:11" ht="173.25" customHeight="1">
      <c r="B46" s="288">
        <v>1</v>
      </c>
      <c r="C46" s="289">
        <v>1</v>
      </c>
      <c r="D46" s="290"/>
      <c r="E46" s="290"/>
      <c r="F46" s="291"/>
      <c r="G46" s="304" t="s">
        <v>333</v>
      </c>
      <c r="H46" s="532">
        <f>'Productos 2'!A6</f>
        <v>0</v>
      </c>
      <c r="I46" s="532"/>
      <c r="J46" s="292">
        <f>'Productos 2'!N6</f>
        <v>0</v>
      </c>
      <c r="K46" s="292">
        <f>+J46*C46</f>
        <v>0</v>
      </c>
    </row>
    <row r="47" spans="2:11">
      <c r="B47" s="524" t="s">
        <v>325</v>
      </c>
      <c r="C47" s="525"/>
      <c r="D47" s="525"/>
      <c r="E47" s="525"/>
      <c r="F47" s="525"/>
      <c r="G47" s="525"/>
      <c r="H47" s="525"/>
      <c r="I47" s="525"/>
      <c r="J47" s="525"/>
      <c r="K47" s="526"/>
    </row>
    <row r="48" spans="2:11" ht="15.5">
      <c r="B48" s="293"/>
      <c r="C48" s="294"/>
      <c r="D48" s="294"/>
      <c r="E48" s="294"/>
      <c r="F48" s="294"/>
      <c r="G48" s="294"/>
      <c r="H48" s="294"/>
      <c r="I48" s="295"/>
      <c r="J48" s="296" t="s">
        <v>326</v>
      </c>
      <c r="K48" s="297">
        <f>K46</f>
        <v>0</v>
      </c>
    </row>
    <row r="49" spans="2:11" ht="15.5" hidden="1">
      <c r="B49" s="293"/>
      <c r="C49" s="294"/>
      <c r="D49" s="294"/>
      <c r="E49" s="294"/>
      <c r="F49" s="294"/>
      <c r="G49" s="294"/>
      <c r="H49" s="294"/>
      <c r="I49" s="295"/>
      <c r="J49" s="296" t="s">
        <v>327</v>
      </c>
      <c r="K49" s="298">
        <f>+MATERIALES!O83</f>
        <v>0</v>
      </c>
    </row>
    <row r="50" spans="2:11" ht="15.5" hidden="1">
      <c r="B50" s="293"/>
      <c r="C50" s="294"/>
      <c r="D50" s="294"/>
      <c r="E50" s="294"/>
      <c r="F50" s="294"/>
      <c r="G50" s="294"/>
      <c r="H50" s="294"/>
      <c r="I50" s="295"/>
      <c r="J50" s="296" t="s">
        <v>328</v>
      </c>
      <c r="K50" s="298">
        <v>0</v>
      </c>
    </row>
    <row r="51" spans="2:11" ht="15.5">
      <c r="B51" s="293"/>
      <c r="C51" s="294"/>
      <c r="D51" s="294"/>
      <c r="E51" s="294"/>
      <c r="F51" s="294"/>
      <c r="G51" s="294"/>
      <c r="H51" s="294"/>
      <c r="I51" s="295"/>
      <c r="J51" s="296" t="s">
        <v>329</v>
      </c>
      <c r="K51" s="298">
        <f>(K48+K49+K50)*0.13</f>
        <v>0</v>
      </c>
    </row>
    <row r="52" spans="2:11" ht="20">
      <c r="B52" s="299"/>
      <c r="C52" s="300"/>
      <c r="D52" s="300"/>
      <c r="E52" s="300"/>
      <c r="F52" s="300"/>
      <c r="G52" s="300"/>
      <c r="H52" s="300"/>
      <c r="I52" s="301"/>
      <c r="J52" s="302" t="s">
        <v>330</v>
      </c>
      <c r="K52" s="303">
        <f>SUM(K48:K51)</f>
        <v>0</v>
      </c>
    </row>
  </sheetData>
  <mergeCells count="17">
    <mergeCell ref="H25:I25"/>
    <mergeCell ref="H17:I17"/>
    <mergeCell ref="H18:I18"/>
    <mergeCell ref="H19:I19"/>
    <mergeCell ref="H24:I24"/>
    <mergeCell ref="H23:I23"/>
    <mergeCell ref="H22:I22"/>
    <mergeCell ref="L18:L19"/>
    <mergeCell ref="H20:I20"/>
    <mergeCell ref="H21:I21"/>
    <mergeCell ref="H15:I15"/>
    <mergeCell ref="B16:K16"/>
    <mergeCell ref="B47:K47"/>
    <mergeCell ref="H44:I44"/>
    <mergeCell ref="B45:K45"/>
    <mergeCell ref="H46:I46"/>
    <mergeCell ref="B26:K26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B9FF-CB57-4AE7-9505-9440C76824F6}">
  <sheetPr>
    <pageSetUpPr fitToPage="1"/>
  </sheetPr>
  <dimension ref="B1:N92"/>
  <sheetViews>
    <sheetView topLeftCell="A22" zoomScale="90" zoomScaleNormal="90" workbookViewId="0">
      <selection activeCell="P40" sqref="P40"/>
    </sheetView>
  </sheetViews>
  <sheetFormatPr defaultColWidth="9.1796875" defaultRowHeight="14.5"/>
  <cols>
    <col min="1" max="1" width="3.453125" style="341" customWidth="1"/>
    <col min="2" max="2" width="16.7265625" style="341" customWidth="1"/>
    <col min="3" max="3" width="15.7265625" style="341" customWidth="1"/>
    <col min="4" max="4" width="14" style="341" customWidth="1"/>
    <col min="5" max="5" width="14.1796875" style="341" customWidth="1"/>
    <col min="6" max="6" width="9.1796875" style="341" bestFit="1" customWidth="1"/>
    <col min="7" max="7" width="2.81640625" style="341" customWidth="1"/>
    <col min="8" max="8" width="27.54296875" style="341" customWidth="1"/>
    <col min="9" max="9" width="16.1796875" style="341" customWidth="1"/>
    <col min="10" max="10" width="16.7265625" style="343" customWidth="1"/>
    <col min="11" max="11" width="12.26953125" style="341" customWidth="1"/>
    <col min="12" max="16384" width="9.1796875" style="341"/>
  </cols>
  <sheetData>
    <row r="1" spans="2:10">
      <c r="H1" s="344"/>
      <c r="I1" s="345"/>
      <c r="J1" s="346" t="s">
        <v>334</v>
      </c>
    </row>
    <row r="5" spans="2:10" ht="17.5">
      <c r="B5" s="546" t="s">
        <v>335</v>
      </c>
      <c r="C5" s="546"/>
      <c r="F5" s="344"/>
      <c r="I5" s="347" t="s">
        <v>336</v>
      </c>
    </row>
    <row r="6" spans="2:10" ht="15" customHeight="1">
      <c r="B6" s="547" t="s">
        <v>337</v>
      </c>
      <c r="C6" s="547"/>
      <c r="D6" s="547"/>
      <c r="E6" s="547"/>
      <c r="F6" s="547"/>
    </row>
    <row r="7" spans="2:10">
      <c r="B7" s="341" t="s">
        <v>338</v>
      </c>
    </row>
    <row r="8" spans="2:10">
      <c r="B8" s="341" t="s">
        <v>339</v>
      </c>
    </row>
    <row r="9" spans="2:10" ht="18.75" customHeight="1">
      <c r="B9" s="348"/>
      <c r="C9" s="348"/>
      <c r="D9" s="348"/>
      <c r="E9" s="348"/>
      <c r="F9" s="348"/>
      <c r="G9" s="349"/>
      <c r="H9" s="349"/>
      <c r="I9" s="348"/>
      <c r="J9" s="350"/>
    </row>
    <row r="10" spans="2:10" ht="18.75" customHeight="1">
      <c r="G10" s="351"/>
      <c r="H10" s="351"/>
      <c r="J10" s="438" t="s">
        <v>519</v>
      </c>
    </row>
    <row r="12" spans="2:10">
      <c r="B12" s="353" t="s">
        <v>340</v>
      </c>
      <c r="C12" s="548"/>
      <c r="D12" s="548"/>
      <c r="E12" s="548"/>
      <c r="F12" s="548"/>
      <c r="G12" s="548"/>
      <c r="I12" s="341" t="s">
        <v>341</v>
      </c>
      <c r="J12" s="354">
        <f ca="1">TODAY()</f>
        <v>46314</v>
      </c>
    </row>
    <row r="13" spans="2:10">
      <c r="B13" s="430" t="s">
        <v>522</v>
      </c>
      <c r="C13" s="549"/>
      <c r="D13" s="550"/>
      <c r="E13" s="550"/>
      <c r="F13" s="550"/>
      <c r="G13" s="550"/>
      <c r="I13" s="341" t="s">
        <v>342</v>
      </c>
      <c r="J13" s="355" t="s">
        <v>527</v>
      </c>
    </row>
    <row r="14" spans="2:10">
      <c r="B14" s="430" t="s">
        <v>523</v>
      </c>
      <c r="C14" s="545"/>
      <c r="D14" s="545"/>
      <c r="E14" s="545"/>
      <c r="F14" s="545"/>
      <c r="G14" s="545"/>
      <c r="I14" s="341" t="s">
        <v>343</v>
      </c>
      <c r="J14" s="356" t="s">
        <v>518</v>
      </c>
    </row>
    <row r="15" spans="2:10">
      <c r="B15" s="430" t="s">
        <v>521</v>
      </c>
      <c r="C15" s="435"/>
      <c r="D15" s="436"/>
      <c r="E15" s="436"/>
      <c r="F15" s="436"/>
      <c r="G15" s="436"/>
      <c r="I15" s="437" t="s">
        <v>344</v>
      </c>
      <c r="J15" s="356" t="s">
        <v>345</v>
      </c>
    </row>
    <row r="16" spans="2:10">
      <c r="B16" s="430" t="s">
        <v>525</v>
      </c>
      <c r="C16" s="435" t="s">
        <v>528</v>
      </c>
      <c r="D16" s="436"/>
      <c r="E16" s="436"/>
      <c r="F16" s="436"/>
      <c r="G16" s="436"/>
      <c r="I16" s="437" t="s">
        <v>526</v>
      </c>
      <c r="J16" s="356"/>
    </row>
    <row r="17" spans="2:14">
      <c r="B17" s="430" t="s">
        <v>524</v>
      </c>
      <c r="C17" s="435"/>
      <c r="D17" s="436"/>
      <c r="E17" s="436"/>
      <c r="F17" s="436"/>
      <c r="G17" s="436"/>
      <c r="J17" s="341"/>
    </row>
    <row r="18" spans="2:14" hidden="1">
      <c r="B18" s="353"/>
      <c r="C18" s="545"/>
      <c r="D18" s="545"/>
      <c r="E18" s="545"/>
      <c r="F18" s="545"/>
      <c r="G18" s="545"/>
      <c r="J18" s="357"/>
    </row>
    <row r="19" spans="2:14" ht="18" customHeight="1"/>
    <row r="20" spans="2:14" ht="15.5">
      <c r="B20" s="358" t="s">
        <v>8</v>
      </c>
      <c r="C20" s="551" t="s">
        <v>310</v>
      </c>
      <c r="D20" s="552"/>
      <c r="E20" s="552"/>
      <c r="F20" s="552"/>
      <c r="G20" s="552"/>
      <c r="H20" s="553"/>
      <c r="I20" s="359" t="s">
        <v>346</v>
      </c>
      <c r="J20" s="360" t="s">
        <v>347</v>
      </c>
    </row>
    <row r="21" spans="2:14" ht="15.5">
      <c r="B21" s="431"/>
      <c r="C21" s="554" t="s">
        <v>516</v>
      </c>
      <c r="D21" s="555"/>
      <c r="E21" s="555"/>
      <c r="F21" s="555"/>
      <c r="G21" s="555"/>
      <c r="H21" s="556"/>
      <c r="I21" s="432"/>
      <c r="J21" s="433"/>
    </row>
    <row r="22" spans="2:14" ht="42" customHeight="1">
      <c r="B22" s="476">
        <f>Equipos!D6</f>
        <v>0</v>
      </c>
      <c r="C22" s="537">
        <f>Equipos!B6</f>
        <v>0</v>
      </c>
      <c r="D22" s="538"/>
      <c r="E22" s="538"/>
      <c r="F22" s="538"/>
      <c r="G22" s="538"/>
      <c r="H22" s="539"/>
      <c r="I22" s="477">
        <f>Equipos!O6</f>
        <v>0</v>
      </c>
      <c r="J22" s="477">
        <f t="shared" ref="J22:J25" si="0">I22*B22</f>
        <v>0</v>
      </c>
    </row>
    <row r="23" spans="2:14" s="342" customFormat="1" ht="52.5" customHeight="1">
      <c r="B23" s="476">
        <f>Equipos!D7</f>
        <v>0</v>
      </c>
      <c r="C23" s="537">
        <f>Equipos!B7</f>
        <v>0</v>
      </c>
      <c r="D23" s="538"/>
      <c r="E23" s="538"/>
      <c r="F23" s="538"/>
      <c r="G23" s="538"/>
      <c r="H23" s="539"/>
      <c r="I23" s="477">
        <f>Equipos!O7</f>
        <v>0</v>
      </c>
      <c r="J23" s="477">
        <f t="shared" si="0"/>
        <v>0</v>
      </c>
      <c r="N23" s="361"/>
    </row>
    <row r="24" spans="2:14" s="342" customFormat="1" ht="57.75" customHeight="1">
      <c r="B24" s="476">
        <f>Equipos!D8</f>
        <v>0</v>
      </c>
      <c r="C24" s="537">
        <f>Equipos!B8</f>
        <v>0</v>
      </c>
      <c r="D24" s="538"/>
      <c r="E24" s="538"/>
      <c r="F24" s="538"/>
      <c r="G24" s="538"/>
      <c r="H24" s="539"/>
      <c r="I24" s="477">
        <f>Equipos!O8</f>
        <v>0</v>
      </c>
      <c r="J24" s="477">
        <f t="shared" si="0"/>
        <v>0</v>
      </c>
      <c r="N24" s="361"/>
    </row>
    <row r="25" spans="2:14" s="342" customFormat="1" ht="53.25" customHeight="1">
      <c r="B25" s="476">
        <f>Equipos!D9</f>
        <v>0</v>
      </c>
      <c r="C25" s="537">
        <f>Equipos!B9</f>
        <v>0</v>
      </c>
      <c r="D25" s="538"/>
      <c r="E25" s="538"/>
      <c r="F25" s="538"/>
      <c r="G25" s="538"/>
      <c r="H25" s="539"/>
      <c r="I25" s="477">
        <f>Equipos!O9</f>
        <v>0</v>
      </c>
      <c r="J25" s="477">
        <f t="shared" si="0"/>
        <v>0</v>
      </c>
      <c r="N25" s="361"/>
    </row>
    <row r="26" spans="2:14" s="342" customFormat="1" ht="53.25" customHeight="1">
      <c r="B26" s="476">
        <f>Equipos!D10</f>
        <v>0</v>
      </c>
      <c r="C26" s="537">
        <f>Equipos!B10</f>
        <v>0</v>
      </c>
      <c r="D26" s="538"/>
      <c r="E26" s="538"/>
      <c r="F26" s="538"/>
      <c r="G26" s="538"/>
      <c r="H26" s="539"/>
      <c r="I26" s="477">
        <f>Equipos!O10</f>
        <v>0</v>
      </c>
      <c r="J26" s="477">
        <f t="shared" ref="J26:J71" si="1">I26*B26</f>
        <v>0</v>
      </c>
      <c r="N26" s="361"/>
    </row>
    <row r="27" spans="2:14" s="342" customFormat="1" ht="53.25" customHeight="1">
      <c r="B27" s="476">
        <f>Equipos!D11</f>
        <v>0</v>
      </c>
      <c r="C27" s="537">
        <f>Equipos!B11</f>
        <v>0</v>
      </c>
      <c r="D27" s="538"/>
      <c r="E27" s="538"/>
      <c r="F27" s="538"/>
      <c r="G27" s="538"/>
      <c r="H27" s="539"/>
      <c r="I27" s="477">
        <f>Equipos!O11</f>
        <v>0</v>
      </c>
      <c r="J27" s="477">
        <f t="shared" si="1"/>
        <v>0</v>
      </c>
      <c r="N27" s="361"/>
    </row>
    <row r="28" spans="2:14" s="342" customFormat="1" ht="53.25" customHeight="1">
      <c r="B28" s="476">
        <f>Equipos!D12</f>
        <v>0</v>
      </c>
      <c r="C28" s="537">
        <f>Equipos!B12</f>
        <v>0</v>
      </c>
      <c r="D28" s="538"/>
      <c r="E28" s="538"/>
      <c r="F28" s="538"/>
      <c r="G28" s="538"/>
      <c r="H28" s="539"/>
      <c r="I28" s="477">
        <f>Equipos!O12</f>
        <v>0</v>
      </c>
      <c r="J28" s="477">
        <f t="shared" si="1"/>
        <v>0</v>
      </c>
      <c r="N28" s="361"/>
    </row>
    <row r="29" spans="2:14" s="342" customFormat="1" ht="53.25" customHeight="1">
      <c r="B29" s="476">
        <f>Equipos!D13</f>
        <v>0</v>
      </c>
      <c r="C29" s="537">
        <f>Equipos!B13</f>
        <v>0</v>
      </c>
      <c r="D29" s="538"/>
      <c r="E29" s="538"/>
      <c r="F29" s="538"/>
      <c r="G29" s="538"/>
      <c r="H29" s="539"/>
      <c r="I29" s="477">
        <f>Equipos!O13</f>
        <v>0</v>
      </c>
      <c r="J29" s="477">
        <f t="shared" si="1"/>
        <v>0</v>
      </c>
      <c r="N29" s="361"/>
    </row>
    <row r="30" spans="2:14" s="342" customFormat="1" ht="53.25" customHeight="1">
      <c r="B30" s="476">
        <f>Equipos!D14</f>
        <v>0</v>
      </c>
      <c r="C30" s="537">
        <f>Equipos!B14</f>
        <v>0</v>
      </c>
      <c r="D30" s="538"/>
      <c r="E30" s="538"/>
      <c r="F30" s="538"/>
      <c r="G30" s="538"/>
      <c r="H30" s="539"/>
      <c r="I30" s="477">
        <f>Equipos!O14</f>
        <v>0</v>
      </c>
      <c r="J30" s="477">
        <f t="shared" si="1"/>
        <v>0</v>
      </c>
      <c r="N30" s="361"/>
    </row>
    <row r="31" spans="2:14" s="342" customFormat="1" ht="53.25" customHeight="1">
      <c r="B31" s="476">
        <f>Equipos!D15</f>
        <v>0</v>
      </c>
      <c r="C31" s="537">
        <f>Equipos!B15</f>
        <v>0</v>
      </c>
      <c r="D31" s="538"/>
      <c r="E31" s="538"/>
      <c r="F31" s="538"/>
      <c r="G31" s="538"/>
      <c r="H31" s="539"/>
      <c r="I31" s="477">
        <f>Equipos!O15</f>
        <v>0</v>
      </c>
      <c r="J31" s="477">
        <f t="shared" si="1"/>
        <v>0</v>
      </c>
      <c r="N31" s="361"/>
    </row>
    <row r="32" spans="2:14" s="342" customFormat="1" ht="53.25" customHeight="1">
      <c r="B32" s="476">
        <f>Equipos!D16</f>
        <v>0</v>
      </c>
      <c r="C32" s="537">
        <f>Equipos!B16</f>
        <v>0</v>
      </c>
      <c r="D32" s="538"/>
      <c r="E32" s="538"/>
      <c r="F32" s="538"/>
      <c r="G32" s="538"/>
      <c r="H32" s="539"/>
      <c r="I32" s="477">
        <f>Equipos!O16</f>
        <v>0</v>
      </c>
      <c r="J32" s="477">
        <f t="shared" si="1"/>
        <v>0</v>
      </c>
      <c r="N32" s="361"/>
    </row>
    <row r="33" spans="2:14" s="342" customFormat="1" ht="53.25" customHeight="1">
      <c r="B33" s="476">
        <f>Equipos!D17</f>
        <v>0</v>
      </c>
      <c r="C33" s="537">
        <f>Equipos!B17</f>
        <v>0</v>
      </c>
      <c r="D33" s="538"/>
      <c r="E33" s="538"/>
      <c r="F33" s="538"/>
      <c r="G33" s="538"/>
      <c r="H33" s="539"/>
      <c r="I33" s="477">
        <f>Equipos!O17</f>
        <v>0</v>
      </c>
      <c r="J33" s="477">
        <f t="shared" si="1"/>
        <v>0</v>
      </c>
      <c r="N33" s="361"/>
    </row>
    <row r="34" spans="2:14" s="342" customFormat="1" ht="53.25" customHeight="1">
      <c r="B34" s="476">
        <f>Equipos!D18</f>
        <v>0</v>
      </c>
      <c r="C34" s="537">
        <f>Equipos!B18</f>
        <v>0</v>
      </c>
      <c r="D34" s="538"/>
      <c r="E34" s="538"/>
      <c r="F34" s="538"/>
      <c r="G34" s="538"/>
      <c r="H34" s="539"/>
      <c r="I34" s="477">
        <f>Equipos!O18</f>
        <v>0</v>
      </c>
      <c r="J34" s="477">
        <f t="shared" si="1"/>
        <v>0</v>
      </c>
      <c r="N34" s="361"/>
    </row>
    <row r="35" spans="2:14" s="342" customFormat="1" ht="53.25" customHeight="1">
      <c r="B35" s="476">
        <f>Equipos!D19</f>
        <v>0</v>
      </c>
      <c r="C35" s="537">
        <f>Equipos!B19</f>
        <v>0</v>
      </c>
      <c r="D35" s="538"/>
      <c r="E35" s="538"/>
      <c r="F35" s="538"/>
      <c r="G35" s="538"/>
      <c r="H35" s="539"/>
      <c r="I35" s="477">
        <f>Equipos!O19</f>
        <v>0</v>
      </c>
      <c r="J35" s="477">
        <f t="shared" si="1"/>
        <v>0</v>
      </c>
      <c r="N35" s="361"/>
    </row>
    <row r="36" spans="2:14" s="342" customFormat="1" ht="53.25" customHeight="1">
      <c r="B36" s="476">
        <f>Equipos!D20</f>
        <v>0</v>
      </c>
      <c r="C36" s="537">
        <f>Equipos!B20</f>
        <v>0</v>
      </c>
      <c r="D36" s="538"/>
      <c r="E36" s="538"/>
      <c r="F36" s="538"/>
      <c r="G36" s="538"/>
      <c r="H36" s="539"/>
      <c r="I36" s="477">
        <f>Equipos!O20</f>
        <v>0</v>
      </c>
      <c r="J36" s="477">
        <f t="shared" si="1"/>
        <v>0</v>
      </c>
      <c r="N36" s="361"/>
    </row>
    <row r="37" spans="2:14" s="342" customFormat="1" ht="53.25" customHeight="1">
      <c r="B37" s="476">
        <f>Equipos!D21</f>
        <v>0</v>
      </c>
      <c r="C37" s="537">
        <f>Equipos!B21</f>
        <v>0</v>
      </c>
      <c r="D37" s="538"/>
      <c r="E37" s="538"/>
      <c r="F37" s="538"/>
      <c r="G37" s="538"/>
      <c r="H37" s="539"/>
      <c r="I37" s="477">
        <f>Equipos!O21</f>
        <v>0</v>
      </c>
      <c r="J37" s="477">
        <f t="shared" si="1"/>
        <v>0</v>
      </c>
      <c r="N37" s="361"/>
    </row>
    <row r="38" spans="2:14" s="342" customFormat="1" ht="53.25" customHeight="1">
      <c r="B38" s="476">
        <f>Equipos!D22</f>
        <v>0</v>
      </c>
      <c r="C38" s="537">
        <f>Equipos!B22</f>
        <v>0</v>
      </c>
      <c r="D38" s="538"/>
      <c r="E38" s="538"/>
      <c r="F38" s="538"/>
      <c r="G38" s="538"/>
      <c r="H38" s="539"/>
      <c r="I38" s="477">
        <f>Equipos!O22</f>
        <v>0</v>
      </c>
      <c r="J38" s="477">
        <f t="shared" si="1"/>
        <v>0</v>
      </c>
      <c r="N38" s="361"/>
    </row>
    <row r="39" spans="2:14" s="342" customFormat="1" ht="53.25" customHeight="1">
      <c r="B39" s="476">
        <f>Equipos!D23</f>
        <v>0</v>
      </c>
      <c r="C39" s="537">
        <f>Equipos!B23</f>
        <v>0</v>
      </c>
      <c r="D39" s="538"/>
      <c r="E39" s="538"/>
      <c r="F39" s="538"/>
      <c r="G39" s="538"/>
      <c r="H39" s="539"/>
      <c r="I39" s="477">
        <f>Equipos!O23</f>
        <v>0</v>
      </c>
      <c r="J39" s="477">
        <f t="shared" si="1"/>
        <v>0</v>
      </c>
      <c r="N39" s="361"/>
    </row>
    <row r="40" spans="2:14" s="342" customFormat="1" ht="53.25" customHeight="1">
      <c r="B40" s="476">
        <f>Equipos!D24</f>
        <v>0</v>
      </c>
      <c r="C40" s="537">
        <f>Equipos!B24</f>
        <v>0</v>
      </c>
      <c r="D40" s="538"/>
      <c r="E40" s="538"/>
      <c r="F40" s="538"/>
      <c r="G40" s="538"/>
      <c r="H40" s="539"/>
      <c r="I40" s="477">
        <f>Equipos!O24</f>
        <v>0</v>
      </c>
      <c r="J40" s="477">
        <f t="shared" si="1"/>
        <v>0</v>
      </c>
      <c r="N40" s="361"/>
    </row>
    <row r="41" spans="2:14" s="342" customFormat="1" ht="53.25" customHeight="1">
      <c r="B41" s="476">
        <f>Equipos!D25</f>
        <v>0</v>
      </c>
      <c r="C41" s="537">
        <f>Equipos!B25</f>
        <v>0</v>
      </c>
      <c r="D41" s="538"/>
      <c r="E41" s="538"/>
      <c r="F41" s="538"/>
      <c r="G41" s="538"/>
      <c r="H41" s="539"/>
      <c r="I41" s="477">
        <f>Equipos!O25</f>
        <v>0</v>
      </c>
      <c r="J41" s="477">
        <f t="shared" si="1"/>
        <v>0</v>
      </c>
      <c r="N41" s="361"/>
    </row>
    <row r="42" spans="2:14" s="342" customFormat="1" ht="53.25" customHeight="1">
      <c r="B42" s="476">
        <f>Equipos!D26</f>
        <v>0</v>
      </c>
      <c r="C42" s="537">
        <f>Equipos!B26</f>
        <v>0</v>
      </c>
      <c r="D42" s="538"/>
      <c r="E42" s="538"/>
      <c r="F42" s="538"/>
      <c r="G42" s="538"/>
      <c r="H42" s="539"/>
      <c r="I42" s="477">
        <f>Equipos!O26</f>
        <v>0</v>
      </c>
      <c r="J42" s="477">
        <f t="shared" si="1"/>
        <v>0</v>
      </c>
      <c r="N42" s="361"/>
    </row>
    <row r="43" spans="2:14" s="342" customFormat="1" ht="53.25" customHeight="1">
      <c r="B43" s="476">
        <f>Equipos!D27</f>
        <v>0</v>
      </c>
      <c r="C43" s="537">
        <f>Equipos!B27</f>
        <v>0</v>
      </c>
      <c r="D43" s="538"/>
      <c r="E43" s="538"/>
      <c r="F43" s="538"/>
      <c r="G43" s="538"/>
      <c r="H43" s="539"/>
      <c r="I43" s="477">
        <f>Equipos!O27</f>
        <v>0</v>
      </c>
      <c r="J43" s="477">
        <f t="shared" si="1"/>
        <v>0</v>
      </c>
      <c r="N43" s="361"/>
    </row>
    <row r="44" spans="2:14" s="342" customFormat="1" ht="53.25" customHeight="1">
      <c r="B44" s="476">
        <f>Equipos!D28</f>
        <v>0</v>
      </c>
      <c r="C44" s="537">
        <f>Equipos!B28</f>
        <v>0</v>
      </c>
      <c r="D44" s="538"/>
      <c r="E44" s="538"/>
      <c r="F44" s="538"/>
      <c r="G44" s="538"/>
      <c r="H44" s="539"/>
      <c r="I44" s="477">
        <f>Equipos!O28</f>
        <v>0</v>
      </c>
      <c r="J44" s="477">
        <f t="shared" si="1"/>
        <v>0</v>
      </c>
      <c r="N44" s="361"/>
    </row>
    <row r="45" spans="2:14" s="342" customFormat="1" ht="53.25" customHeight="1">
      <c r="B45" s="476">
        <f>Equipos!D29</f>
        <v>0</v>
      </c>
      <c r="C45" s="537">
        <f>Equipos!B29</f>
        <v>0</v>
      </c>
      <c r="D45" s="538"/>
      <c r="E45" s="538"/>
      <c r="F45" s="538"/>
      <c r="G45" s="538"/>
      <c r="H45" s="539"/>
      <c r="I45" s="477">
        <f>Equipos!O29</f>
        <v>0</v>
      </c>
      <c r="J45" s="477">
        <f t="shared" si="1"/>
        <v>0</v>
      </c>
      <c r="N45" s="361"/>
    </row>
    <row r="46" spans="2:14" s="342" customFormat="1" ht="53.25" customHeight="1">
      <c r="B46" s="476">
        <f>Equipos!D30</f>
        <v>0</v>
      </c>
      <c r="C46" s="537">
        <f>Equipos!B30</f>
        <v>0</v>
      </c>
      <c r="D46" s="538"/>
      <c r="E46" s="538"/>
      <c r="F46" s="538"/>
      <c r="G46" s="538"/>
      <c r="H46" s="539"/>
      <c r="I46" s="477">
        <f>Equipos!O30</f>
        <v>0</v>
      </c>
      <c r="J46" s="477">
        <f t="shared" si="1"/>
        <v>0</v>
      </c>
      <c r="N46" s="361"/>
    </row>
    <row r="47" spans="2:14" s="342" customFormat="1" ht="53.25" customHeight="1">
      <c r="B47" s="476">
        <f>Equipos!D31</f>
        <v>0</v>
      </c>
      <c r="C47" s="537">
        <f>Equipos!B31</f>
        <v>0</v>
      </c>
      <c r="D47" s="538"/>
      <c r="E47" s="538"/>
      <c r="F47" s="538"/>
      <c r="G47" s="538"/>
      <c r="H47" s="539"/>
      <c r="I47" s="477">
        <f>Equipos!O31</f>
        <v>0</v>
      </c>
      <c r="J47" s="477">
        <f t="shared" si="1"/>
        <v>0</v>
      </c>
      <c r="N47" s="361"/>
    </row>
    <row r="48" spans="2:14" s="342" customFormat="1" ht="53.25" customHeight="1">
      <c r="B48" s="476">
        <f>Equipos!D32</f>
        <v>0</v>
      </c>
      <c r="C48" s="537">
        <f>Equipos!B32</f>
        <v>0</v>
      </c>
      <c r="D48" s="538"/>
      <c r="E48" s="538"/>
      <c r="F48" s="538"/>
      <c r="G48" s="538"/>
      <c r="H48" s="539"/>
      <c r="I48" s="477">
        <f>Equipos!O32</f>
        <v>0</v>
      </c>
      <c r="J48" s="477">
        <f t="shared" si="1"/>
        <v>0</v>
      </c>
      <c r="N48" s="361"/>
    </row>
    <row r="49" spans="2:14" s="342" customFormat="1" ht="53.25" customHeight="1">
      <c r="B49" s="476">
        <f>Equipos!D33</f>
        <v>0</v>
      </c>
      <c r="C49" s="537">
        <f>Equipos!B33</f>
        <v>0</v>
      </c>
      <c r="D49" s="538"/>
      <c r="E49" s="538"/>
      <c r="F49" s="538"/>
      <c r="G49" s="538"/>
      <c r="H49" s="539"/>
      <c r="I49" s="477">
        <f>Equipos!O33</f>
        <v>0</v>
      </c>
      <c r="J49" s="477">
        <f t="shared" si="1"/>
        <v>0</v>
      </c>
      <c r="N49" s="361"/>
    </row>
    <row r="50" spans="2:14" s="342" customFormat="1" ht="53.25" customHeight="1">
      <c r="B50" s="476">
        <f>Equipos!D34</f>
        <v>0</v>
      </c>
      <c r="C50" s="537">
        <f>Equipos!B34</f>
        <v>0</v>
      </c>
      <c r="D50" s="538"/>
      <c r="E50" s="538"/>
      <c r="F50" s="538"/>
      <c r="G50" s="538"/>
      <c r="H50" s="539"/>
      <c r="I50" s="477">
        <f>Equipos!O34</f>
        <v>0</v>
      </c>
      <c r="J50" s="477">
        <f t="shared" si="1"/>
        <v>0</v>
      </c>
      <c r="N50" s="361"/>
    </row>
    <row r="51" spans="2:14" s="342" customFormat="1" ht="53.25" customHeight="1">
      <c r="B51" s="476">
        <f>Equipos!D35</f>
        <v>0</v>
      </c>
      <c r="C51" s="537">
        <f>Equipos!B35</f>
        <v>0</v>
      </c>
      <c r="D51" s="538"/>
      <c r="E51" s="538"/>
      <c r="F51" s="538"/>
      <c r="G51" s="538"/>
      <c r="H51" s="539"/>
      <c r="I51" s="477">
        <f>Equipos!O35</f>
        <v>0</v>
      </c>
      <c r="J51" s="477">
        <f t="shared" si="1"/>
        <v>0</v>
      </c>
      <c r="N51" s="361"/>
    </row>
    <row r="52" spans="2:14" s="342" customFormat="1" ht="53.25" customHeight="1">
      <c r="B52" s="476">
        <f>Equipos!D36</f>
        <v>0</v>
      </c>
      <c r="C52" s="537">
        <f>Equipos!B36</f>
        <v>0</v>
      </c>
      <c r="D52" s="538"/>
      <c r="E52" s="538"/>
      <c r="F52" s="538"/>
      <c r="G52" s="538"/>
      <c r="H52" s="539"/>
      <c r="I52" s="477">
        <f>Equipos!O36</f>
        <v>0</v>
      </c>
      <c r="J52" s="477">
        <f t="shared" si="1"/>
        <v>0</v>
      </c>
      <c r="N52" s="361"/>
    </row>
    <row r="53" spans="2:14" s="342" customFormat="1" ht="53.25" customHeight="1">
      <c r="B53" s="476">
        <f>Equipos!D37</f>
        <v>0</v>
      </c>
      <c r="C53" s="537">
        <f>Equipos!B37</f>
        <v>0</v>
      </c>
      <c r="D53" s="538"/>
      <c r="E53" s="538"/>
      <c r="F53" s="538"/>
      <c r="G53" s="538"/>
      <c r="H53" s="539"/>
      <c r="I53" s="477">
        <f>Equipos!O37</f>
        <v>0</v>
      </c>
      <c r="J53" s="477">
        <f t="shared" si="1"/>
        <v>0</v>
      </c>
      <c r="N53" s="361"/>
    </row>
    <row r="54" spans="2:14" s="342" customFormat="1" ht="53.25" customHeight="1">
      <c r="B54" s="476">
        <f>Equipos!D38</f>
        <v>0</v>
      </c>
      <c r="C54" s="537">
        <f>Equipos!B38</f>
        <v>0</v>
      </c>
      <c r="D54" s="538"/>
      <c r="E54" s="538"/>
      <c r="F54" s="538"/>
      <c r="G54" s="538"/>
      <c r="H54" s="539"/>
      <c r="I54" s="477">
        <f>Equipos!O38</f>
        <v>0</v>
      </c>
      <c r="J54" s="477">
        <f t="shared" si="1"/>
        <v>0</v>
      </c>
      <c r="N54" s="361"/>
    </row>
    <row r="55" spans="2:14" s="342" customFormat="1" ht="53.25" customHeight="1">
      <c r="B55" s="476">
        <f>Equipos!D39</f>
        <v>0</v>
      </c>
      <c r="C55" s="537">
        <f>Equipos!B39</f>
        <v>0</v>
      </c>
      <c r="D55" s="538"/>
      <c r="E55" s="538"/>
      <c r="F55" s="538"/>
      <c r="G55" s="538"/>
      <c r="H55" s="539"/>
      <c r="I55" s="477">
        <f>Equipos!O39</f>
        <v>0</v>
      </c>
      <c r="J55" s="477">
        <f t="shared" si="1"/>
        <v>0</v>
      </c>
      <c r="N55" s="361"/>
    </row>
    <row r="56" spans="2:14" s="342" customFormat="1" ht="53.25" customHeight="1">
      <c r="B56" s="476">
        <f>Equipos!D40</f>
        <v>0</v>
      </c>
      <c r="C56" s="537">
        <f>Equipos!B40</f>
        <v>0</v>
      </c>
      <c r="D56" s="538"/>
      <c r="E56" s="538"/>
      <c r="F56" s="538"/>
      <c r="G56" s="538"/>
      <c r="H56" s="539"/>
      <c r="I56" s="477">
        <f>Equipos!O40</f>
        <v>0</v>
      </c>
      <c r="J56" s="477">
        <f t="shared" si="1"/>
        <v>0</v>
      </c>
      <c r="N56" s="361"/>
    </row>
    <row r="57" spans="2:14" s="342" customFormat="1" ht="53.25" customHeight="1">
      <c r="B57" s="476">
        <f>Equipos!D41</f>
        <v>0</v>
      </c>
      <c r="C57" s="537">
        <f>Equipos!B41</f>
        <v>0</v>
      </c>
      <c r="D57" s="538"/>
      <c r="E57" s="538"/>
      <c r="F57" s="538"/>
      <c r="G57" s="538"/>
      <c r="H57" s="539"/>
      <c r="I57" s="477">
        <f>Equipos!O41</f>
        <v>0</v>
      </c>
      <c r="J57" s="477">
        <f t="shared" si="1"/>
        <v>0</v>
      </c>
      <c r="N57" s="361"/>
    </row>
    <row r="58" spans="2:14" s="342" customFormat="1" ht="53.25" customHeight="1">
      <c r="B58" s="476">
        <f>Equipos!D42</f>
        <v>0</v>
      </c>
      <c r="C58" s="537">
        <f>Equipos!B42</f>
        <v>0</v>
      </c>
      <c r="D58" s="538"/>
      <c r="E58" s="538"/>
      <c r="F58" s="538"/>
      <c r="G58" s="538"/>
      <c r="H58" s="539"/>
      <c r="I58" s="477">
        <f>Equipos!O42</f>
        <v>0</v>
      </c>
      <c r="J58" s="477">
        <f t="shared" si="1"/>
        <v>0</v>
      </c>
      <c r="N58" s="361"/>
    </row>
    <row r="59" spans="2:14" s="342" customFormat="1" ht="53.25" customHeight="1">
      <c r="B59" s="476">
        <f>Equipos!D43</f>
        <v>0</v>
      </c>
      <c r="C59" s="537">
        <f>Equipos!B43</f>
        <v>0</v>
      </c>
      <c r="D59" s="538"/>
      <c r="E59" s="538"/>
      <c r="F59" s="538"/>
      <c r="G59" s="538"/>
      <c r="H59" s="539"/>
      <c r="I59" s="477">
        <f>Equipos!O43</f>
        <v>0</v>
      </c>
      <c r="J59" s="477">
        <f t="shared" si="1"/>
        <v>0</v>
      </c>
      <c r="N59" s="361"/>
    </row>
    <row r="60" spans="2:14" s="342" customFormat="1" ht="53.25" customHeight="1">
      <c r="B60" s="476">
        <f>Equipos!D44</f>
        <v>0</v>
      </c>
      <c r="C60" s="537">
        <f>Equipos!B44</f>
        <v>0</v>
      </c>
      <c r="D60" s="538"/>
      <c r="E60" s="538"/>
      <c r="F60" s="538"/>
      <c r="G60" s="538"/>
      <c r="H60" s="539"/>
      <c r="I60" s="477">
        <f>Equipos!O44</f>
        <v>0</v>
      </c>
      <c r="J60" s="477">
        <f t="shared" si="1"/>
        <v>0</v>
      </c>
      <c r="N60" s="361"/>
    </row>
    <row r="61" spans="2:14" s="342" customFormat="1" ht="53.25" customHeight="1">
      <c r="B61" s="476">
        <f>Equipos!D45</f>
        <v>0</v>
      </c>
      <c r="C61" s="537">
        <f>Equipos!B45</f>
        <v>0</v>
      </c>
      <c r="D61" s="538"/>
      <c r="E61" s="538"/>
      <c r="F61" s="538"/>
      <c r="G61" s="538"/>
      <c r="H61" s="539"/>
      <c r="I61" s="477">
        <f>Equipos!O45</f>
        <v>0</v>
      </c>
      <c r="J61" s="477">
        <f t="shared" si="1"/>
        <v>0</v>
      </c>
      <c r="N61" s="361"/>
    </row>
    <row r="62" spans="2:14" s="342" customFormat="1" ht="53.25" customHeight="1">
      <c r="B62" s="476">
        <f>Equipos!D46</f>
        <v>0</v>
      </c>
      <c r="C62" s="537">
        <f>Equipos!B46</f>
        <v>0</v>
      </c>
      <c r="D62" s="538"/>
      <c r="E62" s="538"/>
      <c r="F62" s="538"/>
      <c r="G62" s="538"/>
      <c r="H62" s="539"/>
      <c r="I62" s="477">
        <f>Equipos!O46</f>
        <v>0</v>
      </c>
      <c r="J62" s="477">
        <f t="shared" si="1"/>
        <v>0</v>
      </c>
      <c r="N62" s="361"/>
    </row>
    <row r="63" spans="2:14" s="342" customFormat="1" ht="53.25" customHeight="1">
      <c r="B63" s="476">
        <f>Equipos!D47</f>
        <v>0</v>
      </c>
      <c r="C63" s="537">
        <f>Equipos!B47</f>
        <v>0</v>
      </c>
      <c r="D63" s="538"/>
      <c r="E63" s="538"/>
      <c r="F63" s="538"/>
      <c r="G63" s="538"/>
      <c r="H63" s="539"/>
      <c r="I63" s="477">
        <f>Equipos!O47</f>
        <v>0</v>
      </c>
      <c r="J63" s="477">
        <f t="shared" si="1"/>
        <v>0</v>
      </c>
      <c r="N63" s="361"/>
    </row>
    <row r="64" spans="2:14" s="342" customFormat="1" ht="53.25" customHeight="1">
      <c r="B64" s="476">
        <f>Equipos!D48</f>
        <v>0</v>
      </c>
      <c r="C64" s="537">
        <f>Equipos!B48</f>
        <v>0</v>
      </c>
      <c r="D64" s="538"/>
      <c r="E64" s="538"/>
      <c r="F64" s="538"/>
      <c r="G64" s="538"/>
      <c r="H64" s="539"/>
      <c r="I64" s="477">
        <f>Equipos!O48</f>
        <v>0</v>
      </c>
      <c r="J64" s="477">
        <f t="shared" si="1"/>
        <v>0</v>
      </c>
      <c r="N64" s="361"/>
    </row>
    <row r="65" spans="2:14" s="342" customFormat="1" ht="53.25" customHeight="1">
      <c r="B65" s="476">
        <f>Equipos!D49</f>
        <v>0</v>
      </c>
      <c r="C65" s="537">
        <f>Equipos!B49</f>
        <v>0</v>
      </c>
      <c r="D65" s="538"/>
      <c r="E65" s="538"/>
      <c r="F65" s="538"/>
      <c r="G65" s="538"/>
      <c r="H65" s="539"/>
      <c r="I65" s="477">
        <f>Equipos!O49</f>
        <v>0</v>
      </c>
      <c r="J65" s="477">
        <f t="shared" si="1"/>
        <v>0</v>
      </c>
      <c r="N65" s="361"/>
    </row>
    <row r="66" spans="2:14" s="342" customFormat="1" ht="53.25" customHeight="1">
      <c r="B66" s="476">
        <f>Equipos!D50</f>
        <v>0</v>
      </c>
      <c r="C66" s="537">
        <f>Equipos!B50</f>
        <v>0</v>
      </c>
      <c r="D66" s="538"/>
      <c r="E66" s="538"/>
      <c r="F66" s="538"/>
      <c r="G66" s="538"/>
      <c r="H66" s="539"/>
      <c r="I66" s="477">
        <f>Equipos!O50</f>
        <v>0</v>
      </c>
      <c r="J66" s="477">
        <f t="shared" si="1"/>
        <v>0</v>
      </c>
      <c r="N66" s="361"/>
    </row>
    <row r="67" spans="2:14" s="342" customFormat="1" ht="53.25" customHeight="1">
      <c r="B67" s="476">
        <f>Equipos!D51</f>
        <v>0</v>
      </c>
      <c r="C67" s="537">
        <f>Equipos!B51</f>
        <v>0</v>
      </c>
      <c r="D67" s="538"/>
      <c r="E67" s="538"/>
      <c r="F67" s="538"/>
      <c r="G67" s="538"/>
      <c r="H67" s="539"/>
      <c r="I67" s="477">
        <f>Equipos!O51</f>
        <v>0</v>
      </c>
      <c r="J67" s="477">
        <f t="shared" si="1"/>
        <v>0</v>
      </c>
      <c r="N67" s="361"/>
    </row>
    <row r="68" spans="2:14" s="342" customFormat="1" ht="53.25" customHeight="1">
      <c r="B68" s="476">
        <f>Equipos!D52</f>
        <v>0</v>
      </c>
      <c r="C68" s="537">
        <f>Equipos!B52</f>
        <v>0</v>
      </c>
      <c r="D68" s="538"/>
      <c r="E68" s="538"/>
      <c r="F68" s="538"/>
      <c r="G68" s="538"/>
      <c r="H68" s="539"/>
      <c r="I68" s="477">
        <f>Equipos!O52</f>
        <v>0</v>
      </c>
      <c r="J68" s="477">
        <f t="shared" si="1"/>
        <v>0</v>
      </c>
      <c r="N68" s="361"/>
    </row>
    <row r="69" spans="2:14" s="342" customFormat="1" ht="53.25" customHeight="1">
      <c r="B69" s="476">
        <f>Equipos!D53</f>
        <v>0</v>
      </c>
      <c r="C69" s="537">
        <f>Equipos!B53</f>
        <v>0</v>
      </c>
      <c r="D69" s="538"/>
      <c r="E69" s="538"/>
      <c r="F69" s="538"/>
      <c r="G69" s="538"/>
      <c r="H69" s="539"/>
      <c r="I69" s="477">
        <f>Equipos!O53</f>
        <v>0</v>
      </c>
      <c r="J69" s="477">
        <f t="shared" si="1"/>
        <v>0</v>
      </c>
      <c r="N69" s="361"/>
    </row>
    <row r="70" spans="2:14" s="342" customFormat="1" ht="53.25" customHeight="1">
      <c r="B70" s="476">
        <f>Equipos!D54</f>
        <v>0</v>
      </c>
      <c r="C70" s="537">
        <f>Equipos!B54</f>
        <v>0</v>
      </c>
      <c r="D70" s="538"/>
      <c r="E70" s="538"/>
      <c r="F70" s="538"/>
      <c r="G70" s="538"/>
      <c r="H70" s="539"/>
      <c r="I70" s="477">
        <f>Equipos!O54</f>
        <v>0</v>
      </c>
      <c r="J70" s="477">
        <f t="shared" si="1"/>
        <v>0</v>
      </c>
      <c r="N70" s="361"/>
    </row>
    <row r="71" spans="2:14" s="342" customFormat="1" ht="39" customHeight="1">
      <c r="B71" s="476">
        <f>Equipos!D55</f>
        <v>0</v>
      </c>
      <c r="C71" s="537">
        <f>Equipos!B55</f>
        <v>0</v>
      </c>
      <c r="D71" s="538"/>
      <c r="E71" s="538"/>
      <c r="F71" s="538"/>
      <c r="G71" s="538"/>
      <c r="H71" s="539"/>
      <c r="I71" s="477">
        <f>Equipos!O55</f>
        <v>0</v>
      </c>
      <c r="J71" s="477">
        <f t="shared" si="1"/>
        <v>0</v>
      </c>
      <c r="N71" s="361"/>
    </row>
    <row r="72" spans="2:14">
      <c r="B72" s="542" t="s">
        <v>348</v>
      </c>
      <c r="C72" s="543"/>
      <c r="D72" s="543"/>
      <c r="E72" s="543"/>
      <c r="F72" s="543"/>
      <c r="G72" s="543"/>
      <c r="H72" s="543"/>
      <c r="I72" s="543"/>
      <c r="J72" s="544"/>
    </row>
    <row r="73" spans="2:14" ht="15.75" customHeight="1">
      <c r="B73" s="363"/>
      <c r="C73" s="364"/>
      <c r="D73" s="365"/>
      <c r="E73" s="365"/>
      <c r="F73" s="365"/>
      <c r="G73" s="365"/>
      <c r="H73" s="366"/>
      <c r="I73" s="367"/>
      <c r="J73" s="368"/>
    </row>
    <row r="74" spans="2:14">
      <c r="B74" s="353"/>
      <c r="C74" s="369"/>
      <c r="D74" s="353"/>
      <c r="I74" s="370" t="s">
        <v>349</v>
      </c>
      <c r="J74" s="371">
        <f>SUM(J21:J73)</f>
        <v>0</v>
      </c>
      <c r="K74" s="434">
        <f>+Equipos!P57+'OPEX GV'!O17</f>
        <v>0</v>
      </c>
      <c r="L74" s="585" t="str">
        <f>IF(ROUND(SUM(J22:J71)-SUBTOTAL(109,J22:J71),2)&lt;&gt;0,"OJO: hay l"&amp;_xlfn.UNICHAR(237)&amp;"neas ocultas con monto. Mostralas: si no, suman pero no aparecen en la cotizaci"&amp;_xlfn.UNICHAR(243)&amp;"n.","")</f>
        <v/>
      </c>
    </row>
    <row r="75" spans="2:14">
      <c r="B75" s="353"/>
      <c r="C75" s="369"/>
      <c r="D75" s="353"/>
      <c r="I75" s="372" t="s">
        <v>350</v>
      </c>
      <c r="J75" s="373">
        <f>J74*IF(LOWER(TRIM('Datos del proyecto'!$B$15))="si",0,IF(ISNUMBER('Datos del proyecto'!$B$16),IF('Datos del proyecto'!$B$16&gt;1,'Datos del proyecto'!$B$16/100,'Datos del proyecto'!$B$16),0.13))</f>
        <v>0</v>
      </c>
    </row>
    <row r="76" spans="2:14">
      <c r="B76" s="374" t="s">
        <v>351</v>
      </c>
      <c r="C76" s="369"/>
      <c r="D76" s="353"/>
      <c r="I76" s="370" t="s">
        <v>352</v>
      </c>
      <c r="J76" s="375">
        <f>ROUNDDOWN(J74+J75,2)</f>
        <v>0</v>
      </c>
    </row>
    <row r="77" spans="2:14" ht="15" customHeight="1">
      <c r="B77" s="374"/>
      <c r="C77" s="369"/>
      <c r="D77" s="353"/>
    </row>
    <row r="78" spans="2:14" ht="15" customHeight="1">
      <c r="B78" s="374"/>
      <c r="C78" s="369"/>
      <c r="D78" s="353"/>
    </row>
    <row r="79" spans="2:14" ht="18.75" customHeight="1">
      <c r="B79" s="348"/>
      <c r="C79" s="348"/>
      <c r="D79" s="348"/>
      <c r="E79" s="348"/>
      <c r="F79" s="348"/>
      <c r="G79" s="349"/>
      <c r="H79" s="349"/>
      <c r="I79" s="348"/>
      <c r="J79" s="350"/>
    </row>
    <row r="80" spans="2:14" ht="17.5">
      <c r="G80" s="351"/>
      <c r="H80" s="351"/>
      <c r="J80" s="352"/>
    </row>
    <row r="81" spans="2:10" ht="17.5">
      <c r="G81" s="351"/>
      <c r="H81" s="351"/>
      <c r="J81" s="352"/>
    </row>
    <row r="82" spans="2:10" ht="17.5">
      <c r="G82" s="351"/>
      <c r="H82" s="351"/>
      <c r="J82" s="352"/>
    </row>
    <row r="83" spans="2:10" ht="17.5">
      <c r="G83" s="351"/>
      <c r="H83" s="351"/>
      <c r="J83" s="352"/>
    </row>
    <row r="88" spans="2:10">
      <c r="B88" s="376" t="s">
        <v>571</v>
      </c>
      <c r="C88" s="377"/>
      <c r="D88" s="377"/>
    </row>
    <row r="89" spans="2:10">
      <c r="B89" s="540" t="s">
        <v>353</v>
      </c>
      <c r="C89" s="540"/>
      <c r="D89" s="540"/>
      <c r="E89" s="540"/>
    </row>
    <row r="90" spans="2:10" ht="25.5" customHeight="1">
      <c r="B90" s="541" t="s">
        <v>354</v>
      </c>
      <c r="C90" s="541"/>
      <c r="D90" s="541"/>
      <c r="E90" s="541"/>
    </row>
    <row r="91" spans="2:10">
      <c r="B91" s="540" t="s">
        <v>339</v>
      </c>
      <c r="C91" s="540"/>
      <c r="D91" s="540"/>
      <c r="E91" s="540"/>
    </row>
    <row r="92" spans="2:10">
      <c r="B92" s="540" t="s">
        <v>572</v>
      </c>
      <c r="C92" s="540"/>
      <c r="D92" s="540"/>
      <c r="E92" s="362"/>
    </row>
  </sheetData>
  <mergeCells count="63">
    <mergeCell ref="C18:G18"/>
    <mergeCell ref="C23:H23"/>
    <mergeCell ref="B5:C5"/>
    <mergeCell ref="B6:F6"/>
    <mergeCell ref="C12:G12"/>
    <mergeCell ref="C13:G13"/>
    <mergeCell ref="C14:G14"/>
    <mergeCell ref="C20:H20"/>
    <mergeCell ref="C21:H21"/>
    <mergeCell ref="C22:H22"/>
    <mergeCell ref="C71:H71"/>
    <mergeCell ref="C24:H24"/>
    <mergeCell ref="C25:H25"/>
    <mergeCell ref="B92:D92"/>
    <mergeCell ref="B89:E89"/>
    <mergeCell ref="B90:E90"/>
    <mergeCell ref="B91:E91"/>
    <mergeCell ref="B72:J72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9:H69"/>
    <mergeCell ref="C70:H70"/>
    <mergeCell ref="C64:H64"/>
    <mergeCell ref="C65:H65"/>
    <mergeCell ref="C66:H66"/>
    <mergeCell ref="C67:H67"/>
    <mergeCell ref="C68:H68"/>
  </mergeCells>
  <dataValidations count="3">
    <dataValidation type="whole" errorStyle="warning" allowBlank="1" showErrorMessage="1" errorTitle="Quantity" error="You must enter a number in this cell." promptTitle="Quantity" sqref="B73" xr:uid="{83244C3E-7D03-45A1-ADE2-365B8DDB520F}">
      <formula1>0</formula1>
      <formula2>1000000000</formula2>
    </dataValidation>
    <dataValidation type="textLength" errorStyle="warning" allowBlank="1" showErrorMessage="1" errorTitle="Total" error="The shaded cells contain formulas and are automatically calculated by Excel. DO NOT enter any information into them." promptTitle="Total" sqref="J74" xr:uid="{7BCFF04F-1E91-4BBF-BC30-1062246E718B}">
      <formula1>0</formula1>
      <formula2>0</formula2>
    </dataValidation>
    <dataValidation type="decimal" allowBlank="1" showErrorMessage="1" errorTitle="Unit Price" error="You must enter a number into this cell." promptTitle="Unit Price" sqref="J21:J71" xr:uid="{93391C51-59DB-4525-BFB3-29A3FCA88581}">
      <formula1>0</formula1>
      <formula2>1000000000</formula2>
    </dataValidation>
  </dataValidations>
  <hyperlinks>
    <hyperlink ref="I5" r:id="rId1" xr:uid="{74508568-1A12-4D7E-A581-E59D60A05D90}"/>
  </hyperlinks>
  <pageMargins left="0.25" right="0.25" top="0.75" bottom="0.75" header="0.3" footer="0.3"/>
  <pageSetup scale="83" fitToHeight="0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E043-5E24-4CEE-8EE9-7A9875EDBCCE}">
  <sheetPr>
    <pageSetUpPr fitToPage="1"/>
  </sheetPr>
  <dimension ref="B1:N92"/>
  <sheetViews>
    <sheetView topLeftCell="A22" zoomScale="90" zoomScaleNormal="90" workbookViewId="0">
      <selection activeCell="P40" sqref="P40"/>
    </sheetView>
  </sheetViews>
  <sheetFormatPr defaultColWidth="9.1796875" defaultRowHeight="14.5"/>
  <cols>
    <col min="1" max="1" width="3.453125" style="341" customWidth="1"/>
    <col min="2" max="2" width="16.7265625" style="341" customWidth="1"/>
    <col min="3" max="3" width="15.7265625" style="341" customWidth="1"/>
    <col min="4" max="4" width="14" style="341" customWidth="1"/>
    <col min="5" max="5" width="14.1796875" style="341" customWidth="1"/>
    <col min="6" max="6" width="9.1796875" style="341" bestFit="1" customWidth="1"/>
    <col min="7" max="7" width="2.81640625" style="341" customWidth="1"/>
    <col min="8" max="8" width="27.54296875" style="341" customWidth="1"/>
    <col min="9" max="9" width="16.1796875" style="341" customWidth="1"/>
    <col min="10" max="10" width="16.7265625" style="343" customWidth="1"/>
    <col min="11" max="11" width="12.26953125" style="341" customWidth="1"/>
    <col min="12" max="16384" width="9.1796875" style="341"/>
  </cols>
  <sheetData>
    <row r="1" spans="2:10">
      <c r="H1" s="344"/>
      <c r="I1" s="345"/>
      <c r="J1" s="346" t="s">
        <v>334</v>
      </c>
    </row>
    <row r="5" spans="2:10" ht="17.5">
      <c r="B5" s="546" t="s">
        <v>335</v>
      </c>
      <c r="C5" s="546"/>
      <c r="F5" s="344"/>
      <c r="I5" s="347" t="s">
        <v>336</v>
      </c>
    </row>
    <row r="6" spans="2:10" ht="15" customHeight="1">
      <c r="B6" s="547" t="s">
        <v>337</v>
      </c>
      <c r="C6" s="547"/>
      <c r="D6" s="547"/>
      <c r="E6" s="547"/>
      <c r="F6" s="547"/>
    </row>
    <row r="7" spans="2:10">
      <c r="B7" s="341" t="s">
        <v>338</v>
      </c>
    </row>
    <row r="8" spans="2:10" ht="15" thickBot="1">
      <c r="B8" s="341" t="s">
        <v>339</v>
      </c>
    </row>
    <row r="9" spans="2:10" ht="18.75" customHeight="1" thickTop="1">
      <c r="B9" s="348"/>
      <c r="C9" s="348"/>
      <c r="D9" s="348"/>
      <c r="E9" s="348"/>
      <c r="F9" s="348"/>
      <c r="G9" s="349"/>
      <c r="H9" s="349"/>
      <c r="I9" s="348"/>
      <c r="J9" s="350"/>
    </row>
    <row r="10" spans="2:10" ht="18.75" customHeight="1">
      <c r="G10" s="351"/>
      <c r="H10" s="351"/>
      <c r="J10" s="438" t="s">
        <v>519</v>
      </c>
    </row>
    <row r="12" spans="2:10">
      <c r="B12" s="353" t="s">
        <v>340</v>
      </c>
      <c r="C12" s="548"/>
      <c r="D12" s="548"/>
      <c r="E12" s="548"/>
      <c r="F12" s="548"/>
      <c r="G12" s="548"/>
      <c r="I12" s="341" t="s">
        <v>341</v>
      </c>
      <c r="J12" s="354">
        <f ca="1">TODAY()</f>
        <v>46314</v>
      </c>
    </row>
    <row r="13" spans="2:10">
      <c r="B13" s="430" t="s">
        <v>522</v>
      </c>
      <c r="C13" s="549"/>
      <c r="D13" s="550"/>
      <c r="E13" s="550"/>
      <c r="F13" s="550"/>
      <c r="G13" s="550"/>
      <c r="I13" s="341" t="s">
        <v>342</v>
      </c>
      <c r="J13" s="355" t="s">
        <v>527</v>
      </c>
    </row>
    <row r="14" spans="2:10">
      <c r="B14" s="430" t="s">
        <v>523</v>
      </c>
      <c r="C14" s="545"/>
      <c r="D14" s="545"/>
      <c r="E14" s="545"/>
      <c r="F14" s="545"/>
      <c r="G14" s="545"/>
      <c r="I14" s="341" t="s">
        <v>343</v>
      </c>
      <c r="J14" s="356" t="s">
        <v>518</v>
      </c>
    </row>
    <row r="15" spans="2:10">
      <c r="B15" s="430" t="s">
        <v>521</v>
      </c>
      <c r="C15" s="435"/>
      <c r="D15" s="436"/>
      <c r="E15" s="436"/>
      <c r="F15" s="436"/>
      <c r="G15" s="436"/>
      <c r="I15" s="437" t="s">
        <v>344</v>
      </c>
      <c r="J15" s="356" t="s">
        <v>345</v>
      </c>
    </row>
    <row r="16" spans="2:10">
      <c r="B16" s="430" t="s">
        <v>525</v>
      </c>
      <c r="C16" s="435" t="s">
        <v>528</v>
      </c>
      <c r="D16" s="436"/>
      <c r="E16" s="436"/>
      <c r="F16" s="436"/>
      <c r="G16" s="436"/>
      <c r="I16" s="437" t="s">
        <v>526</v>
      </c>
      <c r="J16" s="356"/>
    </row>
    <row r="17" spans="2:14">
      <c r="B17" s="430" t="s">
        <v>524</v>
      </c>
      <c r="C17" s="435"/>
      <c r="D17" s="436"/>
      <c r="E17" s="436"/>
      <c r="F17" s="436"/>
      <c r="G17" s="436"/>
      <c r="J17" s="341"/>
    </row>
    <row r="18" spans="2:14" hidden="1">
      <c r="B18" s="353"/>
      <c r="C18" s="545"/>
      <c r="D18" s="545"/>
      <c r="E18" s="545"/>
      <c r="F18" s="545"/>
      <c r="G18" s="545"/>
      <c r="J18" s="357"/>
    </row>
    <row r="19" spans="2:14" ht="18" customHeight="1"/>
    <row r="20" spans="2:14" ht="46.5">
      <c r="B20" s="358" t="s">
        <v>8</v>
      </c>
      <c r="C20" s="551" t="s">
        <v>310</v>
      </c>
      <c r="D20" s="552"/>
      <c r="E20" s="552"/>
      <c r="F20" s="552"/>
      <c r="G20" s="552"/>
      <c r="H20" s="553"/>
      <c r="I20" s="359" t="s">
        <v>642</v>
      </c>
      <c r="J20" s="360" t="s">
        <v>643</v>
      </c>
    </row>
    <row r="21" spans="2:14" ht="15.5">
      <c r="B21" s="431"/>
      <c r="C21" s="554" t="s">
        <v>516</v>
      </c>
      <c r="D21" s="555"/>
      <c r="E21" s="555"/>
      <c r="F21" s="555"/>
      <c r="G21" s="555"/>
      <c r="H21" s="556"/>
      <c r="I21" s="432"/>
      <c r="J21" s="433"/>
    </row>
    <row r="22" spans="2:14" ht="42" customHeight="1">
      <c r="B22" s="476">
        <f>Equipos!D6</f>
        <v>0</v>
      </c>
      <c r="C22" s="537">
        <f>Equipos!B6</f>
        <v>0</v>
      </c>
      <c r="D22" s="538"/>
      <c r="E22" s="538"/>
      <c r="F22" s="538"/>
      <c r="G22" s="538"/>
      <c r="H22" s="539"/>
      <c r="I22" s="477" t="str">
        <f>IFERROR(IF(Equipos!Q6="","",INDEX(Financiamiento!$C:$C,12+(Equipos!Q6-1)*17)),"")</f>
        <v/>
      </c>
      <c r="J22" s="477" t="str">
        <f t="shared" ref="J22:J53" si="0">IFERROR(I22*B22,"")</f>
        <v/>
      </c>
    </row>
    <row r="23" spans="2:14" s="342" customFormat="1" ht="52.5" customHeight="1">
      <c r="B23" s="476">
        <f>Equipos!D7</f>
        <v>0</v>
      </c>
      <c r="C23" s="537">
        <f>Equipos!B7</f>
        <v>0</v>
      </c>
      <c r="D23" s="538"/>
      <c r="E23" s="538"/>
      <c r="F23" s="538"/>
      <c r="G23" s="538"/>
      <c r="H23" s="539"/>
      <c r="I23" s="477" t="str">
        <f>IFERROR(IF(Equipos!Q7="","",INDEX(Financiamiento!$C:$C,12+(Equipos!Q7-1)*17)),"")</f>
        <v/>
      </c>
      <c r="J23" s="477" t="str">
        <f t="shared" si="0"/>
        <v/>
      </c>
      <c r="N23" s="361"/>
    </row>
    <row r="24" spans="2:14" s="342" customFormat="1" ht="57.75" customHeight="1">
      <c r="B24" s="476">
        <f>Equipos!D8</f>
        <v>0</v>
      </c>
      <c r="C24" s="537">
        <f>Equipos!B8</f>
        <v>0</v>
      </c>
      <c r="D24" s="538"/>
      <c r="E24" s="538"/>
      <c r="F24" s="538"/>
      <c r="G24" s="538"/>
      <c r="H24" s="539"/>
      <c r="I24" s="477" t="str">
        <f>IFERROR(IF(Equipos!Q8="","",INDEX(Financiamiento!$C:$C,12+(Equipos!Q8-1)*17)),"")</f>
        <v/>
      </c>
      <c r="J24" s="477" t="str">
        <f t="shared" si="0"/>
        <v/>
      </c>
      <c r="N24" s="361"/>
    </row>
    <row r="25" spans="2:14" s="342" customFormat="1" ht="53.25" customHeight="1">
      <c r="B25" s="476">
        <f>Equipos!D9</f>
        <v>0</v>
      </c>
      <c r="C25" s="537">
        <f>Equipos!B9</f>
        <v>0</v>
      </c>
      <c r="D25" s="538"/>
      <c r="E25" s="538"/>
      <c r="F25" s="538"/>
      <c r="G25" s="538"/>
      <c r="H25" s="539"/>
      <c r="I25" s="477" t="str">
        <f>IFERROR(IF(Equipos!Q9="","",INDEX(Financiamiento!$C:$C,12+(Equipos!Q9-1)*17)),"")</f>
        <v/>
      </c>
      <c r="J25" s="477" t="str">
        <f t="shared" si="0"/>
        <v/>
      </c>
      <c r="N25" s="361"/>
    </row>
    <row r="26" spans="2:14" s="342" customFormat="1" ht="53.25" customHeight="1">
      <c r="B26" s="476">
        <f>Equipos!D10</f>
        <v>0</v>
      </c>
      <c r="C26" s="537">
        <f>Equipos!B10</f>
        <v>0</v>
      </c>
      <c r="D26" s="538"/>
      <c r="E26" s="538"/>
      <c r="F26" s="538"/>
      <c r="G26" s="538"/>
      <c r="H26" s="539"/>
      <c r="I26" s="477" t="str">
        <f>IFERROR(IF(Equipos!Q10="","",INDEX(Financiamiento!$C:$C,12+(Equipos!Q10-1)*17)),"")</f>
        <v/>
      </c>
      <c r="J26" s="477" t="str">
        <f t="shared" si="0"/>
        <v/>
      </c>
      <c r="N26" s="361"/>
    </row>
    <row r="27" spans="2:14" s="342" customFormat="1" ht="53.25" customHeight="1">
      <c r="B27" s="476">
        <f>Equipos!D11</f>
        <v>0</v>
      </c>
      <c r="C27" s="537">
        <f>Equipos!B11</f>
        <v>0</v>
      </c>
      <c r="D27" s="538"/>
      <c r="E27" s="538"/>
      <c r="F27" s="538"/>
      <c r="G27" s="538"/>
      <c r="H27" s="539"/>
      <c r="I27" s="477" t="str">
        <f>IFERROR(IF(Equipos!Q11="","",INDEX(Financiamiento!$C:$C,12+(Equipos!Q11-1)*17)),"")</f>
        <v/>
      </c>
      <c r="J27" s="477" t="str">
        <f t="shared" si="0"/>
        <v/>
      </c>
      <c r="N27" s="361"/>
    </row>
    <row r="28" spans="2:14" s="342" customFormat="1" ht="53.25" customHeight="1">
      <c r="B28" s="476">
        <f>Equipos!D12</f>
        <v>0</v>
      </c>
      <c r="C28" s="537">
        <f>Equipos!B12</f>
        <v>0</v>
      </c>
      <c r="D28" s="538"/>
      <c r="E28" s="538"/>
      <c r="F28" s="538"/>
      <c r="G28" s="538"/>
      <c r="H28" s="539"/>
      <c r="I28" s="477" t="str">
        <f>IFERROR(IF(Equipos!Q12="","",INDEX(Financiamiento!$C:$C,12+(Equipos!Q12-1)*17)),"")</f>
        <v/>
      </c>
      <c r="J28" s="477" t="str">
        <f t="shared" si="0"/>
        <v/>
      </c>
      <c r="N28" s="361"/>
    </row>
    <row r="29" spans="2:14" s="342" customFormat="1" ht="53.25" customHeight="1">
      <c r="B29" s="476">
        <f>Equipos!D13</f>
        <v>0</v>
      </c>
      <c r="C29" s="537">
        <f>Equipos!B13</f>
        <v>0</v>
      </c>
      <c r="D29" s="538"/>
      <c r="E29" s="538"/>
      <c r="F29" s="538"/>
      <c r="G29" s="538"/>
      <c r="H29" s="539"/>
      <c r="I29" s="477" t="str">
        <f>IFERROR(IF(Equipos!Q13="","",INDEX(Financiamiento!$C:$C,12+(Equipos!Q13-1)*17)),"")</f>
        <v/>
      </c>
      <c r="J29" s="477" t="str">
        <f t="shared" si="0"/>
        <v/>
      </c>
      <c r="N29" s="361"/>
    </row>
    <row r="30" spans="2:14" s="342" customFormat="1" ht="53.25" customHeight="1">
      <c r="B30" s="476">
        <f>Equipos!D14</f>
        <v>0</v>
      </c>
      <c r="C30" s="537">
        <f>Equipos!B14</f>
        <v>0</v>
      </c>
      <c r="D30" s="538"/>
      <c r="E30" s="538"/>
      <c r="F30" s="538"/>
      <c r="G30" s="538"/>
      <c r="H30" s="539"/>
      <c r="I30" s="477" t="str">
        <f>IFERROR(IF(Equipos!Q14="","",INDEX(Financiamiento!$C:$C,12+(Equipos!Q14-1)*17)),"")</f>
        <v/>
      </c>
      <c r="J30" s="477" t="str">
        <f t="shared" si="0"/>
        <v/>
      </c>
      <c r="N30" s="361"/>
    </row>
    <row r="31" spans="2:14" s="342" customFormat="1" ht="53.25" customHeight="1">
      <c r="B31" s="476">
        <f>Equipos!D15</f>
        <v>0</v>
      </c>
      <c r="C31" s="537">
        <f>Equipos!B15</f>
        <v>0</v>
      </c>
      <c r="D31" s="538"/>
      <c r="E31" s="538"/>
      <c r="F31" s="538"/>
      <c r="G31" s="538"/>
      <c r="H31" s="539"/>
      <c r="I31" s="477" t="str">
        <f>IFERROR(IF(Equipos!Q15="","",INDEX(Financiamiento!$C:$C,12+(Equipos!Q15-1)*17)),"")</f>
        <v/>
      </c>
      <c r="J31" s="477" t="str">
        <f t="shared" si="0"/>
        <v/>
      </c>
      <c r="N31" s="361"/>
    </row>
    <row r="32" spans="2:14" s="342" customFormat="1" ht="53.25" customHeight="1">
      <c r="B32" s="476">
        <f>Equipos!D16</f>
        <v>0</v>
      </c>
      <c r="C32" s="537">
        <f>Equipos!B16</f>
        <v>0</v>
      </c>
      <c r="D32" s="538"/>
      <c r="E32" s="538"/>
      <c r="F32" s="538"/>
      <c r="G32" s="538"/>
      <c r="H32" s="539"/>
      <c r="I32" s="477" t="str">
        <f>IFERROR(IF(Equipos!Q16="","",INDEX(Financiamiento!$C:$C,12+(Equipos!Q16-1)*17)),"")</f>
        <v/>
      </c>
      <c r="J32" s="477" t="str">
        <f t="shared" si="0"/>
        <v/>
      </c>
      <c r="N32" s="361"/>
    </row>
    <row r="33" spans="2:14" s="342" customFormat="1" ht="53.25" customHeight="1">
      <c r="B33" s="476">
        <f>Equipos!D17</f>
        <v>0</v>
      </c>
      <c r="C33" s="537">
        <f>Equipos!B17</f>
        <v>0</v>
      </c>
      <c r="D33" s="538"/>
      <c r="E33" s="538"/>
      <c r="F33" s="538"/>
      <c r="G33" s="538"/>
      <c r="H33" s="539"/>
      <c r="I33" s="477" t="str">
        <f>IFERROR(IF(Equipos!Q17="","",INDEX(Financiamiento!$C:$C,12+(Equipos!Q17-1)*17)),"")</f>
        <v/>
      </c>
      <c r="J33" s="477" t="str">
        <f t="shared" si="0"/>
        <v/>
      </c>
      <c r="N33" s="361"/>
    </row>
    <row r="34" spans="2:14" s="342" customFormat="1" ht="53.25" customHeight="1">
      <c r="B34" s="476">
        <f>Equipos!D18</f>
        <v>0</v>
      </c>
      <c r="C34" s="537">
        <f>Equipos!B18</f>
        <v>0</v>
      </c>
      <c r="D34" s="538"/>
      <c r="E34" s="538"/>
      <c r="F34" s="538"/>
      <c r="G34" s="538"/>
      <c r="H34" s="539"/>
      <c r="I34" s="477" t="str">
        <f>IFERROR(IF(Equipos!Q18="","",INDEX(Financiamiento!$C:$C,12+(Equipos!Q18-1)*17)),"")</f>
        <v/>
      </c>
      <c r="J34" s="477" t="str">
        <f t="shared" si="0"/>
        <v/>
      </c>
      <c r="N34" s="361"/>
    </row>
    <row r="35" spans="2:14" s="342" customFormat="1" ht="53.25" customHeight="1">
      <c r="B35" s="476">
        <f>Equipos!D19</f>
        <v>0</v>
      </c>
      <c r="C35" s="537">
        <f>Equipos!B19</f>
        <v>0</v>
      </c>
      <c r="D35" s="538"/>
      <c r="E35" s="538"/>
      <c r="F35" s="538"/>
      <c r="G35" s="538"/>
      <c r="H35" s="539"/>
      <c r="I35" s="477" t="str">
        <f>IFERROR(IF(Equipos!Q19="","",INDEX(Financiamiento!$C:$C,12+(Equipos!Q19-1)*17)),"")</f>
        <v/>
      </c>
      <c r="J35" s="477" t="str">
        <f t="shared" si="0"/>
        <v/>
      </c>
      <c r="N35" s="361"/>
    </row>
    <row r="36" spans="2:14" s="342" customFormat="1" ht="53.25" customHeight="1">
      <c r="B36" s="476">
        <f>Equipos!D20</f>
        <v>0</v>
      </c>
      <c r="C36" s="537">
        <f>Equipos!B20</f>
        <v>0</v>
      </c>
      <c r="D36" s="538"/>
      <c r="E36" s="538"/>
      <c r="F36" s="538"/>
      <c r="G36" s="538"/>
      <c r="H36" s="539"/>
      <c r="I36" s="477" t="str">
        <f>IFERROR(IF(Equipos!Q20="","",INDEX(Financiamiento!$C:$C,12+(Equipos!Q20-1)*17)),"")</f>
        <v/>
      </c>
      <c r="J36" s="477" t="str">
        <f t="shared" si="0"/>
        <v/>
      </c>
      <c r="N36" s="361"/>
    </row>
    <row r="37" spans="2:14" s="342" customFormat="1" ht="53.25" customHeight="1">
      <c r="B37" s="476">
        <f>Equipos!D21</f>
        <v>0</v>
      </c>
      <c r="C37" s="537">
        <f>Equipos!B21</f>
        <v>0</v>
      </c>
      <c r="D37" s="538"/>
      <c r="E37" s="538"/>
      <c r="F37" s="538"/>
      <c r="G37" s="538"/>
      <c r="H37" s="539"/>
      <c r="I37" s="477" t="str">
        <f>IFERROR(IF(Equipos!Q21="","",INDEX(Financiamiento!$C:$C,12+(Equipos!Q21-1)*17)),"")</f>
        <v/>
      </c>
      <c r="J37" s="477" t="str">
        <f t="shared" si="0"/>
        <v/>
      </c>
      <c r="N37" s="361"/>
    </row>
    <row r="38" spans="2:14" s="342" customFormat="1" ht="53.25" customHeight="1">
      <c r="B38" s="476">
        <f>Equipos!D22</f>
        <v>0</v>
      </c>
      <c r="C38" s="537">
        <f>Equipos!B22</f>
        <v>0</v>
      </c>
      <c r="D38" s="538"/>
      <c r="E38" s="538"/>
      <c r="F38" s="538"/>
      <c r="G38" s="538"/>
      <c r="H38" s="539"/>
      <c r="I38" s="477" t="str">
        <f>IFERROR(IF(Equipos!Q22="","",INDEX(Financiamiento!$C:$C,12+(Equipos!Q22-1)*17)),"")</f>
        <v/>
      </c>
      <c r="J38" s="477" t="str">
        <f t="shared" si="0"/>
        <v/>
      </c>
      <c r="N38" s="361"/>
    </row>
    <row r="39" spans="2:14" s="342" customFormat="1" ht="53.25" customHeight="1">
      <c r="B39" s="476">
        <f>Equipos!D23</f>
        <v>0</v>
      </c>
      <c r="C39" s="537">
        <f>Equipos!B23</f>
        <v>0</v>
      </c>
      <c r="D39" s="538"/>
      <c r="E39" s="538"/>
      <c r="F39" s="538"/>
      <c r="G39" s="538"/>
      <c r="H39" s="539"/>
      <c r="I39" s="477" t="str">
        <f>IFERROR(IF(Equipos!Q23="","",INDEX(Financiamiento!$C:$C,12+(Equipos!Q23-1)*17)),"")</f>
        <v/>
      </c>
      <c r="J39" s="477" t="str">
        <f t="shared" si="0"/>
        <v/>
      </c>
      <c r="N39" s="361"/>
    </row>
    <row r="40" spans="2:14" s="342" customFormat="1" ht="53.25" customHeight="1">
      <c r="B40" s="476">
        <f>Equipos!D24</f>
        <v>0</v>
      </c>
      <c r="C40" s="537">
        <f>Equipos!B24</f>
        <v>0</v>
      </c>
      <c r="D40" s="538"/>
      <c r="E40" s="538"/>
      <c r="F40" s="538"/>
      <c r="G40" s="538"/>
      <c r="H40" s="539"/>
      <c r="I40" s="477" t="str">
        <f>IFERROR(IF(Equipos!Q24="","",INDEX(Financiamiento!$C:$C,12+(Equipos!Q24-1)*17)),"")</f>
        <v/>
      </c>
      <c r="J40" s="477" t="str">
        <f t="shared" si="0"/>
        <v/>
      </c>
      <c r="N40" s="361"/>
    </row>
    <row r="41" spans="2:14" s="342" customFormat="1" ht="53.25" customHeight="1">
      <c r="B41" s="476">
        <f>Equipos!D25</f>
        <v>0</v>
      </c>
      <c r="C41" s="537">
        <f>Equipos!B25</f>
        <v>0</v>
      </c>
      <c r="D41" s="538"/>
      <c r="E41" s="538"/>
      <c r="F41" s="538"/>
      <c r="G41" s="538"/>
      <c r="H41" s="539"/>
      <c r="I41" s="477" t="str">
        <f>IFERROR(IF(Equipos!Q25="","",INDEX(Financiamiento!$C:$C,12+(Equipos!Q25-1)*17)),"")</f>
        <v/>
      </c>
      <c r="J41" s="477" t="str">
        <f t="shared" si="0"/>
        <v/>
      </c>
      <c r="N41" s="361"/>
    </row>
    <row r="42" spans="2:14" s="342" customFormat="1" ht="53.25" customHeight="1">
      <c r="B42" s="476">
        <f>Equipos!D26</f>
        <v>0</v>
      </c>
      <c r="C42" s="537">
        <f>Equipos!B26</f>
        <v>0</v>
      </c>
      <c r="D42" s="538"/>
      <c r="E42" s="538"/>
      <c r="F42" s="538"/>
      <c r="G42" s="538"/>
      <c r="H42" s="539"/>
      <c r="I42" s="477" t="str">
        <f>IFERROR(IF(Equipos!Q26="","",INDEX(Financiamiento!$C:$C,12+(Equipos!Q26-1)*17)),"")</f>
        <v/>
      </c>
      <c r="J42" s="477" t="str">
        <f t="shared" si="0"/>
        <v/>
      </c>
      <c r="N42" s="361"/>
    </row>
    <row r="43" spans="2:14" s="342" customFormat="1" ht="53.25" customHeight="1">
      <c r="B43" s="476">
        <f>Equipos!D27</f>
        <v>0</v>
      </c>
      <c r="C43" s="537">
        <f>Equipos!B27</f>
        <v>0</v>
      </c>
      <c r="D43" s="538"/>
      <c r="E43" s="538"/>
      <c r="F43" s="538"/>
      <c r="G43" s="538"/>
      <c r="H43" s="539"/>
      <c r="I43" s="477" t="str">
        <f>IFERROR(IF(Equipos!Q27="","",INDEX(Financiamiento!$C:$C,12+(Equipos!Q27-1)*17)),"")</f>
        <v/>
      </c>
      <c r="J43" s="477" t="str">
        <f t="shared" si="0"/>
        <v/>
      </c>
      <c r="N43" s="361"/>
    </row>
    <row r="44" spans="2:14" s="342" customFormat="1" ht="53.25" customHeight="1">
      <c r="B44" s="476">
        <f>Equipos!D28</f>
        <v>0</v>
      </c>
      <c r="C44" s="537">
        <f>Equipos!B28</f>
        <v>0</v>
      </c>
      <c r="D44" s="538"/>
      <c r="E44" s="538"/>
      <c r="F44" s="538"/>
      <c r="G44" s="538"/>
      <c r="H44" s="539"/>
      <c r="I44" s="477" t="str">
        <f>IFERROR(IF(Equipos!Q28="","",INDEX(Financiamiento!$C:$C,12+(Equipos!Q28-1)*17)),"")</f>
        <v/>
      </c>
      <c r="J44" s="477" t="str">
        <f t="shared" si="0"/>
        <v/>
      </c>
      <c r="N44" s="361"/>
    </row>
    <row r="45" spans="2:14" s="342" customFormat="1" ht="53.25" customHeight="1">
      <c r="B45" s="476">
        <f>Equipos!D29</f>
        <v>0</v>
      </c>
      <c r="C45" s="537">
        <f>Equipos!B29</f>
        <v>0</v>
      </c>
      <c r="D45" s="538"/>
      <c r="E45" s="538"/>
      <c r="F45" s="538"/>
      <c r="G45" s="538"/>
      <c r="H45" s="539"/>
      <c r="I45" s="477" t="str">
        <f>IFERROR(IF(Equipos!Q29="","",INDEX(Financiamiento!$C:$C,12+(Equipos!Q29-1)*17)),"")</f>
        <v/>
      </c>
      <c r="J45" s="477" t="str">
        <f t="shared" si="0"/>
        <v/>
      </c>
      <c r="N45" s="361"/>
    </row>
    <row r="46" spans="2:14" s="342" customFormat="1" ht="53.25" customHeight="1">
      <c r="B46" s="476">
        <f>Equipos!D30</f>
        <v>0</v>
      </c>
      <c r="C46" s="537">
        <f>Equipos!B30</f>
        <v>0</v>
      </c>
      <c r="D46" s="538"/>
      <c r="E46" s="538"/>
      <c r="F46" s="538"/>
      <c r="G46" s="538"/>
      <c r="H46" s="539"/>
      <c r="I46" s="477" t="str">
        <f>IFERROR(IF(Equipos!Q30="","",INDEX(Financiamiento!$C:$C,12+(Equipos!Q30-1)*17)),"")</f>
        <v/>
      </c>
      <c r="J46" s="477" t="str">
        <f t="shared" si="0"/>
        <v/>
      </c>
      <c r="N46" s="361"/>
    </row>
    <row r="47" spans="2:14" s="342" customFormat="1" ht="53.25" customHeight="1">
      <c r="B47" s="476">
        <f>Equipos!D31</f>
        <v>0</v>
      </c>
      <c r="C47" s="537">
        <f>Equipos!B31</f>
        <v>0</v>
      </c>
      <c r="D47" s="538"/>
      <c r="E47" s="538"/>
      <c r="F47" s="538"/>
      <c r="G47" s="538"/>
      <c r="H47" s="539"/>
      <c r="I47" s="477" t="str">
        <f>IFERROR(IF(Equipos!Q31="","",INDEX(Financiamiento!$C:$C,12+(Equipos!Q31-1)*17)),"")</f>
        <v/>
      </c>
      <c r="J47" s="477" t="str">
        <f t="shared" si="0"/>
        <v/>
      </c>
      <c r="N47" s="361"/>
    </row>
    <row r="48" spans="2:14" s="342" customFormat="1" ht="53.25" customHeight="1">
      <c r="B48" s="476">
        <f>Equipos!D32</f>
        <v>0</v>
      </c>
      <c r="C48" s="537">
        <f>Equipos!B32</f>
        <v>0</v>
      </c>
      <c r="D48" s="538"/>
      <c r="E48" s="538"/>
      <c r="F48" s="538"/>
      <c r="G48" s="538"/>
      <c r="H48" s="539"/>
      <c r="I48" s="477" t="str">
        <f>IFERROR(IF(Equipos!Q32="","",INDEX(Financiamiento!$C:$C,12+(Equipos!Q32-1)*17)),"")</f>
        <v/>
      </c>
      <c r="J48" s="477" t="str">
        <f t="shared" si="0"/>
        <v/>
      </c>
      <c r="N48" s="361"/>
    </row>
    <row r="49" spans="2:14" s="342" customFormat="1" ht="53.25" customHeight="1">
      <c r="B49" s="476">
        <f>Equipos!D33</f>
        <v>0</v>
      </c>
      <c r="C49" s="537">
        <f>Equipos!B33</f>
        <v>0</v>
      </c>
      <c r="D49" s="538"/>
      <c r="E49" s="538"/>
      <c r="F49" s="538"/>
      <c r="G49" s="538"/>
      <c r="H49" s="539"/>
      <c r="I49" s="477" t="str">
        <f>IFERROR(IF(Equipos!Q33="","",INDEX(Financiamiento!$C:$C,12+(Equipos!Q33-1)*17)),"")</f>
        <v/>
      </c>
      <c r="J49" s="477" t="str">
        <f t="shared" si="0"/>
        <v/>
      </c>
      <c r="N49" s="361"/>
    </row>
    <row r="50" spans="2:14" s="342" customFormat="1" ht="53.25" customHeight="1">
      <c r="B50" s="476">
        <f>Equipos!D34</f>
        <v>0</v>
      </c>
      <c r="C50" s="537">
        <f>Equipos!B34</f>
        <v>0</v>
      </c>
      <c r="D50" s="538"/>
      <c r="E50" s="538"/>
      <c r="F50" s="538"/>
      <c r="G50" s="538"/>
      <c r="H50" s="539"/>
      <c r="I50" s="477" t="str">
        <f>IFERROR(IF(Equipos!Q34="","",INDEX(Financiamiento!$C:$C,12+(Equipos!Q34-1)*17)),"")</f>
        <v/>
      </c>
      <c r="J50" s="477" t="str">
        <f t="shared" si="0"/>
        <v/>
      </c>
      <c r="N50" s="361"/>
    </row>
    <row r="51" spans="2:14" s="342" customFormat="1" ht="53.25" customHeight="1">
      <c r="B51" s="476">
        <f>Equipos!D35</f>
        <v>0</v>
      </c>
      <c r="C51" s="537">
        <f>Equipos!B35</f>
        <v>0</v>
      </c>
      <c r="D51" s="538"/>
      <c r="E51" s="538"/>
      <c r="F51" s="538"/>
      <c r="G51" s="538"/>
      <c r="H51" s="539"/>
      <c r="I51" s="477" t="str">
        <f>IFERROR(IF(Equipos!Q35="","",INDEX(Financiamiento!$C:$C,12+(Equipos!Q35-1)*17)),"")</f>
        <v/>
      </c>
      <c r="J51" s="477" t="str">
        <f t="shared" si="0"/>
        <v/>
      </c>
      <c r="N51" s="361"/>
    </row>
    <row r="52" spans="2:14" s="342" customFormat="1" ht="53.25" customHeight="1">
      <c r="B52" s="476">
        <f>Equipos!D36</f>
        <v>0</v>
      </c>
      <c r="C52" s="537">
        <f>Equipos!B36</f>
        <v>0</v>
      </c>
      <c r="D52" s="538"/>
      <c r="E52" s="538"/>
      <c r="F52" s="538"/>
      <c r="G52" s="538"/>
      <c r="H52" s="539"/>
      <c r="I52" s="477" t="str">
        <f>IFERROR(IF(Equipos!Q36="","",INDEX(Financiamiento!$C:$C,12+(Equipos!Q36-1)*17)),"")</f>
        <v/>
      </c>
      <c r="J52" s="477" t="str">
        <f t="shared" si="0"/>
        <v/>
      </c>
      <c r="N52" s="361"/>
    </row>
    <row r="53" spans="2:14" s="342" customFormat="1" ht="53.25" customHeight="1">
      <c r="B53" s="476">
        <f>Equipos!D37</f>
        <v>0</v>
      </c>
      <c r="C53" s="537">
        <f>Equipos!B37</f>
        <v>0</v>
      </c>
      <c r="D53" s="538"/>
      <c r="E53" s="538"/>
      <c r="F53" s="538"/>
      <c r="G53" s="538"/>
      <c r="H53" s="539"/>
      <c r="I53" s="477" t="str">
        <f>IFERROR(IF(Equipos!Q37="","",INDEX(Financiamiento!$C:$C,12+(Equipos!Q37-1)*17)),"")</f>
        <v/>
      </c>
      <c r="J53" s="477" t="str">
        <f t="shared" si="0"/>
        <v/>
      </c>
      <c r="N53" s="361"/>
    </row>
    <row r="54" spans="2:14" s="342" customFormat="1" ht="53.25" customHeight="1">
      <c r="B54" s="476">
        <f>Equipos!D38</f>
        <v>0</v>
      </c>
      <c r="C54" s="537">
        <f>Equipos!B38</f>
        <v>0</v>
      </c>
      <c r="D54" s="538"/>
      <c r="E54" s="538"/>
      <c r="F54" s="538"/>
      <c r="G54" s="538"/>
      <c r="H54" s="539"/>
      <c r="I54" s="477" t="str">
        <f>IFERROR(IF(Equipos!Q38="","",INDEX(Financiamiento!$C:$C,12+(Equipos!Q38-1)*17)),"")</f>
        <v/>
      </c>
      <c r="J54" s="477" t="str">
        <f t="shared" ref="J54:J71" si="1">IFERROR(I54*B54,"")</f>
        <v/>
      </c>
      <c r="N54" s="361"/>
    </row>
    <row r="55" spans="2:14" s="342" customFormat="1" ht="53.25" customHeight="1">
      <c r="B55" s="476">
        <f>Equipos!D39</f>
        <v>0</v>
      </c>
      <c r="C55" s="537">
        <f>Equipos!B39</f>
        <v>0</v>
      </c>
      <c r="D55" s="538"/>
      <c r="E55" s="538"/>
      <c r="F55" s="538"/>
      <c r="G55" s="538"/>
      <c r="H55" s="539"/>
      <c r="I55" s="477" t="str">
        <f>IFERROR(IF(Equipos!Q39="","",INDEX(Financiamiento!$C:$C,12+(Equipos!Q39-1)*17)),"")</f>
        <v/>
      </c>
      <c r="J55" s="477" t="str">
        <f t="shared" si="1"/>
        <v/>
      </c>
      <c r="N55" s="361"/>
    </row>
    <row r="56" spans="2:14" s="342" customFormat="1" ht="53.25" customHeight="1">
      <c r="B56" s="476">
        <f>Equipos!D40</f>
        <v>0</v>
      </c>
      <c r="C56" s="537">
        <f>Equipos!B40</f>
        <v>0</v>
      </c>
      <c r="D56" s="538"/>
      <c r="E56" s="538"/>
      <c r="F56" s="538"/>
      <c r="G56" s="538"/>
      <c r="H56" s="539"/>
      <c r="I56" s="477" t="str">
        <f>IFERROR(IF(Equipos!Q40="","",INDEX(Financiamiento!$C:$C,12+(Equipos!Q40-1)*17)),"")</f>
        <v/>
      </c>
      <c r="J56" s="477" t="str">
        <f t="shared" si="1"/>
        <v/>
      </c>
      <c r="N56" s="361"/>
    </row>
    <row r="57" spans="2:14" s="342" customFormat="1" ht="53.25" customHeight="1">
      <c r="B57" s="476">
        <f>Equipos!D41</f>
        <v>0</v>
      </c>
      <c r="C57" s="537">
        <f>Equipos!B41</f>
        <v>0</v>
      </c>
      <c r="D57" s="538"/>
      <c r="E57" s="538"/>
      <c r="F57" s="538"/>
      <c r="G57" s="538"/>
      <c r="H57" s="539"/>
      <c r="I57" s="477" t="str">
        <f>IFERROR(IF(Equipos!Q41="","",INDEX(Financiamiento!$C:$C,12+(Equipos!Q41-1)*17)),"")</f>
        <v/>
      </c>
      <c r="J57" s="477" t="str">
        <f t="shared" si="1"/>
        <v/>
      </c>
      <c r="N57" s="361"/>
    </row>
    <row r="58" spans="2:14" s="342" customFormat="1" ht="53.25" customHeight="1">
      <c r="B58" s="476">
        <f>Equipos!D42</f>
        <v>0</v>
      </c>
      <c r="C58" s="537">
        <f>Equipos!B42</f>
        <v>0</v>
      </c>
      <c r="D58" s="538"/>
      <c r="E58" s="538"/>
      <c r="F58" s="538"/>
      <c r="G58" s="538"/>
      <c r="H58" s="539"/>
      <c r="I58" s="477" t="str">
        <f>IFERROR(IF(Equipos!Q42="","",INDEX(Financiamiento!$C:$C,12+(Equipos!Q42-1)*17)),"")</f>
        <v/>
      </c>
      <c r="J58" s="477" t="str">
        <f t="shared" si="1"/>
        <v/>
      </c>
      <c r="N58" s="361"/>
    </row>
    <row r="59" spans="2:14" s="342" customFormat="1" ht="53.25" customHeight="1">
      <c r="B59" s="476">
        <f>Equipos!D43</f>
        <v>0</v>
      </c>
      <c r="C59" s="537">
        <f>Equipos!B43</f>
        <v>0</v>
      </c>
      <c r="D59" s="538"/>
      <c r="E59" s="538"/>
      <c r="F59" s="538"/>
      <c r="G59" s="538"/>
      <c r="H59" s="539"/>
      <c r="I59" s="477" t="str">
        <f>IFERROR(IF(Equipos!Q43="","",INDEX(Financiamiento!$C:$C,12+(Equipos!Q43-1)*17)),"")</f>
        <v/>
      </c>
      <c r="J59" s="477" t="str">
        <f t="shared" si="1"/>
        <v/>
      </c>
      <c r="N59" s="361"/>
    </row>
    <row r="60" spans="2:14" s="342" customFormat="1" ht="53.25" customHeight="1">
      <c r="B60" s="476">
        <f>Equipos!D44</f>
        <v>0</v>
      </c>
      <c r="C60" s="537">
        <f>Equipos!B44</f>
        <v>0</v>
      </c>
      <c r="D60" s="538"/>
      <c r="E60" s="538"/>
      <c r="F60" s="538"/>
      <c r="G60" s="538"/>
      <c r="H60" s="539"/>
      <c r="I60" s="477" t="str">
        <f>IFERROR(IF(Equipos!Q44="","",INDEX(Financiamiento!$C:$C,12+(Equipos!Q44-1)*17)),"")</f>
        <v/>
      </c>
      <c r="J60" s="477" t="str">
        <f t="shared" si="1"/>
        <v/>
      </c>
      <c r="N60" s="361"/>
    </row>
    <row r="61" spans="2:14" s="342" customFormat="1" ht="53.25" customHeight="1">
      <c r="B61" s="476">
        <f>Equipos!D45</f>
        <v>0</v>
      </c>
      <c r="C61" s="537">
        <f>Equipos!B45</f>
        <v>0</v>
      </c>
      <c r="D61" s="538"/>
      <c r="E61" s="538"/>
      <c r="F61" s="538"/>
      <c r="G61" s="538"/>
      <c r="H61" s="539"/>
      <c r="I61" s="477" t="str">
        <f>IFERROR(IF(Equipos!Q45="","",INDEX(Financiamiento!$C:$C,12+(Equipos!Q45-1)*17)),"")</f>
        <v/>
      </c>
      <c r="J61" s="477" t="str">
        <f t="shared" si="1"/>
        <v/>
      </c>
      <c r="N61" s="361"/>
    </row>
    <row r="62" spans="2:14" s="342" customFormat="1" ht="53.25" customHeight="1">
      <c r="B62" s="476">
        <f>Equipos!D46</f>
        <v>0</v>
      </c>
      <c r="C62" s="537">
        <f>Equipos!B46</f>
        <v>0</v>
      </c>
      <c r="D62" s="538"/>
      <c r="E62" s="538"/>
      <c r="F62" s="538"/>
      <c r="G62" s="538"/>
      <c r="H62" s="539"/>
      <c r="I62" s="477" t="str">
        <f>IFERROR(IF(Equipos!Q46="","",INDEX(Financiamiento!$C:$C,12+(Equipos!Q46-1)*17)),"")</f>
        <v/>
      </c>
      <c r="J62" s="477" t="str">
        <f t="shared" si="1"/>
        <v/>
      </c>
      <c r="N62" s="361"/>
    </row>
    <row r="63" spans="2:14" s="342" customFormat="1" ht="53.25" customHeight="1">
      <c r="B63" s="476">
        <f>Equipos!D47</f>
        <v>0</v>
      </c>
      <c r="C63" s="537">
        <f>Equipos!B47</f>
        <v>0</v>
      </c>
      <c r="D63" s="538"/>
      <c r="E63" s="538"/>
      <c r="F63" s="538"/>
      <c r="G63" s="538"/>
      <c r="H63" s="539"/>
      <c r="I63" s="477" t="str">
        <f>IFERROR(IF(Equipos!Q47="","",INDEX(Financiamiento!$C:$C,12+(Equipos!Q47-1)*17)),"")</f>
        <v/>
      </c>
      <c r="J63" s="477" t="str">
        <f t="shared" si="1"/>
        <v/>
      </c>
      <c r="N63" s="361"/>
    </row>
    <row r="64" spans="2:14" s="342" customFormat="1" ht="53.25" customHeight="1">
      <c r="B64" s="476">
        <f>Equipos!D48</f>
        <v>0</v>
      </c>
      <c r="C64" s="537">
        <f>Equipos!B48</f>
        <v>0</v>
      </c>
      <c r="D64" s="538"/>
      <c r="E64" s="538"/>
      <c r="F64" s="538"/>
      <c r="G64" s="538"/>
      <c r="H64" s="539"/>
      <c r="I64" s="477" t="str">
        <f>IFERROR(IF(Equipos!Q48="","",INDEX(Financiamiento!$C:$C,12+(Equipos!Q48-1)*17)),"")</f>
        <v/>
      </c>
      <c r="J64" s="477" t="str">
        <f t="shared" si="1"/>
        <v/>
      </c>
      <c r="N64" s="361"/>
    </row>
    <row r="65" spans="2:14" s="342" customFormat="1" ht="53.25" customHeight="1">
      <c r="B65" s="476">
        <f>Equipos!D49</f>
        <v>0</v>
      </c>
      <c r="C65" s="537">
        <f>Equipos!B49</f>
        <v>0</v>
      </c>
      <c r="D65" s="538"/>
      <c r="E65" s="538"/>
      <c r="F65" s="538"/>
      <c r="G65" s="538"/>
      <c r="H65" s="539"/>
      <c r="I65" s="477" t="str">
        <f>IFERROR(IF(Equipos!Q49="","",INDEX(Financiamiento!$C:$C,12+(Equipos!Q49-1)*17)),"")</f>
        <v/>
      </c>
      <c r="J65" s="477" t="str">
        <f t="shared" si="1"/>
        <v/>
      </c>
      <c r="N65" s="361"/>
    </row>
    <row r="66" spans="2:14" s="342" customFormat="1" ht="53.25" customHeight="1">
      <c r="B66" s="476">
        <f>Equipos!D50</f>
        <v>0</v>
      </c>
      <c r="C66" s="537">
        <f>Equipos!B50</f>
        <v>0</v>
      </c>
      <c r="D66" s="538"/>
      <c r="E66" s="538"/>
      <c r="F66" s="538"/>
      <c r="G66" s="538"/>
      <c r="H66" s="539"/>
      <c r="I66" s="477" t="str">
        <f>IFERROR(IF(Equipos!Q50="","",INDEX(Financiamiento!$C:$C,12+(Equipos!Q50-1)*17)),"")</f>
        <v/>
      </c>
      <c r="J66" s="477" t="str">
        <f t="shared" si="1"/>
        <v/>
      </c>
      <c r="N66" s="361"/>
    </row>
    <row r="67" spans="2:14" s="342" customFormat="1" ht="53.25" customHeight="1">
      <c r="B67" s="476">
        <f>Equipos!D51</f>
        <v>0</v>
      </c>
      <c r="C67" s="537">
        <f>Equipos!B51</f>
        <v>0</v>
      </c>
      <c r="D67" s="538"/>
      <c r="E67" s="538"/>
      <c r="F67" s="538"/>
      <c r="G67" s="538"/>
      <c r="H67" s="539"/>
      <c r="I67" s="477" t="str">
        <f>IFERROR(IF(Equipos!Q51="","",INDEX(Financiamiento!$C:$C,12+(Equipos!Q51-1)*17)),"")</f>
        <v/>
      </c>
      <c r="J67" s="477" t="str">
        <f t="shared" si="1"/>
        <v/>
      </c>
      <c r="N67" s="361"/>
    </row>
    <row r="68" spans="2:14" s="342" customFormat="1" ht="53.25" customHeight="1">
      <c r="B68" s="476">
        <f>Equipos!D52</f>
        <v>0</v>
      </c>
      <c r="C68" s="537">
        <f>Equipos!B52</f>
        <v>0</v>
      </c>
      <c r="D68" s="538"/>
      <c r="E68" s="538"/>
      <c r="F68" s="538"/>
      <c r="G68" s="538"/>
      <c r="H68" s="539"/>
      <c r="I68" s="477" t="str">
        <f>IFERROR(IF(Equipos!Q52="","",INDEX(Financiamiento!$C:$C,12+(Equipos!Q52-1)*17)),"")</f>
        <v/>
      </c>
      <c r="J68" s="477" t="str">
        <f t="shared" si="1"/>
        <v/>
      </c>
      <c r="N68" s="361"/>
    </row>
    <row r="69" spans="2:14" s="342" customFormat="1" ht="53.25" customHeight="1">
      <c r="B69" s="476">
        <f>Equipos!D53</f>
        <v>0</v>
      </c>
      <c r="C69" s="537">
        <f>Equipos!B53</f>
        <v>0</v>
      </c>
      <c r="D69" s="538"/>
      <c r="E69" s="538"/>
      <c r="F69" s="538"/>
      <c r="G69" s="538"/>
      <c r="H69" s="539"/>
      <c r="I69" s="477" t="str">
        <f>IFERROR(IF(Equipos!Q53="","",INDEX(Financiamiento!$C:$C,12+(Equipos!Q53-1)*17)),"")</f>
        <v/>
      </c>
      <c r="J69" s="477" t="str">
        <f t="shared" si="1"/>
        <v/>
      </c>
      <c r="N69" s="361"/>
    </row>
    <row r="70" spans="2:14" s="342" customFormat="1" ht="53.25" customHeight="1">
      <c r="B70" s="476">
        <f>Equipos!D54</f>
        <v>0</v>
      </c>
      <c r="C70" s="537">
        <f>Equipos!B54</f>
        <v>0</v>
      </c>
      <c r="D70" s="538"/>
      <c r="E70" s="538"/>
      <c r="F70" s="538"/>
      <c r="G70" s="538"/>
      <c r="H70" s="539"/>
      <c r="I70" s="477" t="str">
        <f>IFERROR(IF(Equipos!Q54="","",INDEX(Financiamiento!$C:$C,12+(Equipos!Q54-1)*17)),"")</f>
        <v/>
      </c>
      <c r="J70" s="477" t="str">
        <f t="shared" si="1"/>
        <v/>
      </c>
      <c r="N70" s="361"/>
    </row>
    <row r="71" spans="2:14" s="342" customFormat="1" ht="39" customHeight="1">
      <c r="B71" s="476">
        <f>Equipos!D55</f>
        <v>0</v>
      </c>
      <c r="C71" s="537">
        <f>Equipos!B55</f>
        <v>0</v>
      </c>
      <c r="D71" s="538"/>
      <c r="E71" s="538"/>
      <c r="F71" s="538"/>
      <c r="G71" s="538"/>
      <c r="H71" s="539"/>
      <c r="I71" s="477" t="str">
        <f>IFERROR(IF(Equipos!Q55="","",INDEX(Financiamiento!$C:$C,12+(Equipos!Q55-1)*17)),"")</f>
        <v/>
      </c>
      <c r="J71" s="477" t="str">
        <f t="shared" si="1"/>
        <v/>
      </c>
      <c r="N71" s="361"/>
    </row>
    <row r="72" spans="2:14">
      <c r="B72" s="542" t="s">
        <v>348</v>
      </c>
      <c r="C72" s="543"/>
      <c r="D72" s="543"/>
      <c r="E72" s="543"/>
      <c r="F72" s="543"/>
      <c r="G72" s="543"/>
      <c r="H72" s="543"/>
      <c r="I72" s="543"/>
      <c r="J72" s="544"/>
    </row>
    <row r="73" spans="2:14" ht="15.75" customHeight="1">
      <c r="B73" s="363"/>
      <c r="C73" s="364"/>
      <c r="D73" s="365"/>
      <c r="E73" s="365"/>
      <c r="F73" s="365"/>
      <c r="G73" s="365"/>
      <c r="H73" s="366"/>
      <c r="I73" s="367"/>
      <c r="J73" s="368"/>
    </row>
    <row r="74" spans="2:14">
      <c r="B74" s="353"/>
      <c r="C74" s="369"/>
      <c r="D74" s="353"/>
      <c r="I74" s="370" t="s">
        <v>349</v>
      </c>
      <c r="J74" s="371">
        <f>SUM(J21:J73)</f>
        <v>0</v>
      </c>
      <c r="K74" s="434">
        <f>+Equipos!P57+'OPEX GV'!O17</f>
        <v>0</v>
      </c>
      <c r="L74" s="585" t="str">
        <f>IF(ROUND(SUM(J22:J71)-SUBTOTAL(109,J22:J71),2)&lt;&gt;0,"OJO: hay l"&amp;_xlfn.UNICHAR(237)&amp;"neas ocultas con monto. Mostralas: si no, suman pero no aparecen en la cotizaci"&amp;_xlfn.UNICHAR(243)&amp;"n.","")</f>
        <v/>
      </c>
    </row>
    <row r="75" spans="2:14">
      <c r="B75" s="353"/>
      <c r="C75" s="369"/>
      <c r="D75" s="353"/>
      <c r="I75" s="372" t="s">
        <v>350</v>
      </c>
      <c r="J75" s="373">
        <f>J74*IF(LOWER(TRIM('Datos del proyecto'!$B$15))="si",0,IF(ISNUMBER('Datos del proyecto'!$B$16),IF('Datos del proyecto'!$B$16&gt;1,'Datos del proyecto'!$B$16/100,'Datos del proyecto'!$B$16),0.13))</f>
        <v>0</v>
      </c>
    </row>
    <row r="76" spans="2:14">
      <c r="B76" s="374" t="s">
        <v>351</v>
      </c>
      <c r="C76" s="369"/>
      <c r="D76" s="353"/>
      <c r="I76" s="370" t="s">
        <v>644</v>
      </c>
      <c r="J76" s="375">
        <f>ROUNDDOWN(J74+J75,2)</f>
        <v>0</v>
      </c>
    </row>
    <row r="77" spans="2:14" ht="15" customHeight="1">
      <c r="B77" s="374"/>
      <c r="C77" s="369"/>
      <c r="D77" s="353"/>
    </row>
    <row r="78" spans="2:14" ht="15" customHeight="1" thickBot="1">
      <c r="B78" s="374"/>
      <c r="C78" s="369"/>
      <c r="D78" s="353"/>
    </row>
    <row r="79" spans="2:14" ht="18.75" customHeight="1" thickTop="1">
      <c r="B79" s="348"/>
      <c r="C79" s="348"/>
      <c r="D79" s="348"/>
      <c r="E79" s="348"/>
      <c r="F79" s="348"/>
      <c r="G79" s="349"/>
      <c r="H79" s="349"/>
      <c r="I79" s="348"/>
      <c r="J79" s="350"/>
    </row>
    <row r="80" spans="2:14" ht="17.5">
      <c r="G80" s="351"/>
      <c r="H80" s="351"/>
      <c r="J80" s="352"/>
    </row>
    <row r="81" spans="2:10" ht="17.5">
      <c r="G81" s="351"/>
      <c r="H81" s="351"/>
      <c r="J81" s="352"/>
    </row>
    <row r="82" spans="2:10" ht="17.5">
      <c r="G82" s="351"/>
      <c r="H82" s="351"/>
      <c r="J82" s="352"/>
    </row>
    <row r="83" spans="2:10" ht="17.5">
      <c r="G83" s="351"/>
      <c r="H83" s="351"/>
      <c r="J83" s="352"/>
    </row>
    <row r="88" spans="2:10">
      <c r="B88" s="376" t="s">
        <v>571</v>
      </c>
      <c r="C88" s="377"/>
      <c r="D88" s="377"/>
    </row>
    <row r="89" spans="2:10">
      <c r="B89" s="540" t="s">
        <v>353</v>
      </c>
      <c r="C89" s="540"/>
      <c r="D89" s="540"/>
      <c r="E89" s="540"/>
    </row>
    <row r="90" spans="2:10" ht="25.5" customHeight="1">
      <c r="B90" s="541" t="s">
        <v>354</v>
      </c>
      <c r="C90" s="541"/>
      <c r="D90" s="541"/>
      <c r="E90" s="541"/>
    </row>
    <row r="91" spans="2:10">
      <c r="B91" s="540" t="s">
        <v>339</v>
      </c>
      <c r="C91" s="540"/>
      <c r="D91" s="540"/>
      <c r="E91" s="540"/>
    </row>
    <row r="92" spans="2:10">
      <c r="B92" s="540" t="s">
        <v>572</v>
      </c>
      <c r="C92" s="540"/>
      <c r="D92" s="540"/>
      <c r="E92" s="362"/>
    </row>
  </sheetData>
  <mergeCells count="63">
    <mergeCell ref="B90:E90"/>
    <mergeCell ref="B91:E91"/>
    <mergeCell ref="B92:D92"/>
    <mergeCell ref="C68:H68"/>
    <mergeCell ref="C69:H69"/>
    <mergeCell ref="C70:H70"/>
    <mergeCell ref="C71:H71"/>
    <mergeCell ref="B72:J72"/>
    <mergeCell ref="B89:E89"/>
    <mergeCell ref="C67:H67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55:H55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43:H43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31:H31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18:G18"/>
    <mergeCell ref="B5:C5"/>
    <mergeCell ref="B6:F6"/>
    <mergeCell ref="C12:G12"/>
    <mergeCell ref="C13:G13"/>
    <mergeCell ref="C14:G14"/>
  </mergeCells>
  <dataValidations count="3">
    <dataValidation type="decimal" allowBlank="1" showErrorMessage="1" errorTitle="Unit Price" error="You must enter a number into this cell." promptTitle="Unit Price" sqref="J21:J71" xr:uid="{55363853-3F90-470E-A671-DB62DD3D88F7}">
      <formula1>0</formula1>
      <formula2>1000000000</formula2>
    </dataValidation>
    <dataValidation type="textLength" errorStyle="warning" allowBlank="1" showErrorMessage="1" errorTitle="Total" error="The shaded cells contain formulas and are automatically calculated by Excel. DO NOT enter any information into them." promptTitle="Total" sqref="J74" xr:uid="{4E0325BB-59C6-42C6-BC64-3FD863AA0283}">
      <formula1>0</formula1>
      <formula2>0</formula2>
    </dataValidation>
    <dataValidation type="whole" errorStyle="warning" allowBlank="1" showErrorMessage="1" errorTitle="Quantity" error="You must enter a number in this cell." promptTitle="Quantity" sqref="B73" xr:uid="{B041EB99-9E01-48A0-9A8A-3932F9A79B91}">
      <formula1>0</formula1>
      <formula2>1000000000</formula2>
    </dataValidation>
  </dataValidations>
  <hyperlinks>
    <hyperlink ref="I5" r:id="rId1" xr:uid="{DC9BF542-F5DB-4869-AEAE-63B13B525FBA}"/>
  </hyperlinks>
  <pageMargins left="0.25" right="0.25" top="0.75" bottom="0.75" header="0.3" footer="0.3"/>
  <pageSetup scale="83" fitToHeight="0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Q65"/>
  <sheetViews>
    <sheetView showGridLines="0" zoomScale="90" zoomScaleNormal="90" workbookViewId="0">
      <pane ySplit="4" topLeftCell="A5" activePane="bottomLeft" state="frozen"/>
      <selection pane="bottomLeft" activeCell="K25" sqref="K25"/>
    </sheetView>
  </sheetViews>
  <sheetFormatPr defaultColWidth="9.1796875" defaultRowHeight="12.5"/>
  <cols>
    <col min="1" max="1" width="4.7265625" style="11" customWidth="1"/>
    <col min="2" max="2" width="44.1796875" style="15" customWidth="1"/>
    <col min="3" max="3" width="15.7265625" style="15" customWidth="1"/>
    <col min="4" max="4" width="8.7265625" style="11" customWidth="1"/>
    <col min="5" max="5" width="18.54296875" style="15" customWidth="1"/>
    <col min="6" max="6" width="15.54296875" style="15" customWidth="1"/>
    <col min="7" max="7" width="11.7265625" style="15" customWidth="1"/>
    <col min="8" max="9" width="11.26953125" style="15" customWidth="1"/>
    <col min="10" max="10" width="12.81640625" style="15" customWidth="1"/>
    <col min="11" max="11" width="14" style="15" customWidth="1"/>
    <col min="12" max="12" width="22.7265625" style="15" customWidth="1"/>
    <col min="13" max="13" width="15.453125" style="15" customWidth="1"/>
    <col min="14" max="14" width="16.7265625" style="15" customWidth="1"/>
    <col min="15" max="15" width="15.1796875" style="15" customWidth="1"/>
    <col min="16" max="16" width="19.1796875" style="15" customWidth="1"/>
    <col min="17" max="17" width="25.54296875" style="15" customWidth="1"/>
    <col min="18" max="16384" width="9.1796875" style="15"/>
  </cols>
  <sheetData>
    <row r="1" spans="1:17" ht="28.5" customHeight="1">
      <c r="B1" s="557" t="s">
        <v>355</v>
      </c>
      <c r="C1" s="557"/>
      <c r="D1" s="557"/>
      <c r="E1" s="558"/>
      <c r="F1" s="559"/>
      <c r="G1" s="184"/>
    </row>
    <row r="2" spans="1:17" ht="13">
      <c r="B2" s="11"/>
      <c r="C2" s="11"/>
      <c r="E2" s="17"/>
      <c r="F2" s="192"/>
      <c r="H2" s="29"/>
      <c r="L2" s="204">
        <v>0.04</v>
      </c>
    </row>
    <row r="3" spans="1:17" ht="13">
      <c r="B3" s="560" t="s">
        <v>356</v>
      </c>
      <c r="C3" s="560"/>
      <c r="D3" s="560"/>
      <c r="E3" s="560"/>
      <c r="F3" s="560"/>
      <c r="G3" s="23" t="s">
        <v>357</v>
      </c>
      <c r="H3" s="23" t="s">
        <v>425</v>
      </c>
      <c r="I3" s="23" t="s">
        <v>320</v>
      </c>
      <c r="J3" s="23" t="s">
        <v>359</v>
      </c>
      <c r="K3" s="21" t="s">
        <v>360</v>
      </c>
      <c r="L3" s="205" t="s">
        <v>361</v>
      </c>
      <c r="M3" s="22" t="s">
        <v>247</v>
      </c>
      <c r="N3" s="23" t="s">
        <v>362</v>
      </c>
      <c r="O3" s="24" t="s">
        <v>312</v>
      </c>
      <c r="P3" s="24" t="s">
        <v>312</v>
      </c>
      <c r="Q3" s="439" t="s">
        <v>531</v>
      </c>
    </row>
    <row r="4" spans="1:17" ht="13">
      <c r="B4" s="27" t="s">
        <v>0</v>
      </c>
      <c r="C4" s="206" t="s">
        <v>363</v>
      </c>
      <c r="D4" s="27" t="s">
        <v>1</v>
      </c>
      <c r="E4" s="27" t="s">
        <v>364</v>
      </c>
      <c r="F4" s="27" t="s">
        <v>365</v>
      </c>
      <c r="G4" s="26">
        <v>0.1</v>
      </c>
      <c r="H4" s="28">
        <v>0.03</v>
      </c>
      <c r="I4" s="202">
        <v>0</v>
      </c>
      <c r="J4" s="26">
        <v>0.15</v>
      </c>
      <c r="K4" s="23" t="s">
        <v>366</v>
      </c>
      <c r="L4" s="204">
        <v>0.03</v>
      </c>
      <c r="M4" s="25" t="s">
        <v>366</v>
      </c>
      <c r="N4" s="202">
        <v>0.27400000000000002</v>
      </c>
      <c r="O4" s="24" t="s">
        <v>367</v>
      </c>
      <c r="P4" s="24" t="s">
        <v>14</v>
      </c>
    </row>
    <row r="5" spans="1:17" ht="13">
      <c r="B5" s="77" t="s">
        <v>368</v>
      </c>
      <c r="C5" s="77"/>
      <c r="D5" s="72"/>
      <c r="E5" s="72"/>
      <c r="F5" s="72"/>
      <c r="G5" s="76"/>
      <c r="H5" s="132"/>
      <c r="I5" s="76"/>
      <c r="J5" s="76"/>
      <c r="K5" s="75"/>
      <c r="L5" s="75"/>
      <c r="M5" s="75"/>
      <c r="N5" s="76"/>
      <c r="O5" s="75"/>
      <c r="P5" s="75"/>
    </row>
    <row r="6" spans="1:17">
      <c r="A6" s="425"/>
      <c r="B6" s="428"/>
      <c r="C6" s="426" t="s">
        <v>369</v>
      </c>
      <c r="D6" s="427">
        <v>0</v>
      </c>
      <c r="E6" s="401">
        <v>0</v>
      </c>
      <c r="F6" s="402">
        <f>E6*D6</f>
        <v>0</v>
      </c>
      <c r="G6" s="401">
        <f t="shared" ref="G6:G55" si="0">IF(C6="si",E6*$G$4,0)</f>
        <v>0</v>
      </c>
      <c r="H6" s="401">
        <f>(E6+G6)*$H$4</f>
        <v>0</v>
      </c>
      <c r="I6" s="401">
        <f>+(E6+G6+H6)*$I$4</f>
        <v>0</v>
      </c>
      <c r="J6" s="401">
        <f>IF(C6="si",(E6+G6+H6+I6)*$J$4,0)</f>
        <v>0</v>
      </c>
      <c r="K6" s="401">
        <f>E6+G6+H6+I6+J6</f>
        <v>0</v>
      </c>
      <c r="L6" s="401">
        <f>K6*$L$4</f>
        <v>0</v>
      </c>
      <c r="M6" s="403">
        <f>(K6+L6)*D6</f>
        <v>0</v>
      </c>
      <c r="N6" s="401">
        <f>(K6+L6)*$N$4/(1-$N$4)</f>
        <v>0</v>
      </c>
      <c r="O6" s="401">
        <f>N6+K6+L6</f>
        <v>0</v>
      </c>
      <c r="P6" s="401">
        <f>O6*D6</f>
        <v>0</v>
      </c>
    </row>
    <row r="7" spans="1:17">
      <c r="A7" s="425"/>
      <c r="B7" s="425"/>
      <c r="C7" s="426" t="s">
        <v>369</v>
      </c>
      <c r="D7" s="427">
        <v>0</v>
      </c>
      <c r="E7" s="401">
        <v>0</v>
      </c>
      <c r="F7" s="402">
        <f t="shared" ref="F7:F55" si="1">E7*D7</f>
        <v>0</v>
      </c>
      <c r="G7" s="401">
        <f t="shared" si="0"/>
        <v>0</v>
      </c>
      <c r="H7" s="401">
        <f t="shared" ref="H7:H55" si="2">(E7+G7)*$H$4</f>
        <v>0</v>
      </c>
      <c r="I7" s="401">
        <f t="shared" ref="I7:I55" si="3">+(E7+G7+H7)*$I$4</f>
        <v>0</v>
      </c>
      <c r="J7" s="401">
        <f t="shared" ref="J7:J55" si="4">IF(C7="si",(E7+G7+H7+I7)*$J$4,0)</f>
        <v>0</v>
      </c>
      <c r="K7" s="401">
        <f t="shared" ref="K7:K55" si="5">E7+G7+H7+I7+J7</f>
        <v>0</v>
      </c>
      <c r="L7" s="401">
        <f t="shared" ref="L7:L55" si="6">K7*$L$4</f>
        <v>0</v>
      </c>
      <c r="M7" s="403">
        <f t="shared" ref="M7:M55" si="7">(K7+L7)*D7</f>
        <v>0</v>
      </c>
      <c r="N7" s="401">
        <f t="shared" ref="N7:N55" si="8">(K7+L7)*$N$4/(1-$N$4)</f>
        <v>0</v>
      </c>
      <c r="O7" s="401">
        <f t="shared" ref="O7:O55" si="9">N7+K7+L7</f>
        <v>0</v>
      </c>
      <c r="P7" s="401">
        <f t="shared" ref="P7:P55" si="10">O7*D7</f>
        <v>0</v>
      </c>
    </row>
    <row r="8" spans="1:17">
      <c r="A8" s="425"/>
      <c r="B8" s="425"/>
      <c r="C8" s="426" t="s">
        <v>369</v>
      </c>
      <c r="D8" s="427">
        <v>0</v>
      </c>
      <c r="E8" s="401">
        <v>0</v>
      </c>
      <c r="F8" s="402">
        <f t="shared" si="1"/>
        <v>0</v>
      </c>
      <c r="G8" s="401">
        <f t="shared" si="0"/>
        <v>0</v>
      </c>
      <c r="H8" s="401">
        <f t="shared" si="2"/>
        <v>0</v>
      </c>
      <c r="I8" s="401">
        <f t="shared" si="3"/>
        <v>0</v>
      </c>
      <c r="J8" s="401">
        <f t="shared" si="4"/>
        <v>0</v>
      </c>
      <c r="K8" s="401">
        <f t="shared" si="5"/>
        <v>0</v>
      </c>
      <c r="L8" s="401">
        <f t="shared" si="6"/>
        <v>0</v>
      </c>
      <c r="M8" s="403">
        <f t="shared" si="7"/>
        <v>0</v>
      </c>
      <c r="N8" s="401">
        <f t="shared" si="8"/>
        <v>0</v>
      </c>
      <c r="O8" s="401">
        <f t="shared" si="9"/>
        <v>0</v>
      </c>
      <c r="P8" s="401">
        <f t="shared" si="10"/>
        <v>0</v>
      </c>
    </row>
    <row r="9" spans="1:17">
      <c r="A9" s="425"/>
      <c r="B9" s="425"/>
      <c r="C9" s="426" t="s">
        <v>369</v>
      </c>
      <c r="D9" s="427">
        <v>0</v>
      </c>
      <c r="E9" s="401">
        <v>0</v>
      </c>
      <c r="F9" s="402">
        <f t="shared" si="1"/>
        <v>0</v>
      </c>
      <c r="G9" s="401">
        <f t="shared" si="0"/>
        <v>0</v>
      </c>
      <c r="H9" s="401">
        <f t="shared" si="2"/>
        <v>0</v>
      </c>
      <c r="I9" s="401">
        <f t="shared" si="3"/>
        <v>0</v>
      </c>
      <c r="J9" s="401">
        <f t="shared" si="4"/>
        <v>0</v>
      </c>
      <c r="K9" s="401">
        <f t="shared" si="5"/>
        <v>0</v>
      </c>
      <c r="L9" s="401">
        <f t="shared" si="6"/>
        <v>0</v>
      </c>
      <c r="M9" s="403">
        <f t="shared" si="7"/>
        <v>0</v>
      </c>
      <c r="N9" s="401">
        <f t="shared" si="8"/>
        <v>0</v>
      </c>
      <c r="O9" s="401">
        <f t="shared" si="9"/>
        <v>0</v>
      </c>
      <c r="P9" s="401">
        <f t="shared" si="10"/>
        <v>0</v>
      </c>
    </row>
    <row r="10" spans="1:17">
      <c r="A10" s="425"/>
      <c r="B10" s="428"/>
      <c r="C10" s="426" t="s">
        <v>369</v>
      </c>
      <c r="D10" s="427">
        <v>0</v>
      </c>
      <c r="E10" s="401">
        <v>0</v>
      </c>
      <c r="F10" s="402">
        <f t="shared" si="1"/>
        <v>0</v>
      </c>
      <c r="G10" s="401">
        <f t="shared" si="0"/>
        <v>0</v>
      </c>
      <c r="H10" s="401">
        <f t="shared" si="2"/>
        <v>0</v>
      </c>
      <c r="I10" s="401">
        <f t="shared" si="3"/>
        <v>0</v>
      </c>
      <c r="J10" s="401">
        <f t="shared" si="4"/>
        <v>0</v>
      </c>
      <c r="K10" s="401">
        <f t="shared" si="5"/>
        <v>0</v>
      </c>
      <c r="L10" s="401">
        <f t="shared" si="6"/>
        <v>0</v>
      </c>
      <c r="M10" s="403">
        <f t="shared" si="7"/>
        <v>0</v>
      </c>
      <c r="N10" s="401">
        <f t="shared" si="8"/>
        <v>0</v>
      </c>
      <c r="O10" s="401">
        <f t="shared" si="9"/>
        <v>0</v>
      </c>
      <c r="P10" s="401">
        <f t="shared" si="10"/>
        <v>0</v>
      </c>
    </row>
    <row r="11" spans="1:17">
      <c r="A11" s="425"/>
      <c r="B11" s="425"/>
      <c r="C11" s="426" t="s">
        <v>369</v>
      </c>
      <c r="D11" s="427">
        <v>0</v>
      </c>
      <c r="E11" s="401">
        <v>0</v>
      </c>
      <c r="F11" s="402">
        <f t="shared" si="1"/>
        <v>0</v>
      </c>
      <c r="G11" s="401">
        <f t="shared" si="0"/>
        <v>0</v>
      </c>
      <c r="H11" s="401">
        <f t="shared" si="2"/>
        <v>0</v>
      </c>
      <c r="I11" s="401">
        <f t="shared" si="3"/>
        <v>0</v>
      </c>
      <c r="J11" s="401">
        <f t="shared" si="4"/>
        <v>0</v>
      </c>
      <c r="K11" s="401">
        <f t="shared" si="5"/>
        <v>0</v>
      </c>
      <c r="L11" s="401">
        <f t="shared" si="6"/>
        <v>0</v>
      </c>
      <c r="M11" s="403">
        <f t="shared" si="7"/>
        <v>0</v>
      </c>
      <c r="N11" s="401">
        <f t="shared" si="8"/>
        <v>0</v>
      </c>
      <c r="O11" s="401">
        <f t="shared" si="9"/>
        <v>0</v>
      </c>
      <c r="P11" s="401">
        <f t="shared" si="10"/>
        <v>0</v>
      </c>
    </row>
    <row r="12" spans="1:17">
      <c r="A12" s="425"/>
      <c r="B12" s="428"/>
      <c r="C12" s="426" t="s">
        <v>369</v>
      </c>
      <c r="D12" s="427">
        <v>0</v>
      </c>
      <c r="E12" s="401">
        <v>0</v>
      </c>
      <c r="F12" s="402">
        <f t="shared" si="1"/>
        <v>0</v>
      </c>
      <c r="G12" s="401">
        <f t="shared" si="0"/>
        <v>0</v>
      </c>
      <c r="H12" s="401">
        <f t="shared" si="2"/>
        <v>0</v>
      </c>
      <c r="I12" s="401">
        <f t="shared" si="3"/>
        <v>0</v>
      </c>
      <c r="J12" s="401">
        <f t="shared" si="4"/>
        <v>0</v>
      </c>
      <c r="K12" s="401">
        <f t="shared" si="5"/>
        <v>0</v>
      </c>
      <c r="L12" s="401">
        <f t="shared" si="6"/>
        <v>0</v>
      </c>
      <c r="M12" s="403">
        <f t="shared" si="7"/>
        <v>0</v>
      </c>
      <c r="N12" s="401">
        <f t="shared" si="8"/>
        <v>0</v>
      </c>
      <c r="O12" s="401">
        <f t="shared" si="9"/>
        <v>0</v>
      </c>
      <c r="P12" s="401">
        <f t="shared" si="10"/>
        <v>0</v>
      </c>
    </row>
    <row r="13" spans="1:17">
      <c r="A13" s="425"/>
      <c r="B13" s="425"/>
      <c r="C13" s="426" t="s">
        <v>369</v>
      </c>
      <c r="D13" s="427">
        <v>0</v>
      </c>
      <c r="E13" s="401">
        <v>0</v>
      </c>
      <c r="F13" s="402">
        <f t="shared" si="1"/>
        <v>0</v>
      </c>
      <c r="G13" s="401">
        <f t="shared" si="0"/>
        <v>0</v>
      </c>
      <c r="H13" s="401">
        <f t="shared" si="2"/>
        <v>0</v>
      </c>
      <c r="I13" s="401">
        <f t="shared" si="3"/>
        <v>0</v>
      </c>
      <c r="J13" s="401">
        <f t="shared" si="4"/>
        <v>0</v>
      </c>
      <c r="K13" s="401">
        <f t="shared" si="5"/>
        <v>0</v>
      </c>
      <c r="L13" s="401">
        <f t="shared" si="6"/>
        <v>0</v>
      </c>
      <c r="M13" s="403">
        <f t="shared" si="7"/>
        <v>0</v>
      </c>
      <c r="N13" s="401">
        <f t="shared" si="8"/>
        <v>0</v>
      </c>
      <c r="O13" s="401">
        <f t="shared" si="9"/>
        <v>0</v>
      </c>
      <c r="P13" s="401">
        <f t="shared" si="10"/>
        <v>0</v>
      </c>
    </row>
    <row r="14" spans="1:17">
      <c r="A14" s="425"/>
      <c r="B14" s="412"/>
      <c r="C14" s="426" t="s">
        <v>369</v>
      </c>
      <c r="D14" s="427">
        <v>0</v>
      </c>
      <c r="E14" s="401">
        <v>0</v>
      </c>
      <c r="F14" s="402">
        <f t="shared" si="1"/>
        <v>0</v>
      </c>
      <c r="G14" s="401">
        <f t="shared" si="0"/>
        <v>0</v>
      </c>
      <c r="H14" s="401">
        <f t="shared" si="2"/>
        <v>0</v>
      </c>
      <c r="I14" s="401">
        <f t="shared" si="3"/>
        <v>0</v>
      </c>
      <c r="J14" s="401">
        <f t="shared" si="4"/>
        <v>0</v>
      </c>
      <c r="K14" s="401">
        <f t="shared" si="5"/>
        <v>0</v>
      </c>
      <c r="L14" s="401">
        <f t="shared" si="6"/>
        <v>0</v>
      </c>
      <c r="M14" s="403">
        <f t="shared" si="7"/>
        <v>0</v>
      </c>
      <c r="N14" s="401">
        <f t="shared" si="8"/>
        <v>0</v>
      </c>
      <c r="O14" s="401">
        <f t="shared" si="9"/>
        <v>0</v>
      </c>
      <c r="P14" s="401">
        <f t="shared" si="10"/>
        <v>0</v>
      </c>
    </row>
    <row r="15" spans="1:17">
      <c r="A15" s="425"/>
      <c r="B15" s="412"/>
      <c r="C15" s="426" t="s">
        <v>369</v>
      </c>
      <c r="D15" s="427">
        <v>0</v>
      </c>
      <c r="E15" s="401">
        <v>0</v>
      </c>
      <c r="F15" s="402">
        <f t="shared" si="1"/>
        <v>0</v>
      </c>
      <c r="G15" s="401">
        <f t="shared" si="0"/>
        <v>0</v>
      </c>
      <c r="H15" s="401">
        <f t="shared" si="2"/>
        <v>0</v>
      </c>
      <c r="I15" s="401">
        <f t="shared" si="3"/>
        <v>0</v>
      </c>
      <c r="J15" s="401">
        <f t="shared" si="4"/>
        <v>0</v>
      </c>
      <c r="K15" s="401">
        <f t="shared" si="5"/>
        <v>0</v>
      </c>
      <c r="L15" s="401">
        <f t="shared" si="6"/>
        <v>0</v>
      </c>
      <c r="M15" s="403">
        <f t="shared" si="7"/>
        <v>0</v>
      </c>
      <c r="N15" s="401">
        <f t="shared" si="8"/>
        <v>0</v>
      </c>
      <c r="O15" s="401">
        <f t="shared" si="9"/>
        <v>0</v>
      </c>
      <c r="P15" s="401">
        <f t="shared" si="10"/>
        <v>0</v>
      </c>
    </row>
    <row r="16" spans="1:17">
      <c r="A16" s="425"/>
      <c r="B16" s="131"/>
      <c r="C16" s="426" t="s">
        <v>369</v>
      </c>
      <c r="D16" s="427">
        <v>0</v>
      </c>
      <c r="E16" s="401">
        <v>0</v>
      </c>
      <c r="F16" s="402">
        <f t="shared" si="1"/>
        <v>0</v>
      </c>
      <c r="G16" s="401">
        <f t="shared" si="0"/>
        <v>0</v>
      </c>
      <c r="H16" s="401">
        <f t="shared" si="2"/>
        <v>0</v>
      </c>
      <c r="I16" s="401">
        <f t="shared" si="3"/>
        <v>0</v>
      </c>
      <c r="J16" s="401">
        <f t="shared" si="4"/>
        <v>0</v>
      </c>
      <c r="K16" s="401">
        <f t="shared" si="5"/>
        <v>0</v>
      </c>
      <c r="L16" s="401">
        <f t="shared" si="6"/>
        <v>0</v>
      </c>
      <c r="M16" s="403">
        <f t="shared" si="7"/>
        <v>0</v>
      </c>
      <c r="N16" s="401">
        <f t="shared" si="8"/>
        <v>0</v>
      </c>
      <c r="O16" s="401">
        <f t="shared" si="9"/>
        <v>0</v>
      </c>
      <c r="P16" s="401">
        <f t="shared" si="10"/>
        <v>0</v>
      </c>
    </row>
    <row r="17" spans="1:16">
      <c r="A17" s="425"/>
      <c r="B17" s="425"/>
      <c r="C17" s="426" t="s">
        <v>369</v>
      </c>
      <c r="D17" s="427">
        <v>0</v>
      </c>
      <c r="E17" s="401">
        <v>0</v>
      </c>
      <c r="F17" s="402">
        <f t="shared" si="1"/>
        <v>0</v>
      </c>
      <c r="G17" s="401">
        <f t="shared" si="0"/>
        <v>0</v>
      </c>
      <c r="H17" s="401">
        <f t="shared" si="2"/>
        <v>0</v>
      </c>
      <c r="I17" s="401">
        <f t="shared" si="3"/>
        <v>0</v>
      </c>
      <c r="J17" s="401">
        <f t="shared" si="4"/>
        <v>0</v>
      </c>
      <c r="K17" s="401">
        <f t="shared" si="5"/>
        <v>0</v>
      </c>
      <c r="L17" s="401">
        <f t="shared" si="6"/>
        <v>0</v>
      </c>
      <c r="M17" s="403">
        <f t="shared" si="7"/>
        <v>0</v>
      </c>
      <c r="N17" s="401">
        <f t="shared" si="8"/>
        <v>0</v>
      </c>
      <c r="O17" s="401">
        <f t="shared" si="9"/>
        <v>0</v>
      </c>
      <c r="P17" s="401">
        <f t="shared" si="10"/>
        <v>0</v>
      </c>
    </row>
    <row r="18" spans="1:16">
      <c r="A18" s="425"/>
      <c r="B18" s="412"/>
      <c r="C18" s="426" t="s">
        <v>369</v>
      </c>
      <c r="D18" s="427">
        <v>0</v>
      </c>
      <c r="E18" s="401">
        <v>0</v>
      </c>
      <c r="F18" s="402">
        <f t="shared" si="1"/>
        <v>0</v>
      </c>
      <c r="G18" s="401">
        <f t="shared" si="0"/>
        <v>0</v>
      </c>
      <c r="H18" s="401">
        <f t="shared" si="2"/>
        <v>0</v>
      </c>
      <c r="I18" s="401">
        <f t="shared" si="3"/>
        <v>0</v>
      </c>
      <c r="J18" s="401">
        <f t="shared" si="4"/>
        <v>0</v>
      </c>
      <c r="K18" s="401">
        <f t="shared" si="5"/>
        <v>0</v>
      </c>
      <c r="L18" s="401">
        <f t="shared" si="6"/>
        <v>0</v>
      </c>
      <c r="M18" s="403">
        <f t="shared" si="7"/>
        <v>0</v>
      </c>
      <c r="N18" s="401">
        <f t="shared" si="8"/>
        <v>0</v>
      </c>
      <c r="O18" s="401">
        <f t="shared" si="9"/>
        <v>0</v>
      </c>
      <c r="P18" s="401">
        <f t="shared" si="10"/>
        <v>0</v>
      </c>
    </row>
    <row r="19" spans="1:16">
      <c r="A19" s="425"/>
      <c r="B19" s="412"/>
      <c r="C19" s="426" t="s">
        <v>369</v>
      </c>
      <c r="D19" s="427">
        <v>0</v>
      </c>
      <c r="E19" s="401">
        <v>0</v>
      </c>
      <c r="F19" s="402">
        <f t="shared" ref="F19:F54" si="11">E19*D19</f>
        <v>0</v>
      </c>
      <c r="G19" s="401">
        <f t="shared" ref="G19:G54" si="12">IF(C19="si",E19*$G$4,0)</f>
        <v>0</v>
      </c>
      <c r="H19" s="401">
        <f t="shared" ref="H19:H54" si="13">(E19+G19)*$H$4</f>
        <v>0</v>
      </c>
      <c r="I19" s="401">
        <f t="shared" ref="I19:I54" si="14">+(E19+G19+H19)*$I$4</f>
        <v>0</v>
      </c>
      <c r="J19" s="401">
        <f t="shared" ref="J19:J54" si="15">IF(C19="si",(E19+G19+H19+I19)*$J$4,0)</f>
        <v>0</v>
      </c>
      <c r="K19" s="401">
        <f t="shared" ref="K19:K54" si="16">E19+G19+H19+I19+J19</f>
        <v>0</v>
      </c>
      <c r="L19" s="401">
        <f t="shared" ref="L19:L54" si="17">K19*$L$4</f>
        <v>0</v>
      </c>
      <c r="M19" s="403">
        <f t="shared" ref="M19:M54" si="18">(K19+L19)*D19</f>
        <v>0</v>
      </c>
      <c r="N19" s="401">
        <f t="shared" ref="N19:N54" si="19">(K19+L19)*$N$4/(1-$N$4)</f>
        <v>0</v>
      </c>
      <c r="O19" s="401">
        <f t="shared" ref="O19:O54" si="20">N19+K19+L19</f>
        <v>0</v>
      </c>
      <c r="P19" s="401">
        <f t="shared" ref="P19:P54" si="21">O19*D19</f>
        <v>0</v>
      </c>
    </row>
    <row r="20" spans="1:16">
      <c r="A20" s="425"/>
      <c r="B20" s="412"/>
      <c r="C20" s="426" t="s">
        <v>369</v>
      </c>
      <c r="D20" s="427">
        <v>0</v>
      </c>
      <c r="E20" s="401">
        <v>0</v>
      </c>
      <c r="F20" s="402">
        <f t="shared" si="11"/>
        <v>0</v>
      </c>
      <c r="G20" s="401">
        <f t="shared" si="12"/>
        <v>0</v>
      </c>
      <c r="H20" s="401">
        <f t="shared" si="13"/>
        <v>0</v>
      </c>
      <c r="I20" s="401">
        <f t="shared" si="14"/>
        <v>0</v>
      </c>
      <c r="J20" s="401">
        <f t="shared" si="15"/>
        <v>0</v>
      </c>
      <c r="K20" s="401">
        <f t="shared" si="16"/>
        <v>0</v>
      </c>
      <c r="L20" s="401">
        <f t="shared" si="17"/>
        <v>0</v>
      </c>
      <c r="M20" s="403">
        <f t="shared" si="18"/>
        <v>0</v>
      </c>
      <c r="N20" s="401">
        <f t="shared" si="19"/>
        <v>0</v>
      </c>
      <c r="O20" s="401">
        <f t="shared" si="20"/>
        <v>0</v>
      </c>
      <c r="P20" s="401">
        <f t="shared" si="21"/>
        <v>0</v>
      </c>
    </row>
    <row r="21" spans="1:16">
      <c r="A21" s="425"/>
      <c r="B21" s="412"/>
      <c r="C21" s="426" t="s">
        <v>369</v>
      </c>
      <c r="D21" s="427">
        <v>0</v>
      </c>
      <c r="E21" s="401">
        <v>0</v>
      </c>
      <c r="F21" s="402">
        <f t="shared" si="11"/>
        <v>0</v>
      </c>
      <c r="G21" s="401">
        <f t="shared" si="12"/>
        <v>0</v>
      </c>
      <c r="H21" s="401">
        <f t="shared" si="13"/>
        <v>0</v>
      </c>
      <c r="I21" s="401">
        <f t="shared" si="14"/>
        <v>0</v>
      </c>
      <c r="J21" s="401">
        <f t="shared" si="15"/>
        <v>0</v>
      </c>
      <c r="K21" s="401">
        <f t="shared" si="16"/>
        <v>0</v>
      </c>
      <c r="L21" s="401">
        <f t="shared" si="17"/>
        <v>0</v>
      </c>
      <c r="M21" s="403">
        <f t="shared" si="18"/>
        <v>0</v>
      </c>
      <c r="N21" s="401">
        <f t="shared" si="19"/>
        <v>0</v>
      </c>
      <c r="O21" s="401">
        <f t="shared" si="20"/>
        <v>0</v>
      </c>
      <c r="P21" s="401">
        <f t="shared" si="21"/>
        <v>0</v>
      </c>
    </row>
    <row r="22" spans="1:16">
      <c r="A22" s="425"/>
      <c r="B22" s="412"/>
      <c r="C22" s="426" t="s">
        <v>369</v>
      </c>
      <c r="D22" s="427">
        <v>0</v>
      </c>
      <c r="E22" s="401">
        <v>0</v>
      </c>
      <c r="F22" s="402">
        <f t="shared" si="11"/>
        <v>0</v>
      </c>
      <c r="G22" s="401">
        <f t="shared" si="12"/>
        <v>0</v>
      </c>
      <c r="H22" s="401">
        <f t="shared" si="13"/>
        <v>0</v>
      </c>
      <c r="I22" s="401">
        <f t="shared" si="14"/>
        <v>0</v>
      </c>
      <c r="J22" s="401">
        <f t="shared" si="15"/>
        <v>0</v>
      </c>
      <c r="K22" s="401">
        <f t="shared" si="16"/>
        <v>0</v>
      </c>
      <c r="L22" s="401">
        <f t="shared" si="17"/>
        <v>0</v>
      </c>
      <c r="M22" s="403">
        <f t="shared" si="18"/>
        <v>0</v>
      </c>
      <c r="N22" s="401">
        <f t="shared" si="19"/>
        <v>0</v>
      </c>
      <c r="O22" s="401">
        <f t="shared" si="20"/>
        <v>0</v>
      </c>
      <c r="P22" s="401">
        <f t="shared" si="21"/>
        <v>0</v>
      </c>
    </row>
    <row r="23" spans="1:16">
      <c r="A23" s="425"/>
      <c r="B23" s="412"/>
      <c r="C23" s="426" t="s">
        <v>369</v>
      </c>
      <c r="D23" s="427">
        <v>0</v>
      </c>
      <c r="E23" s="401">
        <v>0</v>
      </c>
      <c r="F23" s="402">
        <f t="shared" si="11"/>
        <v>0</v>
      </c>
      <c r="G23" s="401">
        <f t="shared" si="12"/>
        <v>0</v>
      </c>
      <c r="H23" s="401">
        <f t="shared" si="13"/>
        <v>0</v>
      </c>
      <c r="I23" s="401">
        <f t="shared" si="14"/>
        <v>0</v>
      </c>
      <c r="J23" s="401">
        <f t="shared" si="15"/>
        <v>0</v>
      </c>
      <c r="K23" s="401">
        <f t="shared" si="16"/>
        <v>0</v>
      </c>
      <c r="L23" s="401">
        <f t="shared" si="17"/>
        <v>0</v>
      </c>
      <c r="M23" s="403">
        <f t="shared" si="18"/>
        <v>0</v>
      </c>
      <c r="N23" s="401">
        <f t="shared" si="19"/>
        <v>0</v>
      </c>
      <c r="O23" s="401">
        <f t="shared" si="20"/>
        <v>0</v>
      </c>
      <c r="P23" s="401">
        <f t="shared" si="21"/>
        <v>0</v>
      </c>
    </row>
    <row r="24" spans="1:16">
      <c r="A24" s="425"/>
      <c r="B24" s="412"/>
      <c r="C24" s="426" t="s">
        <v>369</v>
      </c>
      <c r="D24" s="427">
        <v>0</v>
      </c>
      <c r="E24" s="401">
        <v>0</v>
      </c>
      <c r="F24" s="402">
        <f t="shared" si="11"/>
        <v>0</v>
      </c>
      <c r="G24" s="401">
        <f t="shared" si="12"/>
        <v>0</v>
      </c>
      <c r="H24" s="401">
        <f t="shared" si="13"/>
        <v>0</v>
      </c>
      <c r="I24" s="401">
        <f t="shared" si="14"/>
        <v>0</v>
      </c>
      <c r="J24" s="401">
        <f t="shared" si="15"/>
        <v>0</v>
      </c>
      <c r="K24" s="401">
        <f t="shared" si="16"/>
        <v>0</v>
      </c>
      <c r="L24" s="401">
        <f t="shared" si="17"/>
        <v>0</v>
      </c>
      <c r="M24" s="403">
        <f t="shared" si="18"/>
        <v>0</v>
      </c>
      <c r="N24" s="401">
        <f t="shared" si="19"/>
        <v>0</v>
      </c>
      <c r="O24" s="401">
        <f t="shared" si="20"/>
        <v>0</v>
      </c>
      <c r="P24" s="401">
        <f t="shared" si="21"/>
        <v>0</v>
      </c>
    </row>
    <row r="25" spans="1:16">
      <c r="A25" s="425"/>
      <c r="B25" s="412"/>
      <c r="C25" s="426" t="s">
        <v>369</v>
      </c>
      <c r="D25" s="427">
        <v>0</v>
      </c>
      <c r="E25" s="401">
        <v>0</v>
      </c>
      <c r="F25" s="402">
        <f t="shared" si="11"/>
        <v>0</v>
      </c>
      <c r="G25" s="401">
        <f t="shared" si="12"/>
        <v>0</v>
      </c>
      <c r="H25" s="401">
        <f t="shared" si="13"/>
        <v>0</v>
      </c>
      <c r="I25" s="401">
        <f t="shared" si="14"/>
        <v>0</v>
      </c>
      <c r="J25" s="401">
        <f t="shared" si="15"/>
        <v>0</v>
      </c>
      <c r="K25" s="401">
        <f t="shared" si="16"/>
        <v>0</v>
      </c>
      <c r="L25" s="401">
        <f t="shared" si="17"/>
        <v>0</v>
      </c>
      <c r="M25" s="403">
        <f t="shared" si="18"/>
        <v>0</v>
      </c>
      <c r="N25" s="401">
        <f t="shared" si="19"/>
        <v>0</v>
      </c>
      <c r="O25" s="401">
        <f t="shared" si="20"/>
        <v>0</v>
      </c>
      <c r="P25" s="401">
        <f t="shared" si="21"/>
        <v>0</v>
      </c>
    </row>
    <row r="26" spans="1:16">
      <c r="A26" s="425"/>
      <c r="B26" s="412"/>
      <c r="C26" s="426" t="s">
        <v>369</v>
      </c>
      <c r="D26" s="427">
        <v>0</v>
      </c>
      <c r="E26" s="401">
        <v>0</v>
      </c>
      <c r="F26" s="402">
        <f t="shared" si="11"/>
        <v>0</v>
      </c>
      <c r="G26" s="401">
        <f t="shared" si="12"/>
        <v>0</v>
      </c>
      <c r="H26" s="401">
        <f t="shared" si="13"/>
        <v>0</v>
      </c>
      <c r="I26" s="401">
        <f t="shared" si="14"/>
        <v>0</v>
      </c>
      <c r="J26" s="401">
        <f t="shared" si="15"/>
        <v>0</v>
      </c>
      <c r="K26" s="401">
        <f t="shared" si="16"/>
        <v>0</v>
      </c>
      <c r="L26" s="401">
        <f t="shared" si="17"/>
        <v>0</v>
      </c>
      <c r="M26" s="403">
        <f t="shared" si="18"/>
        <v>0</v>
      </c>
      <c r="N26" s="401">
        <f t="shared" si="19"/>
        <v>0</v>
      </c>
      <c r="O26" s="401">
        <f t="shared" si="20"/>
        <v>0</v>
      </c>
      <c r="P26" s="401">
        <f t="shared" si="21"/>
        <v>0</v>
      </c>
    </row>
    <row r="27" spans="1:16">
      <c r="A27" s="425"/>
      <c r="B27" s="412"/>
      <c r="C27" s="426" t="s">
        <v>369</v>
      </c>
      <c r="D27" s="427">
        <v>0</v>
      </c>
      <c r="E27" s="401">
        <v>0</v>
      </c>
      <c r="F27" s="402">
        <f t="shared" si="11"/>
        <v>0</v>
      </c>
      <c r="G27" s="401">
        <f t="shared" si="12"/>
        <v>0</v>
      </c>
      <c r="H27" s="401">
        <f t="shared" si="13"/>
        <v>0</v>
      </c>
      <c r="I27" s="401">
        <f t="shared" si="14"/>
        <v>0</v>
      </c>
      <c r="J27" s="401">
        <f t="shared" si="15"/>
        <v>0</v>
      </c>
      <c r="K27" s="401">
        <f t="shared" si="16"/>
        <v>0</v>
      </c>
      <c r="L27" s="401">
        <f t="shared" si="17"/>
        <v>0</v>
      </c>
      <c r="M27" s="403">
        <f t="shared" si="18"/>
        <v>0</v>
      </c>
      <c r="N27" s="401">
        <f t="shared" si="19"/>
        <v>0</v>
      </c>
      <c r="O27" s="401">
        <f t="shared" si="20"/>
        <v>0</v>
      </c>
      <c r="P27" s="401">
        <f t="shared" si="21"/>
        <v>0</v>
      </c>
    </row>
    <row r="28" spans="1:16">
      <c r="A28" s="425"/>
      <c r="B28" s="412"/>
      <c r="C28" s="426" t="s">
        <v>369</v>
      </c>
      <c r="D28" s="427">
        <v>0</v>
      </c>
      <c r="E28" s="401">
        <v>0</v>
      </c>
      <c r="F28" s="402">
        <f t="shared" si="11"/>
        <v>0</v>
      </c>
      <c r="G28" s="401">
        <f t="shared" si="12"/>
        <v>0</v>
      </c>
      <c r="H28" s="401">
        <f t="shared" si="13"/>
        <v>0</v>
      </c>
      <c r="I28" s="401">
        <f t="shared" si="14"/>
        <v>0</v>
      </c>
      <c r="J28" s="401">
        <f t="shared" si="15"/>
        <v>0</v>
      </c>
      <c r="K28" s="401">
        <f t="shared" si="16"/>
        <v>0</v>
      </c>
      <c r="L28" s="401">
        <f t="shared" si="17"/>
        <v>0</v>
      </c>
      <c r="M28" s="403">
        <f t="shared" si="18"/>
        <v>0</v>
      </c>
      <c r="N28" s="401">
        <f t="shared" si="19"/>
        <v>0</v>
      </c>
      <c r="O28" s="401">
        <f t="shared" si="20"/>
        <v>0</v>
      </c>
      <c r="P28" s="401">
        <f t="shared" si="21"/>
        <v>0</v>
      </c>
    </row>
    <row r="29" spans="1:16">
      <c r="A29" s="425"/>
      <c r="B29" s="412"/>
      <c r="C29" s="426" t="s">
        <v>369</v>
      </c>
      <c r="D29" s="427">
        <v>0</v>
      </c>
      <c r="E29" s="401">
        <v>0</v>
      </c>
      <c r="F29" s="402">
        <f t="shared" si="11"/>
        <v>0</v>
      </c>
      <c r="G29" s="401">
        <f t="shared" si="12"/>
        <v>0</v>
      </c>
      <c r="H29" s="401">
        <f t="shared" si="13"/>
        <v>0</v>
      </c>
      <c r="I29" s="401">
        <f t="shared" si="14"/>
        <v>0</v>
      </c>
      <c r="J29" s="401">
        <f t="shared" si="15"/>
        <v>0</v>
      </c>
      <c r="K29" s="401">
        <f t="shared" si="16"/>
        <v>0</v>
      </c>
      <c r="L29" s="401">
        <f t="shared" si="17"/>
        <v>0</v>
      </c>
      <c r="M29" s="403">
        <f t="shared" si="18"/>
        <v>0</v>
      </c>
      <c r="N29" s="401">
        <f t="shared" si="19"/>
        <v>0</v>
      </c>
      <c r="O29" s="401">
        <f t="shared" si="20"/>
        <v>0</v>
      </c>
      <c r="P29" s="401">
        <f t="shared" si="21"/>
        <v>0</v>
      </c>
    </row>
    <row r="30" spans="1:16">
      <c r="A30" s="425"/>
      <c r="B30" s="412"/>
      <c r="C30" s="426" t="s">
        <v>369</v>
      </c>
      <c r="D30" s="427">
        <v>0</v>
      </c>
      <c r="E30" s="401">
        <v>0</v>
      </c>
      <c r="F30" s="402">
        <f t="shared" si="11"/>
        <v>0</v>
      </c>
      <c r="G30" s="401">
        <f t="shared" si="12"/>
        <v>0</v>
      </c>
      <c r="H30" s="401">
        <f t="shared" si="13"/>
        <v>0</v>
      </c>
      <c r="I30" s="401">
        <f t="shared" si="14"/>
        <v>0</v>
      </c>
      <c r="J30" s="401">
        <f t="shared" si="15"/>
        <v>0</v>
      </c>
      <c r="K30" s="401">
        <f t="shared" si="16"/>
        <v>0</v>
      </c>
      <c r="L30" s="401">
        <f t="shared" si="17"/>
        <v>0</v>
      </c>
      <c r="M30" s="403">
        <f t="shared" si="18"/>
        <v>0</v>
      </c>
      <c r="N30" s="401">
        <f t="shared" si="19"/>
        <v>0</v>
      </c>
      <c r="O30" s="401">
        <f t="shared" si="20"/>
        <v>0</v>
      </c>
      <c r="P30" s="401">
        <f t="shared" si="21"/>
        <v>0</v>
      </c>
    </row>
    <row r="31" spans="1:16">
      <c r="A31" s="425"/>
      <c r="B31" s="412"/>
      <c r="C31" s="426" t="s">
        <v>369</v>
      </c>
      <c r="D31" s="427">
        <v>0</v>
      </c>
      <c r="E31" s="401">
        <v>0</v>
      </c>
      <c r="F31" s="402">
        <f t="shared" si="11"/>
        <v>0</v>
      </c>
      <c r="G31" s="401">
        <f t="shared" si="12"/>
        <v>0</v>
      </c>
      <c r="H31" s="401">
        <f t="shared" si="13"/>
        <v>0</v>
      </c>
      <c r="I31" s="401">
        <f t="shared" si="14"/>
        <v>0</v>
      </c>
      <c r="J31" s="401">
        <f t="shared" si="15"/>
        <v>0</v>
      </c>
      <c r="K31" s="401">
        <f t="shared" si="16"/>
        <v>0</v>
      </c>
      <c r="L31" s="401">
        <f t="shared" si="17"/>
        <v>0</v>
      </c>
      <c r="M31" s="403">
        <f t="shared" si="18"/>
        <v>0</v>
      </c>
      <c r="N31" s="401">
        <f t="shared" si="19"/>
        <v>0</v>
      </c>
      <c r="O31" s="401">
        <f t="shared" si="20"/>
        <v>0</v>
      </c>
      <c r="P31" s="401">
        <f t="shared" si="21"/>
        <v>0</v>
      </c>
    </row>
    <row r="32" spans="1:16">
      <c r="A32" s="425"/>
      <c r="B32" s="412"/>
      <c r="C32" s="426" t="s">
        <v>369</v>
      </c>
      <c r="D32" s="427">
        <v>0</v>
      </c>
      <c r="E32" s="401">
        <v>0</v>
      </c>
      <c r="F32" s="402">
        <f t="shared" si="11"/>
        <v>0</v>
      </c>
      <c r="G32" s="401">
        <f t="shared" si="12"/>
        <v>0</v>
      </c>
      <c r="H32" s="401">
        <f t="shared" si="13"/>
        <v>0</v>
      </c>
      <c r="I32" s="401">
        <f t="shared" si="14"/>
        <v>0</v>
      </c>
      <c r="J32" s="401">
        <f t="shared" si="15"/>
        <v>0</v>
      </c>
      <c r="K32" s="401">
        <f t="shared" si="16"/>
        <v>0</v>
      </c>
      <c r="L32" s="401">
        <f t="shared" si="17"/>
        <v>0</v>
      </c>
      <c r="M32" s="403">
        <f t="shared" si="18"/>
        <v>0</v>
      </c>
      <c r="N32" s="401">
        <f t="shared" si="19"/>
        <v>0</v>
      </c>
      <c r="O32" s="401">
        <f t="shared" si="20"/>
        <v>0</v>
      </c>
      <c r="P32" s="401">
        <f t="shared" si="21"/>
        <v>0</v>
      </c>
    </row>
    <row r="33" spans="1:16">
      <c r="A33" s="425"/>
      <c r="B33" s="412"/>
      <c r="C33" s="426" t="s">
        <v>369</v>
      </c>
      <c r="D33" s="427">
        <v>0</v>
      </c>
      <c r="E33" s="401">
        <v>0</v>
      </c>
      <c r="F33" s="402">
        <f t="shared" si="11"/>
        <v>0</v>
      </c>
      <c r="G33" s="401">
        <f t="shared" si="12"/>
        <v>0</v>
      </c>
      <c r="H33" s="401">
        <f t="shared" si="13"/>
        <v>0</v>
      </c>
      <c r="I33" s="401">
        <f t="shared" si="14"/>
        <v>0</v>
      </c>
      <c r="J33" s="401">
        <f t="shared" si="15"/>
        <v>0</v>
      </c>
      <c r="K33" s="401">
        <f t="shared" si="16"/>
        <v>0</v>
      </c>
      <c r="L33" s="401">
        <f t="shared" si="17"/>
        <v>0</v>
      </c>
      <c r="M33" s="403">
        <f t="shared" si="18"/>
        <v>0</v>
      </c>
      <c r="N33" s="401">
        <f t="shared" si="19"/>
        <v>0</v>
      </c>
      <c r="O33" s="401">
        <f t="shared" si="20"/>
        <v>0</v>
      </c>
      <c r="P33" s="401">
        <f t="shared" si="21"/>
        <v>0</v>
      </c>
    </row>
    <row r="34" spans="1:16">
      <c r="A34" s="425"/>
      <c r="B34" s="412"/>
      <c r="C34" s="426" t="s">
        <v>369</v>
      </c>
      <c r="D34" s="427">
        <v>0</v>
      </c>
      <c r="E34" s="401">
        <v>0</v>
      </c>
      <c r="F34" s="402">
        <f t="shared" si="11"/>
        <v>0</v>
      </c>
      <c r="G34" s="401">
        <f t="shared" si="12"/>
        <v>0</v>
      </c>
      <c r="H34" s="401">
        <f t="shared" si="13"/>
        <v>0</v>
      </c>
      <c r="I34" s="401">
        <f t="shared" si="14"/>
        <v>0</v>
      </c>
      <c r="J34" s="401">
        <f t="shared" si="15"/>
        <v>0</v>
      </c>
      <c r="K34" s="401">
        <f t="shared" si="16"/>
        <v>0</v>
      </c>
      <c r="L34" s="401">
        <f t="shared" si="17"/>
        <v>0</v>
      </c>
      <c r="M34" s="403">
        <f t="shared" si="18"/>
        <v>0</v>
      </c>
      <c r="N34" s="401">
        <f t="shared" si="19"/>
        <v>0</v>
      </c>
      <c r="O34" s="401">
        <f t="shared" si="20"/>
        <v>0</v>
      </c>
      <c r="P34" s="401">
        <f t="shared" si="21"/>
        <v>0</v>
      </c>
    </row>
    <row r="35" spans="1:16">
      <c r="A35" s="425"/>
      <c r="B35" s="412"/>
      <c r="C35" s="426" t="s">
        <v>369</v>
      </c>
      <c r="D35" s="427">
        <v>0</v>
      </c>
      <c r="E35" s="401">
        <v>0</v>
      </c>
      <c r="F35" s="402">
        <f t="shared" si="11"/>
        <v>0</v>
      </c>
      <c r="G35" s="401">
        <f t="shared" si="12"/>
        <v>0</v>
      </c>
      <c r="H35" s="401">
        <f t="shared" si="13"/>
        <v>0</v>
      </c>
      <c r="I35" s="401">
        <f t="shared" si="14"/>
        <v>0</v>
      </c>
      <c r="J35" s="401">
        <f t="shared" si="15"/>
        <v>0</v>
      </c>
      <c r="K35" s="401">
        <f t="shared" si="16"/>
        <v>0</v>
      </c>
      <c r="L35" s="401">
        <f t="shared" si="17"/>
        <v>0</v>
      </c>
      <c r="M35" s="403">
        <f t="shared" si="18"/>
        <v>0</v>
      </c>
      <c r="N35" s="401">
        <f t="shared" si="19"/>
        <v>0</v>
      </c>
      <c r="O35" s="401">
        <f t="shared" si="20"/>
        <v>0</v>
      </c>
      <c r="P35" s="401">
        <f t="shared" si="21"/>
        <v>0</v>
      </c>
    </row>
    <row r="36" spans="1:16">
      <c r="A36" s="425"/>
      <c r="B36" s="412"/>
      <c r="C36" s="426" t="s">
        <v>369</v>
      </c>
      <c r="D36" s="427">
        <v>0</v>
      </c>
      <c r="E36" s="401">
        <v>0</v>
      </c>
      <c r="F36" s="402">
        <f t="shared" si="11"/>
        <v>0</v>
      </c>
      <c r="G36" s="401">
        <f t="shared" si="12"/>
        <v>0</v>
      </c>
      <c r="H36" s="401">
        <f t="shared" si="13"/>
        <v>0</v>
      </c>
      <c r="I36" s="401">
        <f t="shared" si="14"/>
        <v>0</v>
      </c>
      <c r="J36" s="401">
        <f t="shared" si="15"/>
        <v>0</v>
      </c>
      <c r="K36" s="401">
        <f t="shared" si="16"/>
        <v>0</v>
      </c>
      <c r="L36" s="401">
        <f t="shared" si="17"/>
        <v>0</v>
      </c>
      <c r="M36" s="403">
        <f t="shared" si="18"/>
        <v>0</v>
      </c>
      <c r="N36" s="401">
        <f t="shared" si="19"/>
        <v>0</v>
      </c>
      <c r="O36" s="401">
        <f t="shared" si="20"/>
        <v>0</v>
      </c>
      <c r="P36" s="401">
        <f t="shared" si="21"/>
        <v>0</v>
      </c>
    </row>
    <row r="37" spans="1:16">
      <c r="A37" s="425"/>
      <c r="B37" s="412"/>
      <c r="C37" s="426" t="s">
        <v>369</v>
      </c>
      <c r="D37" s="427">
        <v>0</v>
      </c>
      <c r="E37" s="401">
        <v>0</v>
      </c>
      <c r="F37" s="402">
        <f t="shared" si="11"/>
        <v>0</v>
      </c>
      <c r="G37" s="401">
        <f t="shared" si="12"/>
        <v>0</v>
      </c>
      <c r="H37" s="401">
        <f t="shared" si="13"/>
        <v>0</v>
      </c>
      <c r="I37" s="401">
        <f t="shared" si="14"/>
        <v>0</v>
      </c>
      <c r="J37" s="401">
        <f t="shared" si="15"/>
        <v>0</v>
      </c>
      <c r="K37" s="401">
        <f t="shared" si="16"/>
        <v>0</v>
      </c>
      <c r="L37" s="401">
        <f t="shared" si="17"/>
        <v>0</v>
      </c>
      <c r="M37" s="403">
        <f t="shared" si="18"/>
        <v>0</v>
      </c>
      <c r="N37" s="401">
        <f t="shared" si="19"/>
        <v>0</v>
      </c>
      <c r="O37" s="401">
        <f t="shared" si="20"/>
        <v>0</v>
      </c>
      <c r="P37" s="401">
        <f t="shared" si="21"/>
        <v>0</v>
      </c>
    </row>
    <row r="38" spans="1:16">
      <c r="A38" s="425"/>
      <c r="B38" s="412"/>
      <c r="C38" s="426" t="s">
        <v>369</v>
      </c>
      <c r="D38" s="427">
        <v>0</v>
      </c>
      <c r="E38" s="401">
        <v>0</v>
      </c>
      <c r="F38" s="402">
        <f t="shared" si="11"/>
        <v>0</v>
      </c>
      <c r="G38" s="401">
        <f t="shared" si="12"/>
        <v>0</v>
      </c>
      <c r="H38" s="401">
        <f t="shared" si="13"/>
        <v>0</v>
      </c>
      <c r="I38" s="401">
        <f t="shared" si="14"/>
        <v>0</v>
      </c>
      <c r="J38" s="401">
        <f t="shared" si="15"/>
        <v>0</v>
      </c>
      <c r="K38" s="401">
        <f t="shared" si="16"/>
        <v>0</v>
      </c>
      <c r="L38" s="401">
        <f t="shared" si="17"/>
        <v>0</v>
      </c>
      <c r="M38" s="403">
        <f t="shared" si="18"/>
        <v>0</v>
      </c>
      <c r="N38" s="401">
        <f t="shared" si="19"/>
        <v>0</v>
      </c>
      <c r="O38" s="401">
        <f t="shared" si="20"/>
        <v>0</v>
      </c>
      <c r="P38" s="401">
        <f t="shared" si="21"/>
        <v>0</v>
      </c>
    </row>
    <row r="39" spans="1:16">
      <c r="A39" s="425"/>
      <c r="B39" s="412"/>
      <c r="C39" s="426" t="s">
        <v>369</v>
      </c>
      <c r="D39" s="427">
        <v>0</v>
      </c>
      <c r="E39" s="401">
        <v>0</v>
      </c>
      <c r="F39" s="402">
        <f t="shared" si="11"/>
        <v>0</v>
      </c>
      <c r="G39" s="401">
        <f t="shared" si="12"/>
        <v>0</v>
      </c>
      <c r="H39" s="401">
        <f t="shared" si="13"/>
        <v>0</v>
      </c>
      <c r="I39" s="401">
        <f t="shared" si="14"/>
        <v>0</v>
      </c>
      <c r="J39" s="401">
        <f t="shared" si="15"/>
        <v>0</v>
      </c>
      <c r="K39" s="401">
        <f t="shared" si="16"/>
        <v>0</v>
      </c>
      <c r="L39" s="401">
        <f t="shared" si="17"/>
        <v>0</v>
      </c>
      <c r="M39" s="403">
        <f t="shared" si="18"/>
        <v>0</v>
      </c>
      <c r="N39" s="401">
        <f t="shared" si="19"/>
        <v>0</v>
      </c>
      <c r="O39" s="401">
        <f t="shared" si="20"/>
        <v>0</v>
      </c>
      <c r="P39" s="401">
        <f t="shared" si="21"/>
        <v>0</v>
      </c>
    </row>
    <row r="40" spans="1:16">
      <c r="A40" s="425"/>
      <c r="B40" s="412"/>
      <c r="C40" s="426" t="s">
        <v>369</v>
      </c>
      <c r="D40" s="427">
        <v>0</v>
      </c>
      <c r="E40" s="401">
        <v>0</v>
      </c>
      <c r="F40" s="402">
        <f t="shared" si="11"/>
        <v>0</v>
      </c>
      <c r="G40" s="401">
        <f t="shared" si="12"/>
        <v>0</v>
      </c>
      <c r="H40" s="401">
        <f t="shared" si="13"/>
        <v>0</v>
      </c>
      <c r="I40" s="401">
        <f t="shared" si="14"/>
        <v>0</v>
      </c>
      <c r="J40" s="401">
        <f t="shared" si="15"/>
        <v>0</v>
      </c>
      <c r="K40" s="401">
        <f t="shared" si="16"/>
        <v>0</v>
      </c>
      <c r="L40" s="401">
        <f t="shared" si="17"/>
        <v>0</v>
      </c>
      <c r="M40" s="403">
        <f t="shared" si="18"/>
        <v>0</v>
      </c>
      <c r="N40" s="401">
        <f t="shared" si="19"/>
        <v>0</v>
      </c>
      <c r="O40" s="401">
        <f t="shared" si="20"/>
        <v>0</v>
      </c>
      <c r="P40" s="401">
        <f t="shared" si="21"/>
        <v>0</v>
      </c>
    </row>
    <row r="41" spans="1:16">
      <c r="A41" s="425"/>
      <c r="B41" s="412"/>
      <c r="C41" s="426" t="s">
        <v>369</v>
      </c>
      <c r="D41" s="427">
        <v>0</v>
      </c>
      <c r="E41" s="401">
        <v>0</v>
      </c>
      <c r="F41" s="402">
        <f t="shared" si="11"/>
        <v>0</v>
      </c>
      <c r="G41" s="401">
        <f t="shared" si="12"/>
        <v>0</v>
      </c>
      <c r="H41" s="401">
        <f t="shared" si="13"/>
        <v>0</v>
      </c>
      <c r="I41" s="401">
        <f t="shared" si="14"/>
        <v>0</v>
      </c>
      <c r="J41" s="401">
        <f t="shared" si="15"/>
        <v>0</v>
      </c>
      <c r="K41" s="401">
        <f t="shared" si="16"/>
        <v>0</v>
      </c>
      <c r="L41" s="401">
        <f t="shared" si="17"/>
        <v>0</v>
      </c>
      <c r="M41" s="403">
        <f t="shared" si="18"/>
        <v>0</v>
      </c>
      <c r="N41" s="401">
        <f t="shared" si="19"/>
        <v>0</v>
      </c>
      <c r="O41" s="401">
        <f t="shared" si="20"/>
        <v>0</v>
      </c>
      <c r="P41" s="401">
        <f t="shared" si="21"/>
        <v>0</v>
      </c>
    </row>
    <row r="42" spans="1:16">
      <c r="A42" s="425"/>
      <c r="B42" s="412"/>
      <c r="C42" s="426" t="s">
        <v>369</v>
      </c>
      <c r="D42" s="427">
        <v>0</v>
      </c>
      <c r="E42" s="401">
        <v>0</v>
      </c>
      <c r="F42" s="402">
        <f t="shared" si="11"/>
        <v>0</v>
      </c>
      <c r="G42" s="401">
        <f t="shared" si="12"/>
        <v>0</v>
      </c>
      <c r="H42" s="401">
        <f t="shared" si="13"/>
        <v>0</v>
      </c>
      <c r="I42" s="401">
        <f t="shared" si="14"/>
        <v>0</v>
      </c>
      <c r="J42" s="401">
        <f t="shared" si="15"/>
        <v>0</v>
      </c>
      <c r="K42" s="401">
        <f t="shared" si="16"/>
        <v>0</v>
      </c>
      <c r="L42" s="401">
        <f t="shared" si="17"/>
        <v>0</v>
      </c>
      <c r="M42" s="403">
        <f t="shared" si="18"/>
        <v>0</v>
      </c>
      <c r="N42" s="401">
        <f t="shared" si="19"/>
        <v>0</v>
      </c>
      <c r="O42" s="401">
        <f t="shared" si="20"/>
        <v>0</v>
      </c>
      <c r="P42" s="401">
        <f t="shared" si="21"/>
        <v>0</v>
      </c>
    </row>
    <row r="43" spans="1:16">
      <c r="A43" s="425"/>
      <c r="B43" s="412"/>
      <c r="C43" s="426" t="s">
        <v>369</v>
      </c>
      <c r="D43" s="427">
        <v>0</v>
      </c>
      <c r="E43" s="401">
        <v>0</v>
      </c>
      <c r="F43" s="402">
        <f t="shared" si="11"/>
        <v>0</v>
      </c>
      <c r="G43" s="401">
        <f t="shared" si="12"/>
        <v>0</v>
      </c>
      <c r="H43" s="401">
        <f t="shared" si="13"/>
        <v>0</v>
      </c>
      <c r="I43" s="401">
        <f t="shared" si="14"/>
        <v>0</v>
      </c>
      <c r="J43" s="401">
        <f t="shared" si="15"/>
        <v>0</v>
      </c>
      <c r="K43" s="401">
        <f t="shared" si="16"/>
        <v>0</v>
      </c>
      <c r="L43" s="401">
        <f t="shared" si="17"/>
        <v>0</v>
      </c>
      <c r="M43" s="403">
        <f t="shared" si="18"/>
        <v>0</v>
      </c>
      <c r="N43" s="401">
        <f t="shared" si="19"/>
        <v>0</v>
      </c>
      <c r="O43" s="401">
        <f t="shared" si="20"/>
        <v>0</v>
      </c>
      <c r="P43" s="401">
        <f t="shared" si="21"/>
        <v>0</v>
      </c>
    </row>
    <row r="44" spans="1:16">
      <c r="A44" s="425"/>
      <c r="B44" s="412"/>
      <c r="C44" s="426" t="s">
        <v>369</v>
      </c>
      <c r="D44" s="427">
        <v>0</v>
      </c>
      <c r="E44" s="401">
        <v>0</v>
      </c>
      <c r="F44" s="402">
        <f t="shared" si="11"/>
        <v>0</v>
      </c>
      <c r="G44" s="401">
        <f t="shared" si="12"/>
        <v>0</v>
      </c>
      <c r="H44" s="401">
        <f t="shared" si="13"/>
        <v>0</v>
      </c>
      <c r="I44" s="401">
        <f t="shared" si="14"/>
        <v>0</v>
      </c>
      <c r="J44" s="401">
        <f t="shared" si="15"/>
        <v>0</v>
      </c>
      <c r="K44" s="401">
        <f t="shared" si="16"/>
        <v>0</v>
      </c>
      <c r="L44" s="401">
        <f t="shared" si="17"/>
        <v>0</v>
      </c>
      <c r="M44" s="403">
        <f t="shared" si="18"/>
        <v>0</v>
      </c>
      <c r="N44" s="401">
        <f t="shared" si="19"/>
        <v>0</v>
      </c>
      <c r="O44" s="401">
        <f t="shared" si="20"/>
        <v>0</v>
      </c>
      <c r="P44" s="401">
        <f t="shared" si="21"/>
        <v>0</v>
      </c>
    </row>
    <row r="45" spans="1:16">
      <c r="A45" s="425"/>
      <c r="B45" s="412"/>
      <c r="C45" s="426" t="s">
        <v>369</v>
      </c>
      <c r="D45" s="427">
        <v>0</v>
      </c>
      <c r="E45" s="401">
        <v>0</v>
      </c>
      <c r="F45" s="402">
        <f t="shared" si="11"/>
        <v>0</v>
      </c>
      <c r="G45" s="401">
        <f t="shared" si="12"/>
        <v>0</v>
      </c>
      <c r="H45" s="401">
        <f t="shared" si="13"/>
        <v>0</v>
      </c>
      <c r="I45" s="401">
        <f t="shared" si="14"/>
        <v>0</v>
      </c>
      <c r="J45" s="401">
        <f t="shared" si="15"/>
        <v>0</v>
      </c>
      <c r="K45" s="401">
        <f t="shared" si="16"/>
        <v>0</v>
      </c>
      <c r="L45" s="401">
        <f t="shared" si="17"/>
        <v>0</v>
      </c>
      <c r="M45" s="403">
        <f t="shared" si="18"/>
        <v>0</v>
      </c>
      <c r="N45" s="401">
        <f t="shared" si="19"/>
        <v>0</v>
      </c>
      <c r="O45" s="401">
        <f t="shared" si="20"/>
        <v>0</v>
      </c>
      <c r="P45" s="401">
        <f t="shared" si="21"/>
        <v>0</v>
      </c>
    </row>
    <row r="46" spans="1:16">
      <c r="A46" s="425"/>
      <c r="B46" s="412"/>
      <c r="C46" s="426" t="s">
        <v>369</v>
      </c>
      <c r="D46" s="427">
        <v>0</v>
      </c>
      <c r="E46" s="401">
        <v>0</v>
      </c>
      <c r="F46" s="402">
        <f t="shared" si="11"/>
        <v>0</v>
      </c>
      <c r="G46" s="401">
        <f t="shared" si="12"/>
        <v>0</v>
      </c>
      <c r="H46" s="401">
        <f t="shared" si="13"/>
        <v>0</v>
      </c>
      <c r="I46" s="401">
        <f t="shared" si="14"/>
        <v>0</v>
      </c>
      <c r="J46" s="401">
        <f t="shared" si="15"/>
        <v>0</v>
      </c>
      <c r="K46" s="401">
        <f t="shared" si="16"/>
        <v>0</v>
      </c>
      <c r="L46" s="401">
        <f t="shared" si="17"/>
        <v>0</v>
      </c>
      <c r="M46" s="403">
        <f t="shared" si="18"/>
        <v>0</v>
      </c>
      <c r="N46" s="401">
        <f t="shared" si="19"/>
        <v>0</v>
      </c>
      <c r="O46" s="401">
        <f t="shared" si="20"/>
        <v>0</v>
      </c>
      <c r="P46" s="401">
        <f t="shared" si="21"/>
        <v>0</v>
      </c>
    </row>
    <row r="47" spans="1:16">
      <c r="A47" s="425"/>
      <c r="B47" s="412"/>
      <c r="C47" s="426" t="s">
        <v>369</v>
      </c>
      <c r="D47" s="427">
        <v>0</v>
      </c>
      <c r="E47" s="401">
        <v>0</v>
      </c>
      <c r="F47" s="402">
        <f t="shared" si="11"/>
        <v>0</v>
      </c>
      <c r="G47" s="401">
        <f t="shared" si="12"/>
        <v>0</v>
      </c>
      <c r="H47" s="401">
        <f t="shared" si="13"/>
        <v>0</v>
      </c>
      <c r="I47" s="401">
        <f t="shared" si="14"/>
        <v>0</v>
      </c>
      <c r="J47" s="401">
        <f t="shared" si="15"/>
        <v>0</v>
      </c>
      <c r="K47" s="401">
        <f t="shared" si="16"/>
        <v>0</v>
      </c>
      <c r="L47" s="401">
        <f t="shared" si="17"/>
        <v>0</v>
      </c>
      <c r="M47" s="403">
        <f t="shared" si="18"/>
        <v>0</v>
      </c>
      <c r="N47" s="401">
        <f t="shared" si="19"/>
        <v>0</v>
      </c>
      <c r="O47" s="401">
        <f t="shared" si="20"/>
        <v>0</v>
      </c>
      <c r="P47" s="401">
        <f t="shared" si="21"/>
        <v>0</v>
      </c>
    </row>
    <row r="48" spans="1:16">
      <c r="A48" s="425"/>
      <c r="B48" s="412"/>
      <c r="C48" s="426" t="s">
        <v>369</v>
      </c>
      <c r="D48" s="427">
        <v>0</v>
      </c>
      <c r="E48" s="401">
        <v>0</v>
      </c>
      <c r="F48" s="402">
        <f t="shared" si="11"/>
        <v>0</v>
      </c>
      <c r="G48" s="401">
        <f t="shared" si="12"/>
        <v>0</v>
      </c>
      <c r="H48" s="401">
        <f t="shared" si="13"/>
        <v>0</v>
      </c>
      <c r="I48" s="401">
        <f t="shared" si="14"/>
        <v>0</v>
      </c>
      <c r="J48" s="401">
        <f t="shared" si="15"/>
        <v>0</v>
      </c>
      <c r="K48" s="401">
        <f t="shared" si="16"/>
        <v>0</v>
      </c>
      <c r="L48" s="401">
        <f t="shared" si="17"/>
        <v>0</v>
      </c>
      <c r="M48" s="403">
        <f t="shared" si="18"/>
        <v>0</v>
      </c>
      <c r="N48" s="401">
        <f t="shared" si="19"/>
        <v>0</v>
      </c>
      <c r="O48" s="401">
        <f t="shared" si="20"/>
        <v>0</v>
      </c>
      <c r="P48" s="401">
        <f t="shared" si="21"/>
        <v>0</v>
      </c>
    </row>
    <row r="49" spans="1:17">
      <c r="A49" s="425"/>
      <c r="B49" s="412"/>
      <c r="C49" s="426" t="s">
        <v>369</v>
      </c>
      <c r="D49" s="427">
        <v>0</v>
      </c>
      <c r="E49" s="401">
        <v>0</v>
      </c>
      <c r="F49" s="402">
        <f t="shared" si="11"/>
        <v>0</v>
      </c>
      <c r="G49" s="401">
        <f t="shared" si="12"/>
        <v>0</v>
      </c>
      <c r="H49" s="401">
        <f t="shared" si="13"/>
        <v>0</v>
      </c>
      <c r="I49" s="401">
        <f t="shared" si="14"/>
        <v>0</v>
      </c>
      <c r="J49" s="401">
        <f t="shared" si="15"/>
        <v>0</v>
      </c>
      <c r="K49" s="401">
        <f t="shared" si="16"/>
        <v>0</v>
      </c>
      <c r="L49" s="401">
        <f t="shared" si="17"/>
        <v>0</v>
      </c>
      <c r="M49" s="403">
        <f t="shared" si="18"/>
        <v>0</v>
      </c>
      <c r="N49" s="401">
        <f t="shared" si="19"/>
        <v>0</v>
      </c>
      <c r="O49" s="401">
        <f t="shared" si="20"/>
        <v>0</v>
      </c>
      <c r="P49" s="401">
        <f t="shared" si="21"/>
        <v>0</v>
      </c>
    </row>
    <row r="50" spans="1:17">
      <c r="A50" s="425"/>
      <c r="B50" s="412"/>
      <c r="C50" s="426" t="s">
        <v>369</v>
      </c>
      <c r="D50" s="427">
        <v>0</v>
      </c>
      <c r="E50" s="401">
        <v>0</v>
      </c>
      <c r="F50" s="402">
        <f t="shared" si="11"/>
        <v>0</v>
      </c>
      <c r="G50" s="401">
        <f t="shared" si="12"/>
        <v>0</v>
      </c>
      <c r="H50" s="401">
        <f t="shared" si="13"/>
        <v>0</v>
      </c>
      <c r="I50" s="401">
        <f t="shared" si="14"/>
        <v>0</v>
      </c>
      <c r="J50" s="401">
        <f t="shared" si="15"/>
        <v>0</v>
      </c>
      <c r="K50" s="401">
        <f t="shared" si="16"/>
        <v>0</v>
      </c>
      <c r="L50" s="401">
        <f t="shared" si="17"/>
        <v>0</v>
      </c>
      <c r="M50" s="403">
        <f t="shared" si="18"/>
        <v>0</v>
      </c>
      <c r="N50" s="401">
        <f t="shared" si="19"/>
        <v>0</v>
      </c>
      <c r="O50" s="401">
        <f t="shared" si="20"/>
        <v>0</v>
      </c>
      <c r="P50" s="401">
        <f t="shared" si="21"/>
        <v>0</v>
      </c>
    </row>
    <row r="51" spans="1:17">
      <c r="A51" s="425"/>
      <c r="B51" s="412"/>
      <c r="C51" s="426" t="s">
        <v>369</v>
      </c>
      <c r="D51" s="427">
        <v>0</v>
      </c>
      <c r="E51" s="401">
        <v>0</v>
      </c>
      <c r="F51" s="402">
        <f t="shared" si="11"/>
        <v>0</v>
      </c>
      <c r="G51" s="401">
        <f t="shared" si="12"/>
        <v>0</v>
      </c>
      <c r="H51" s="401">
        <f t="shared" si="13"/>
        <v>0</v>
      </c>
      <c r="I51" s="401">
        <f t="shared" si="14"/>
        <v>0</v>
      </c>
      <c r="J51" s="401">
        <f t="shared" si="15"/>
        <v>0</v>
      </c>
      <c r="K51" s="401">
        <f t="shared" si="16"/>
        <v>0</v>
      </c>
      <c r="L51" s="401">
        <f t="shared" si="17"/>
        <v>0</v>
      </c>
      <c r="M51" s="403">
        <f t="shared" si="18"/>
        <v>0</v>
      </c>
      <c r="N51" s="401">
        <f t="shared" si="19"/>
        <v>0</v>
      </c>
      <c r="O51" s="401">
        <f t="shared" si="20"/>
        <v>0</v>
      </c>
      <c r="P51" s="401">
        <f t="shared" si="21"/>
        <v>0</v>
      </c>
    </row>
    <row r="52" spans="1:17">
      <c r="A52" s="425"/>
      <c r="B52" s="412"/>
      <c r="C52" s="426" t="s">
        <v>369</v>
      </c>
      <c r="D52" s="427">
        <v>0</v>
      </c>
      <c r="E52" s="401">
        <v>0</v>
      </c>
      <c r="F52" s="402">
        <f t="shared" si="11"/>
        <v>0</v>
      </c>
      <c r="G52" s="401">
        <f t="shared" si="12"/>
        <v>0</v>
      </c>
      <c r="H52" s="401">
        <f t="shared" si="13"/>
        <v>0</v>
      </c>
      <c r="I52" s="401">
        <f t="shared" si="14"/>
        <v>0</v>
      </c>
      <c r="J52" s="401">
        <f t="shared" si="15"/>
        <v>0</v>
      </c>
      <c r="K52" s="401">
        <f t="shared" si="16"/>
        <v>0</v>
      </c>
      <c r="L52" s="401">
        <f t="shared" si="17"/>
        <v>0</v>
      </c>
      <c r="M52" s="403">
        <f t="shared" si="18"/>
        <v>0</v>
      </c>
      <c r="N52" s="401">
        <f t="shared" si="19"/>
        <v>0</v>
      </c>
      <c r="O52" s="401">
        <f t="shared" si="20"/>
        <v>0</v>
      </c>
      <c r="P52" s="401">
        <f t="shared" si="21"/>
        <v>0</v>
      </c>
    </row>
    <row r="53" spans="1:17">
      <c r="A53" s="425"/>
      <c r="B53" s="412"/>
      <c r="C53" s="426" t="s">
        <v>369</v>
      </c>
      <c r="D53" s="427">
        <v>0</v>
      </c>
      <c r="E53" s="401">
        <v>0</v>
      </c>
      <c r="F53" s="402">
        <f t="shared" si="11"/>
        <v>0</v>
      </c>
      <c r="G53" s="401">
        <f t="shared" si="12"/>
        <v>0</v>
      </c>
      <c r="H53" s="401">
        <f t="shared" si="13"/>
        <v>0</v>
      </c>
      <c r="I53" s="401">
        <f t="shared" si="14"/>
        <v>0</v>
      </c>
      <c r="J53" s="401">
        <f t="shared" si="15"/>
        <v>0</v>
      </c>
      <c r="K53" s="401">
        <f t="shared" si="16"/>
        <v>0</v>
      </c>
      <c r="L53" s="401">
        <f t="shared" si="17"/>
        <v>0</v>
      </c>
      <c r="M53" s="403">
        <f t="shared" si="18"/>
        <v>0</v>
      </c>
      <c r="N53" s="401">
        <f t="shared" si="19"/>
        <v>0</v>
      </c>
      <c r="O53" s="401">
        <f t="shared" si="20"/>
        <v>0</v>
      </c>
      <c r="P53" s="401">
        <f t="shared" si="21"/>
        <v>0</v>
      </c>
    </row>
    <row r="54" spans="1:17">
      <c r="A54" s="425"/>
      <c r="B54" s="412"/>
      <c r="C54" s="426" t="s">
        <v>369</v>
      </c>
      <c r="D54" s="427">
        <v>0</v>
      </c>
      <c r="E54" s="401">
        <v>0</v>
      </c>
      <c r="F54" s="402">
        <f t="shared" si="11"/>
        <v>0</v>
      </c>
      <c r="G54" s="401">
        <f t="shared" si="12"/>
        <v>0</v>
      </c>
      <c r="H54" s="401">
        <f t="shared" si="13"/>
        <v>0</v>
      </c>
      <c r="I54" s="401">
        <f t="shared" si="14"/>
        <v>0</v>
      </c>
      <c r="J54" s="401">
        <f t="shared" si="15"/>
        <v>0</v>
      </c>
      <c r="K54" s="401">
        <f t="shared" si="16"/>
        <v>0</v>
      </c>
      <c r="L54" s="401">
        <f t="shared" si="17"/>
        <v>0</v>
      </c>
      <c r="M54" s="403">
        <f t="shared" si="18"/>
        <v>0</v>
      </c>
      <c r="N54" s="401">
        <f t="shared" si="19"/>
        <v>0</v>
      </c>
      <c r="O54" s="401">
        <f t="shared" si="20"/>
        <v>0</v>
      </c>
      <c r="P54" s="401">
        <f t="shared" si="21"/>
        <v>0</v>
      </c>
    </row>
    <row r="55" spans="1:17">
      <c r="A55" s="425"/>
      <c r="B55" s="412"/>
      <c r="C55" s="426" t="s">
        <v>369</v>
      </c>
      <c r="D55" s="427">
        <v>0</v>
      </c>
      <c r="E55" s="401">
        <v>0</v>
      </c>
      <c r="F55" s="402">
        <f t="shared" si="1"/>
        <v>0</v>
      </c>
      <c r="G55" s="401">
        <f t="shared" si="0"/>
        <v>0</v>
      </c>
      <c r="H55" s="401">
        <f t="shared" si="2"/>
        <v>0</v>
      </c>
      <c r="I55" s="401">
        <f t="shared" si="3"/>
        <v>0</v>
      </c>
      <c r="J55" s="401">
        <f t="shared" si="4"/>
        <v>0</v>
      </c>
      <c r="K55" s="401">
        <f t="shared" si="5"/>
        <v>0</v>
      </c>
      <c r="L55" s="401">
        <f t="shared" si="6"/>
        <v>0</v>
      </c>
      <c r="M55" s="403">
        <f t="shared" si="7"/>
        <v>0</v>
      </c>
      <c r="N55" s="401">
        <f t="shared" si="8"/>
        <v>0</v>
      </c>
      <c r="O55" s="401">
        <f t="shared" si="9"/>
        <v>0</v>
      </c>
      <c r="P55" s="401">
        <f t="shared" si="10"/>
        <v>0</v>
      </c>
    </row>
    <row r="56" spans="1:17" ht="13">
      <c r="A56" s="193"/>
      <c r="B56" s="195"/>
      <c r="C56" s="195"/>
      <c r="E56" s="149"/>
      <c r="F56" s="18"/>
      <c r="G56" s="149"/>
      <c r="H56" s="149"/>
      <c r="I56" s="149"/>
      <c r="J56" s="149"/>
      <c r="K56" s="149"/>
      <c r="L56" s="149"/>
      <c r="M56" s="149"/>
      <c r="N56" s="9"/>
      <c r="O56" s="9"/>
      <c r="P56" s="9"/>
    </row>
    <row r="57" spans="1:17" ht="13">
      <c r="B57" s="12"/>
      <c r="C57" s="12"/>
      <c r="D57" s="13"/>
      <c r="E57" s="14" t="s">
        <v>371</v>
      </c>
      <c r="F57" s="14">
        <f>SUM(F3:F55)</f>
        <v>0</v>
      </c>
      <c r="K57" s="16" t="s">
        <v>372</v>
      </c>
      <c r="L57" s="16"/>
      <c r="M57" s="14">
        <f>SUM(M6:M55)</f>
        <v>0</v>
      </c>
      <c r="O57" s="16" t="s">
        <v>373</v>
      </c>
      <c r="P57" s="14">
        <f>SUM(P6:P55)</f>
        <v>0</v>
      </c>
      <c r="Q57" s="148"/>
    </row>
    <row r="58" spans="1:17" ht="13">
      <c r="B58" s="17"/>
      <c r="C58" s="17"/>
      <c r="F58" s="18"/>
      <c r="O58" s="19" t="s">
        <v>374</v>
      </c>
      <c r="P58" s="20">
        <f>P57-M57</f>
        <v>0</v>
      </c>
      <c r="Q58" s="148"/>
    </row>
    <row r="59" spans="1:17">
      <c r="B59" s="30"/>
      <c r="C59" s="30"/>
      <c r="F59" s="18"/>
      <c r="Q59" s="18"/>
    </row>
    <row r="60" spans="1:17">
      <c r="B60" s="179" t="s">
        <v>363</v>
      </c>
      <c r="C60" s="30"/>
      <c r="F60" s="18"/>
      <c r="P60" s="18"/>
      <c r="Q60" s="18"/>
    </row>
    <row r="61" spans="1:17">
      <c r="B61" s="107" t="s">
        <v>375</v>
      </c>
      <c r="F61" s="18"/>
    </row>
    <row r="62" spans="1:17">
      <c r="B62" s="107" t="s">
        <v>369</v>
      </c>
    </row>
    <row r="63" spans="1:17">
      <c r="B63" s="30"/>
      <c r="C63" s="30"/>
      <c r="E63" s="31"/>
      <c r="F63" s="133"/>
      <c r="K63" s="18"/>
      <c r="L63" s="18"/>
    </row>
    <row r="65" spans="6:6">
      <c r="F65" s="18"/>
    </row>
  </sheetData>
  <mergeCells count="3">
    <mergeCell ref="B1:D1"/>
    <mergeCell ref="E1:F1"/>
    <mergeCell ref="B3:F3"/>
  </mergeCells>
  <phoneticPr fontId="0" type="noConversion"/>
  <dataValidations count="1">
    <dataValidation type="list" allowBlank="1" showErrorMessage="1" errorTitle="opción no válida" sqref="C6:C55" xr:uid="{7FF08B5D-5D38-4357-A9CC-82BE1042E12E}">
      <formula1>$B$61:$B$62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R23"/>
  <sheetViews>
    <sheetView showGridLines="0" zoomScale="90" zoomScaleNormal="90" workbookViewId="0">
      <selection activeCell="C38" sqref="C38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7" ht="15.5">
      <c r="A1" s="557" t="s">
        <v>355</v>
      </c>
      <c r="B1" s="557"/>
      <c r="C1" s="557"/>
      <c r="D1" s="557"/>
      <c r="E1" s="207">
        <f>+Equipos!E1</f>
        <v>0</v>
      </c>
    </row>
    <row r="2" spans="1:17">
      <c r="A2" s="1"/>
      <c r="B2" s="1"/>
      <c r="C2" s="1"/>
      <c r="D2" s="1"/>
      <c r="E2" s="2"/>
    </row>
    <row r="3" spans="1:17" ht="13">
      <c r="A3" s="560" t="s">
        <v>376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  <c r="P3" s="440" t="s">
        <v>531</v>
      </c>
    </row>
    <row r="4" spans="1:17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0.1</v>
      </c>
      <c r="G4" s="7">
        <v>0</v>
      </c>
      <c r="H4" s="6">
        <v>0.13</v>
      </c>
      <c r="I4" s="203">
        <v>0.14000000000000001</v>
      </c>
      <c r="J4" s="23" t="s">
        <v>366</v>
      </c>
      <c r="K4" s="209">
        <v>0.03</v>
      </c>
      <c r="L4" s="25" t="s">
        <v>377</v>
      </c>
      <c r="M4" s="26">
        <v>0.3</v>
      </c>
      <c r="N4" s="191" t="s">
        <v>367</v>
      </c>
      <c r="O4" s="24" t="s">
        <v>14</v>
      </c>
    </row>
    <row r="5" spans="1:17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7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 t="shared" ref="F6:F15" si="0">IF(B6="si",D6*$F$4,0)</f>
        <v>0</v>
      </c>
      <c r="G6" s="401">
        <v>0</v>
      </c>
      <c r="H6" s="401">
        <f>(D6+F6+G6)*$H$4</f>
        <v>0</v>
      </c>
      <c r="I6" s="401">
        <f t="shared" ref="I6:I15" si="1">IF(B6="si",(D6+F6+G6+H6)*$I$4,0)</f>
        <v>0</v>
      </c>
      <c r="J6" s="401">
        <f>D6+F6+G6+H6+I6</f>
        <v>0</v>
      </c>
      <c r="K6" s="401">
        <f>J6*$K$4</f>
        <v>0</v>
      </c>
      <c r="L6" s="403">
        <f t="shared" ref="L6:L15" si="2">(J6+K6)*C6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7">
      <c r="A7" s="410"/>
      <c r="B7" s="407" t="s">
        <v>369</v>
      </c>
      <c r="C7" s="408">
        <v>0</v>
      </c>
      <c r="D7" s="406">
        <v>0</v>
      </c>
      <c r="E7" s="409">
        <f t="shared" ref="E7:E15" si="3">+D7*C7</f>
        <v>0</v>
      </c>
      <c r="F7" s="401">
        <f t="shared" si="0"/>
        <v>0</v>
      </c>
      <c r="G7" s="411">
        <f t="shared" ref="G7:G15" si="4">(D7+F7)*$G$4</f>
        <v>0</v>
      </c>
      <c r="H7" s="411">
        <f t="shared" ref="H7:H15" si="5">(D7+F7+G7)*$H$4</f>
        <v>0</v>
      </c>
      <c r="I7" s="401">
        <f t="shared" si="1"/>
        <v>0</v>
      </c>
      <c r="J7" s="411">
        <f t="shared" ref="J7:J15" si="6">D7+F7+G7+H7+I7</f>
        <v>0</v>
      </c>
      <c r="K7" s="401">
        <f t="shared" ref="K7:K15" si="7">J7*$K$4</f>
        <v>0</v>
      </c>
      <c r="L7" s="403">
        <f t="shared" si="2"/>
        <v>0</v>
      </c>
      <c r="M7" s="401">
        <f t="shared" ref="M7:M15" si="8">(J7+K7)*$M$4/(1-$M$4)</f>
        <v>0</v>
      </c>
      <c r="N7" s="401">
        <f t="shared" ref="N7:N15" si="9">M7+J7+K7</f>
        <v>0</v>
      </c>
      <c r="O7" s="411">
        <f t="shared" ref="O7:O15" si="10">N7*C7</f>
        <v>0</v>
      </c>
    </row>
    <row r="8" spans="1:17">
      <c r="A8" s="410"/>
      <c r="B8" s="407" t="s">
        <v>369</v>
      </c>
      <c r="C8" s="408">
        <v>0</v>
      </c>
      <c r="D8" s="406">
        <v>0</v>
      </c>
      <c r="E8" s="409">
        <f t="shared" si="3"/>
        <v>0</v>
      </c>
      <c r="F8" s="401">
        <f t="shared" si="0"/>
        <v>0</v>
      </c>
      <c r="G8" s="411">
        <f t="shared" si="4"/>
        <v>0</v>
      </c>
      <c r="H8" s="411">
        <f t="shared" si="5"/>
        <v>0</v>
      </c>
      <c r="I8" s="401">
        <f t="shared" si="1"/>
        <v>0</v>
      </c>
      <c r="J8" s="411">
        <f t="shared" si="6"/>
        <v>0</v>
      </c>
      <c r="K8" s="401">
        <f t="shared" si="7"/>
        <v>0</v>
      </c>
      <c r="L8" s="403">
        <f t="shared" si="2"/>
        <v>0</v>
      </c>
      <c r="M8" s="401">
        <f t="shared" si="8"/>
        <v>0</v>
      </c>
      <c r="N8" s="401">
        <f t="shared" si="9"/>
        <v>0</v>
      </c>
      <c r="O8" s="411">
        <f t="shared" si="10"/>
        <v>0</v>
      </c>
    </row>
    <row r="9" spans="1:17">
      <c r="A9" s="412"/>
      <c r="B9" s="407" t="s">
        <v>369</v>
      </c>
      <c r="C9" s="408">
        <v>0</v>
      </c>
      <c r="D9" s="406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7"/>
        <v>0</v>
      </c>
      <c r="L9" s="403">
        <f t="shared" si="2"/>
        <v>0</v>
      </c>
      <c r="M9" s="401">
        <f t="shared" si="8"/>
        <v>0</v>
      </c>
      <c r="N9" s="401">
        <f t="shared" si="9"/>
        <v>0</v>
      </c>
      <c r="O9" s="411">
        <f t="shared" si="10"/>
        <v>0</v>
      </c>
    </row>
    <row r="10" spans="1:17">
      <c r="A10" s="412"/>
      <c r="B10" s="407" t="s">
        <v>369</v>
      </c>
      <c r="C10" s="408">
        <v>0</v>
      </c>
      <c r="D10" s="406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7"/>
        <v>0</v>
      </c>
      <c r="L10" s="403">
        <f t="shared" si="2"/>
        <v>0</v>
      </c>
      <c r="M10" s="401">
        <f t="shared" si="8"/>
        <v>0</v>
      </c>
      <c r="N10" s="401">
        <f t="shared" si="9"/>
        <v>0</v>
      </c>
      <c r="O10" s="411">
        <f t="shared" si="10"/>
        <v>0</v>
      </c>
    </row>
    <row r="11" spans="1:17">
      <c r="A11" s="412"/>
      <c r="B11" s="407" t="s">
        <v>369</v>
      </c>
      <c r="C11" s="408">
        <v>0</v>
      </c>
      <c r="D11" s="406">
        <v>0</v>
      </c>
      <c r="E11" s="409">
        <f t="shared" ref="E11:E12" si="11">+D11*C11</f>
        <v>0</v>
      </c>
      <c r="F11" s="401">
        <f t="shared" si="0"/>
        <v>0</v>
      </c>
      <c r="G11" s="411">
        <f t="shared" ref="G11:G12" si="12">(D11+F11)*$G$4</f>
        <v>0</v>
      </c>
      <c r="H11" s="411">
        <f t="shared" ref="H11:H12" si="13">(D11+F11+G11)*$H$4</f>
        <v>0</v>
      </c>
      <c r="I11" s="401">
        <f t="shared" si="1"/>
        <v>0</v>
      </c>
      <c r="J11" s="411">
        <f t="shared" ref="J11:J12" si="14">D11+F11+G11+H11+I11</f>
        <v>0</v>
      </c>
      <c r="K11" s="401">
        <f t="shared" si="7"/>
        <v>0</v>
      </c>
      <c r="L11" s="403">
        <f t="shared" si="2"/>
        <v>0</v>
      </c>
      <c r="M11" s="401">
        <f t="shared" si="8"/>
        <v>0</v>
      </c>
      <c r="N11" s="401">
        <f t="shared" si="9"/>
        <v>0</v>
      </c>
      <c r="O11" s="411">
        <f t="shared" ref="O11:O12" si="15">N11*C11</f>
        <v>0</v>
      </c>
    </row>
    <row r="12" spans="1:17">
      <c r="A12" s="412"/>
      <c r="B12" s="407" t="s">
        <v>369</v>
      </c>
      <c r="C12" s="408">
        <v>0</v>
      </c>
      <c r="D12" s="406">
        <v>0</v>
      </c>
      <c r="E12" s="409">
        <f t="shared" si="11"/>
        <v>0</v>
      </c>
      <c r="F12" s="401">
        <f t="shared" si="0"/>
        <v>0</v>
      </c>
      <c r="G12" s="411">
        <f t="shared" si="12"/>
        <v>0</v>
      </c>
      <c r="H12" s="411">
        <f t="shared" si="13"/>
        <v>0</v>
      </c>
      <c r="I12" s="401">
        <f t="shared" si="1"/>
        <v>0</v>
      </c>
      <c r="J12" s="411">
        <f t="shared" si="14"/>
        <v>0</v>
      </c>
      <c r="K12" s="401">
        <f t="shared" si="7"/>
        <v>0</v>
      </c>
      <c r="L12" s="403">
        <f t="shared" si="2"/>
        <v>0</v>
      </c>
      <c r="M12" s="401">
        <f t="shared" si="8"/>
        <v>0</v>
      </c>
      <c r="N12" s="401">
        <f t="shared" si="9"/>
        <v>0</v>
      </c>
      <c r="O12" s="411">
        <f t="shared" si="15"/>
        <v>0</v>
      </c>
    </row>
    <row r="13" spans="1:17">
      <c r="A13" s="412"/>
      <c r="B13" s="407" t="s">
        <v>369</v>
      </c>
      <c r="C13" s="408">
        <v>0</v>
      </c>
      <c r="D13" s="406">
        <v>0</v>
      </c>
      <c r="E13" s="409">
        <f t="shared" ref="E13:E14" si="16">+D13*C13</f>
        <v>0</v>
      </c>
      <c r="F13" s="401">
        <f t="shared" si="0"/>
        <v>0</v>
      </c>
      <c r="G13" s="411">
        <f t="shared" ref="G13:G14" si="17">(D13+F13)*$G$4</f>
        <v>0</v>
      </c>
      <c r="H13" s="411">
        <f t="shared" ref="H13:H14" si="18">(D13+F13+G13)*$H$4</f>
        <v>0</v>
      </c>
      <c r="I13" s="401">
        <f t="shared" si="1"/>
        <v>0</v>
      </c>
      <c r="J13" s="411">
        <f t="shared" ref="J13:J14" si="19">D13+F13+G13+H13+I13</f>
        <v>0</v>
      </c>
      <c r="K13" s="401">
        <f t="shared" si="7"/>
        <v>0</v>
      </c>
      <c r="L13" s="403">
        <f t="shared" si="2"/>
        <v>0</v>
      </c>
      <c r="M13" s="401">
        <f t="shared" si="8"/>
        <v>0</v>
      </c>
      <c r="N13" s="401">
        <f t="shared" si="9"/>
        <v>0</v>
      </c>
      <c r="O13" s="411">
        <f t="shared" ref="O13:O14" si="20">N13*C13</f>
        <v>0</v>
      </c>
    </row>
    <row r="14" spans="1:17">
      <c r="A14" s="412"/>
      <c r="B14" s="407" t="s">
        <v>369</v>
      </c>
      <c r="C14" s="408">
        <v>0</v>
      </c>
      <c r="D14" s="406">
        <v>0</v>
      </c>
      <c r="E14" s="409">
        <f t="shared" si="16"/>
        <v>0</v>
      </c>
      <c r="F14" s="401">
        <f t="shared" si="0"/>
        <v>0</v>
      </c>
      <c r="G14" s="411">
        <f t="shared" si="17"/>
        <v>0</v>
      </c>
      <c r="H14" s="411">
        <f t="shared" si="18"/>
        <v>0</v>
      </c>
      <c r="I14" s="401">
        <f t="shared" si="1"/>
        <v>0</v>
      </c>
      <c r="J14" s="411">
        <f t="shared" si="19"/>
        <v>0</v>
      </c>
      <c r="K14" s="401">
        <f t="shared" si="7"/>
        <v>0</v>
      </c>
      <c r="L14" s="403">
        <f t="shared" si="2"/>
        <v>0</v>
      </c>
      <c r="M14" s="401">
        <f t="shared" si="8"/>
        <v>0</v>
      </c>
      <c r="N14" s="401">
        <f t="shared" si="9"/>
        <v>0</v>
      </c>
      <c r="O14" s="411">
        <f t="shared" si="20"/>
        <v>0</v>
      </c>
    </row>
    <row r="15" spans="1:17">
      <c r="A15" s="412"/>
      <c r="B15" s="407" t="s">
        <v>369</v>
      </c>
      <c r="C15" s="408">
        <v>0</v>
      </c>
      <c r="D15" s="406">
        <v>0</v>
      </c>
      <c r="E15" s="409">
        <f t="shared" si="3"/>
        <v>0</v>
      </c>
      <c r="F15" s="401">
        <f t="shared" si="0"/>
        <v>0</v>
      </c>
      <c r="G15" s="411">
        <f t="shared" si="4"/>
        <v>0</v>
      </c>
      <c r="H15" s="411">
        <f t="shared" si="5"/>
        <v>0</v>
      </c>
      <c r="I15" s="401">
        <f t="shared" si="1"/>
        <v>0</v>
      </c>
      <c r="J15" s="411">
        <f t="shared" si="6"/>
        <v>0</v>
      </c>
      <c r="K15" s="401">
        <f t="shared" si="7"/>
        <v>0</v>
      </c>
      <c r="L15" s="403">
        <f t="shared" si="2"/>
        <v>0</v>
      </c>
      <c r="M15" s="401">
        <f t="shared" si="8"/>
        <v>0</v>
      </c>
      <c r="N15" s="401">
        <f t="shared" si="9"/>
        <v>0</v>
      </c>
      <c r="O15" s="411">
        <f t="shared" si="10"/>
        <v>0</v>
      </c>
    </row>
    <row r="16" spans="1:17">
      <c r="A16" s="131"/>
      <c r="B16" s="131"/>
      <c r="C16" s="11"/>
      <c r="D16" s="130"/>
      <c r="E16" s="18"/>
      <c r="F16" s="9"/>
      <c r="G16" s="9"/>
      <c r="H16" s="9"/>
      <c r="I16" s="9"/>
      <c r="J16" s="9"/>
      <c r="K16" s="9"/>
      <c r="L16" s="149"/>
      <c r="M16" s="9"/>
      <c r="N16" s="9"/>
      <c r="O16" s="9"/>
      <c r="Q16" s="4"/>
    </row>
    <row r="17" spans="1:18" ht="13">
      <c r="A17" s="12"/>
      <c r="B17" s="12"/>
      <c r="C17" s="13"/>
      <c r="D17" s="14" t="s">
        <v>371</v>
      </c>
      <c r="E17" s="14">
        <f>SUM(E6:E15)</f>
        <v>0</v>
      </c>
      <c r="F17" s="15"/>
      <c r="G17" s="15"/>
      <c r="H17" s="15"/>
      <c r="I17" s="15"/>
      <c r="J17" s="16" t="s">
        <v>372</v>
      </c>
      <c r="K17" s="16"/>
      <c r="L17" s="14">
        <f>SUM(L6:L15)</f>
        <v>0</v>
      </c>
      <c r="M17" s="15"/>
      <c r="N17" s="16" t="s">
        <v>373</v>
      </c>
      <c r="O17" s="14">
        <f>SUM(O6:O15)</f>
        <v>0</v>
      </c>
      <c r="Q17" s="4"/>
      <c r="R17" s="3"/>
    </row>
    <row r="18" spans="1:18" ht="13">
      <c r="A18" s="34"/>
      <c r="B18" s="34"/>
      <c r="C18" s="194"/>
      <c r="D18" s="15"/>
      <c r="E18" s="18"/>
      <c r="F18" s="15"/>
      <c r="G18" s="15"/>
      <c r="H18" s="15"/>
      <c r="I18" s="15"/>
      <c r="J18" s="15"/>
      <c r="K18" s="15"/>
      <c r="L18" s="15"/>
      <c r="M18" s="15"/>
      <c r="N18" s="19" t="s">
        <v>374</v>
      </c>
      <c r="O18" s="20">
        <f>O17-L17</f>
        <v>0</v>
      </c>
      <c r="Q18" s="4"/>
      <c r="R18" s="3"/>
    </row>
    <row r="19" spans="1:18">
      <c r="Q19" s="4"/>
      <c r="R19" s="3"/>
    </row>
    <row r="20" spans="1:18">
      <c r="A20" s="179" t="s">
        <v>363</v>
      </c>
      <c r="E20" s="3"/>
      <c r="Q20" s="4"/>
      <c r="R20" s="3"/>
    </row>
    <row r="21" spans="1:18">
      <c r="A21" s="107" t="s">
        <v>375</v>
      </c>
      <c r="B21" s="8"/>
      <c r="E21" s="3"/>
      <c r="Q21" s="4"/>
    </row>
    <row r="22" spans="1:18">
      <c r="A22" s="107" t="s">
        <v>369</v>
      </c>
      <c r="B22" s="39"/>
      <c r="C22" s="15"/>
      <c r="D22" s="15"/>
      <c r="O22" s="3"/>
    </row>
    <row r="23" spans="1:18">
      <c r="A23" s="39"/>
      <c r="B23" s="39"/>
      <c r="C23" s="15"/>
      <c r="D23" s="15"/>
      <c r="P23" s="3"/>
    </row>
  </sheetData>
  <mergeCells count="2">
    <mergeCell ref="A3:E3"/>
    <mergeCell ref="A1:D1"/>
  </mergeCells>
  <dataValidations count="1">
    <dataValidation type="list" allowBlank="1" showErrorMessage="1" errorTitle="Opción no válida" sqref="B6:B15" xr:uid="{48EE099D-CE0D-4B64-82D7-23A7A802EDF1}">
      <formula1>$A$21:$A$22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9212-49E4-48C6-A7CD-9AB4EE4DB87B}">
  <sheetPr>
    <tabColor rgb="FF92D050"/>
  </sheetPr>
  <dimension ref="A1:R28"/>
  <sheetViews>
    <sheetView showGridLines="0" zoomScale="90" zoomScaleNormal="90" workbookViewId="0">
      <selection activeCell="M6" sqref="M6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20.453125" bestFit="1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306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379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0.1</v>
      </c>
      <c r="G4" s="7">
        <v>0</v>
      </c>
      <c r="H4" s="6">
        <v>0.13</v>
      </c>
      <c r="I4" s="203">
        <v>0.14000000000000001</v>
      </c>
      <c r="J4" s="23" t="s">
        <v>366</v>
      </c>
      <c r="K4" s="209">
        <v>0.03</v>
      </c>
      <c r="L4" s="25" t="s">
        <v>377</v>
      </c>
      <c r="M4" s="26">
        <v>0.3</v>
      </c>
      <c r="N4" s="191" t="s">
        <v>367</v>
      </c>
      <c r="O4" s="24" t="s">
        <v>14</v>
      </c>
    </row>
    <row r="5" spans="1:16" s="15" customFormat="1" ht="13">
      <c r="A5" s="77" t="s">
        <v>380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0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(J6+K6)*C6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0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03">
        <f t="shared" ref="L7:L20" si="3">(J7+K7)*C7</f>
        <v>0</v>
      </c>
      <c r="M7" s="401">
        <f t="shared" ref="M7:M20" si="4">(J7+K7)*$M$4/(1-$M$4)</f>
        <v>0</v>
      </c>
      <c r="N7" s="401">
        <f t="shared" ref="N7:N20" si="5">M7+J7+K7</f>
        <v>0</v>
      </c>
      <c r="O7" s="411">
        <f>N7*C7</f>
        <v>0</v>
      </c>
    </row>
    <row r="8" spans="1:16">
      <c r="A8" s="410"/>
      <c r="B8" s="407" t="s">
        <v>369</v>
      </c>
      <c r="C8" s="400">
        <v>0</v>
      </c>
      <c r="D8" s="406">
        <v>0</v>
      </c>
      <c r="E8" s="409">
        <f t="shared" ref="E8:E12" si="6">+D8*C8</f>
        <v>0</v>
      </c>
      <c r="F8" s="401">
        <f t="shared" si="0"/>
        <v>0</v>
      </c>
      <c r="G8" s="411">
        <f t="shared" ref="G8:G12" si="7">(D8+F8)*$G$4</f>
        <v>0</v>
      </c>
      <c r="H8" s="411">
        <f t="shared" ref="H8:H12" si="8">(D8+F8+G8)*$H$4</f>
        <v>0</v>
      </c>
      <c r="I8" s="401">
        <f t="shared" si="1"/>
        <v>0</v>
      </c>
      <c r="J8" s="411">
        <f t="shared" ref="J8:J12" si="9">D8+F8+G8+H8+I8</f>
        <v>0</v>
      </c>
      <c r="K8" s="401">
        <f t="shared" si="2"/>
        <v>0</v>
      </c>
      <c r="L8" s="403">
        <f t="shared" si="3"/>
        <v>0</v>
      </c>
      <c r="M8" s="401">
        <f t="shared" si="4"/>
        <v>0</v>
      </c>
      <c r="N8" s="401">
        <f t="shared" si="5"/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00">
        <v>0</v>
      </c>
      <c r="D9" s="406">
        <v>0</v>
      </c>
      <c r="E9" s="409">
        <f t="shared" si="6"/>
        <v>0</v>
      </c>
      <c r="F9" s="401">
        <f t="shared" si="0"/>
        <v>0</v>
      </c>
      <c r="G9" s="411">
        <f t="shared" si="7"/>
        <v>0</v>
      </c>
      <c r="H9" s="411">
        <f t="shared" si="8"/>
        <v>0</v>
      </c>
      <c r="I9" s="401">
        <f t="shared" si="1"/>
        <v>0</v>
      </c>
      <c r="J9" s="411">
        <f t="shared" si="9"/>
        <v>0</v>
      </c>
      <c r="K9" s="401">
        <f t="shared" si="2"/>
        <v>0</v>
      </c>
      <c r="L9" s="403">
        <f t="shared" si="3"/>
        <v>0</v>
      </c>
      <c r="M9" s="401">
        <f t="shared" si="4"/>
        <v>0</v>
      </c>
      <c r="N9" s="401">
        <f t="shared" si="5"/>
        <v>0</v>
      </c>
      <c r="O9" s="411">
        <f t="shared" si="10"/>
        <v>0</v>
      </c>
    </row>
    <row r="10" spans="1:16">
      <c r="A10" s="410"/>
      <c r="B10" s="407" t="s">
        <v>369</v>
      </c>
      <c r="C10" s="400">
        <v>0</v>
      </c>
      <c r="D10" s="406">
        <v>0</v>
      </c>
      <c r="E10" s="409">
        <f t="shared" si="6"/>
        <v>0</v>
      </c>
      <c r="F10" s="401">
        <f t="shared" si="0"/>
        <v>0</v>
      </c>
      <c r="G10" s="411">
        <f t="shared" si="7"/>
        <v>0</v>
      </c>
      <c r="H10" s="411">
        <f t="shared" si="8"/>
        <v>0</v>
      </c>
      <c r="I10" s="401">
        <f t="shared" si="1"/>
        <v>0</v>
      </c>
      <c r="J10" s="411">
        <f t="shared" si="9"/>
        <v>0</v>
      </c>
      <c r="K10" s="401">
        <f t="shared" si="2"/>
        <v>0</v>
      </c>
      <c r="L10" s="403">
        <f t="shared" si="3"/>
        <v>0</v>
      </c>
      <c r="M10" s="401">
        <f t="shared" si="4"/>
        <v>0</v>
      </c>
      <c r="N10" s="401">
        <f t="shared" si="5"/>
        <v>0</v>
      </c>
      <c r="O10" s="411">
        <f t="shared" si="10"/>
        <v>0</v>
      </c>
    </row>
    <row r="11" spans="1:16">
      <c r="A11" s="412"/>
      <c r="B11" s="407" t="s">
        <v>369</v>
      </c>
      <c r="C11" s="400">
        <v>0</v>
      </c>
      <c r="D11" s="406">
        <v>0</v>
      </c>
      <c r="E11" s="409">
        <f t="shared" si="6"/>
        <v>0</v>
      </c>
      <c r="F11" s="401">
        <f t="shared" si="0"/>
        <v>0</v>
      </c>
      <c r="G11" s="411">
        <f t="shared" si="7"/>
        <v>0</v>
      </c>
      <c r="H11" s="411">
        <f t="shared" si="8"/>
        <v>0</v>
      </c>
      <c r="I11" s="401">
        <f t="shared" si="1"/>
        <v>0</v>
      </c>
      <c r="J11" s="411">
        <f t="shared" si="9"/>
        <v>0</v>
      </c>
      <c r="K11" s="401">
        <f t="shared" si="2"/>
        <v>0</v>
      </c>
      <c r="L11" s="403">
        <f t="shared" si="3"/>
        <v>0</v>
      </c>
      <c r="M11" s="401">
        <f t="shared" si="4"/>
        <v>0</v>
      </c>
      <c r="N11" s="401">
        <f t="shared" si="5"/>
        <v>0</v>
      </c>
      <c r="O11" s="411">
        <f t="shared" si="10"/>
        <v>0</v>
      </c>
    </row>
    <row r="12" spans="1:16">
      <c r="A12" s="412"/>
      <c r="B12" s="407" t="s">
        <v>369</v>
      </c>
      <c r="C12" s="400">
        <v>0</v>
      </c>
      <c r="D12" s="406">
        <v>0</v>
      </c>
      <c r="E12" s="409">
        <f t="shared" si="6"/>
        <v>0</v>
      </c>
      <c r="F12" s="401">
        <f t="shared" si="0"/>
        <v>0</v>
      </c>
      <c r="G12" s="411">
        <f t="shared" si="7"/>
        <v>0</v>
      </c>
      <c r="H12" s="411">
        <f t="shared" si="8"/>
        <v>0</v>
      </c>
      <c r="I12" s="401">
        <f t="shared" si="1"/>
        <v>0</v>
      </c>
      <c r="J12" s="411">
        <f t="shared" si="9"/>
        <v>0</v>
      </c>
      <c r="K12" s="401">
        <f t="shared" si="2"/>
        <v>0</v>
      </c>
      <c r="L12" s="403">
        <f t="shared" si="3"/>
        <v>0</v>
      </c>
      <c r="M12" s="401">
        <f t="shared" si="4"/>
        <v>0</v>
      </c>
      <c r="N12" s="401">
        <f t="shared" si="5"/>
        <v>0</v>
      </c>
      <c r="O12" s="411">
        <f t="shared" si="10"/>
        <v>0</v>
      </c>
    </row>
    <row r="13" spans="1:16" ht="13">
      <c r="A13" s="78" t="s">
        <v>381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  <row r="14" spans="1:16">
      <c r="A14" s="407"/>
      <c r="B14" s="407" t="s">
        <v>369</v>
      </c>
      <c r="C14" s="400">
        <v>0</v>
      </c>
      <c r="D14" s="406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si="3"/>
        <v>0</v>
      </c>
      <c r="M14" s="401">
        <f t="shared" si="4"/>
        <v>0</v>
      </c>
      <c r="N14" s="401">
        <f t="shared" si="5"/>
        <v>0</v>
      </c>
      <c r="O14" s="401">
        <f t="shared" ref="O14:O18" si="14">N14*C14</f>
        <v>0</v>
      </c>
    </row>
    <row r="15" spans="1:16">
      <c r="A15" s="413"/>
      <c r="B15" s="407" t="s">
        <v>369</v>
      </c>
      <c r="C15" s="400">
        <v>0</v>
      </c>
      <c r="D15" s="406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3"/>
        <v>0</v>
      </c>
      <c r="M15" s="401">
        <f t="shared" si="4"/>
        <v>0</v>
      </c>
      <c r="N15" s="401">
        <f t="shared" si="5"/>
        <v>0</v>
      </c>
      <c r="O15" s="401">
        <f t="shared" si="14"/>
        <v>0</v>
      </c>
    </row>
    <row r="16" spans="1:16">
      <c r="A16" s="413"/>
      <c r="B16" s="407" t="s">
        <v>369</v>
      </c>
      <c r="C16" s="400">
        <v>0</v>
      </c>
      <c r="D16" s="406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3"/>
        <v>0</v>
      </c>
      <c r="M16" s="401">
        <f t="shared" si="4"/>
        <v>0</v>
      </c>
      <c r="N16" s="401">
        <f t="shared" si="5"/>
        <v>0</v>
      </c>
      <c r="O16" s="401">
        <f t="shared" si="14"/>
        <v>0</v>
      </c>
    </row>
    <row r="17" spans="1:18">
      <c r="A17" s="414"/>
      <c r="B17" s="407" t="s">
        <v>369</v>
      </c>
      <c r="C17" s="400">
        <v>0</v>
      </c>
      <c r="D17" s="406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3"/>
        <v>0</v>
      </c>
      <c r="M17" s="401">
        <f t="shared" si="4"/>
        <v>0</v>
      </c>
      <c r="N17" s="401">
        <f t="shared" si="5"/>
        <v>0</v>
      </c>
      <c r="O17" s="401">
        <f t="shared" si="14"/>
        <v>0</v>
      </c>
    </row>
    <row r="18" spans="1:18">
      <c r="A18" s="414"/>
      <c r="B18" s="407" t="s">
        <v>369</v>
      </c>
      <c r="C18" s="400">
        <v>0</v>
      </c>
      <c r="D18" s="406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3"/>
        <v>0</v>
      </c>
      <c r="M18" s="401">
        <f t="shared" si="4"/>
        <v>0</v>
      </c>
      <c r="N18" s="401">
        <f t="shared" si="5"/>
        <v>0</v>
      </c>
      <c r="O18" s="401">
        <f t="shared" si="14"/>
        <v>0</v>
      </c>
    </row>
    <row r="19" spans="1:18" ht="13">
      <c r="A19" s="77" t="s">
        <v>370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</row>
    <row r="20" spans="1:18">
      <c r="A20" s="405"/>
      <c r="B20" s="407" t="s">
        <v>369</v>
      </c>
      <c r="C20" s="400">
        <v>0</v>
      </c>
      <c r="D20" s="406">
        <v>0</v>
      </c>
      <c r="E20" s="402">
        <f>+C20*D20</f>
        <v>0</v>
      </c>
      <c r="F20" s="401">
        <f t="shared" si="0"/>
        <v>0</v>
      </c>
      <c r="G20" s="401">
        <f t="shared" ref="G20" si="15">(D20+F20)*$G$4</f>
        <v>0</v>
      </c>
      <c r="H20" s="401">
        <f t="shared" ref="H20" si="16">(D20+F20+G20)*$H$4</f>
        <v>0</v>
      </c>
      <c r="I20" s="401">
        <f t="shared" si="1"/>
        <v>0</v>
      </c>
      <c r="J20" s="401">
        <f t="shared" ref="J20" si="17">D20+F20+G20+H20+I20</f>
        <v>0</v>
      </c>
      <c r="K20" s="401">
        <f t="shared" si="2"/>
        <v>0</v>
      </c>
      <c r="L20" s="403">
        <f t="shared" si="3"/>
        <v>0</v>
      </c>
      <c r="M20" s="401">
        <f t="shared" si="4"/>
        <v>0</v>
      </c>
      <c r="N20" s="401">
        <f t="shared" si="5"/>
        <v>0</v>
      </c>
      <c r="O20" s="401">
        <f t="shared" ref="O20" si="18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6:B12 B14:B18 B20" xr:uid="{A0F505FC-25D8-4F9E-BDDF-DFB93A2AE193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C190-59D0-4502-99A2-1139D15DEB1A}">
  <sheetPr>
    <tabColor rgb="FF92D050"/>
  </sheetPr>
  <dimension ref="A1:R27"/>
  <sheetViews>
    <sheetView showGridLines="0" zoomScale="90" zoomScaleNormal="90" workbookViewId="0">
      <selection activeCell="C22" sqref="C22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20.453125" bestFit="1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5" ht="15.5">
      <c r="A1" s="557" t="s">
        <v>355</v>
      </c>
      <c r="B1" s="557"/>
      <c r="C1" s="557"/>
      <c r="D1" s="557"/>
      <c r="E1" s="306">
        <f>+Equipos!E1</f>
        <v>0</v>
      </c>
    </row>
    <row r="2" spans="1:15">
      <c r="A2" s="1"/>
      <c r="B2" s="1"/>
      <c r="C2" s="1"/>
      <c r="D2" s="1"/>
      <c r="E2" s="2"/>
    </row>
    <row r="3" spans="1:15" ht="13">
      <c r="A3" s="560" t="s">
        <v>382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5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0.1</v>
      </c>
      <c r="G4" s="7">
        <v>0</v>
      </c>
      <c r="H4" s="6">
        <v>0.13</v>
      </c>
      <c r="I4" s="203">
        <v>0.14000000000000001</v>
      </c>
      <c r="J4" s="23" t="s">
        <v>366</v>
      </c>
      <c r="K4" s="209">
        <v>0.03</v>
      </c>
      <c r="L4" s="25" t="s">
        <v>377</v>
      </c>
      <c r="M4" s="26">
        <v>0.3</v>
      </c>
      <c r="N4" s="191" t="s">
        <v>367</v>
      </c>
      <c r="O4" s="24" t="s">
        <v>14</v>
      </c>
    </row>
    <row r="5" spans="1:15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5" ht="14.5">
      <c r="A6" s="410"/>
      <c r="B6" s="407" t="s">
        <v>369</v>
      </c>
      <c r="C6" s="415">
        <v>0</v>
      </c>
      <c r="D6" s="406">
        <v>0</v>
      </c>
      <c r="E6" s="409">
        <f>+D6*C6</f>
        <v>0</v>
      </c>
      <c r="F6" s="401">
        <f t="shared" ref="F6:F19" si="0">IF(B6="si",D6*$F$4,0)</f>
        <v>0</v>
      </c>
      <c r="G6" s="411">
        <f>(D6+F6)*$G$4</f>
        <v>0</v>
      </c>
      <c r="H6" s="411">
        <f>(D6+F6+G6)*$H$4</f>
        <v>0</v>
      </c>
      <c r="I6" s="401">
        <f t="shared" ref="I6:I19" si="1">IF(B6="si",(D6+F6+G6+H6)*$I$4,0)</f>
        <v>0</v>
      </c>
      <c r="J6" s="411">
        <f>D6+F6+G6+H6+I6</f>
        <v>0</v>
      </c>
      <c r="K6" s="401">
        <f t="shared" ref="K6:K19" si="2">J6*$K$4</f>
        <v>0</v>
      </c>
      <c r="L6" s="416">
        <f>(J6+K6)*C6</f>
        <v>0</v>
      </c>
      <c r="M6" s="411">
        <f>(J6+K6)*$M$4/(1-$M$4)</f>
        <v>0</v>
      </c>
      <c r="N6" s="411">
        <f>M6+J6+K6</f>
        <v>0</v>
      </c>
      <c r="O6" s="411">
        <f>N6*C6</f>
        <v>0</v>
      </c>
    </row>
    <row r="7" spans="1:15" ht="14.5">
      <c r="A7" s="410"/>
      <c r="B7" s="407" t="s">
        <v>369</v>
      </c>
      <c r="C7" s="415">
        <v>0</v>
      </c>
      <c r="D7" s="406">
        <v>0</v>
      </c>
      <c r="E7" s="409">
        <f t="shared" ref="E7:E11" si="3">+D7*C7</f>
        <v>0</v>
      </c>
      <c r="F7" s="401">
        <f t="shared" si="0"/>
        <v>0</v>
      </c>
      <c r="G7" s="411">
        <f t="shared" ref="G7:G11" si="4">(D7+F7)*$G$4</f>
        <v>0</v>
      </c>
      <c r="H7" s="411">
        <f t="shared" ref="H7:H11" si="5">(D7+F7+G7)*$H$4</f>
        <v>0</v>
      </c>
      <c r="I7" s="401">
        <f t="shared" si="1"/>
        <v>0</v>
      </c>
      <c r="J7" s="411">
        <f t="shared" ref="J7:J11" si="6">D7+F7+G7+H7+I7</f>
        <v>0</v>
      </c>
      <c r="K7" s="401">
        <f t="shared" si="2"/>
        <v>0</v>
      </c>
      <c r="L7" s="416">
        <f t="shared" ref="L7:L19" si="7">(J7+K7)*C7</f>
        <v>0</v>
      </c>
      <c r="M7" s="411">
        <f t="shared" ref="M7:M19" si="8">(J7+K7)*$M$4/(1-$M$4)</f>
        <v>0</v>
      </c>
      <c r="N7" s="411">
        <f t="shared" ref="N7:N19" si="9">M7+J7+K7</f>
        <v>0</v>
      </c>
      <c r="O7" s="411">
        <f t="shared" ref="O7:O11" si="10">N7*C7</f>
        <v>0</v>
      </c>
    </row>
    <row r="8" spans="1:15" ht="14.5">
      <c r="A8" s="410"/>
      <c r="B8" s="407" t="s">
        <v>369</v>
      </c>
      <c r="C8" s="415">
        <v>0</v>
      </c>
      <c r="D8" s="406">
        <v>0</v>
      </c>
      <c r="E8" s="409">
        <f t="shared" si="3"/>
        <v>0</v>
      </c>
      <c r="F8" s="401">
        <f t="shared" si="0"/>
        <v>0</v>
      </c>
      <c r="G8" s="411">
        <f t="shared" si="4"/>
        <v>0</v>
      </c>
      <c r="H8" s="411">
        <f t="shared" si="5"/>
        <v>0</v>
      </c>
      <c r="I8" s="401">
        <f t="shared" si="1"/>
        <v>0</v>
      </c>
      <c r="J8" s="411">
        <f t="shared" si="6"/>
        <v>0</v>
      </c>
      <c r="K8" s="401">
        <f t="shared" si="2"/>
        <v>0</v>
      </c>
      <c r="L8" s="416">
        <f t="shared" si="7"/>
        <v>0</v>
      </c>
      <c r="M8" s="411">
        <f t="shared" si="8"/>
        <v>0</v>
      </c>
      <c r="N8" s="411">
        <f t="shared" si="9"/>
        <v>0</v>
      </c>
      <c r="O8" s="411">
        <f t="shared" si="10"/>
        <v>0</v>
      </c>
    </row>
    <row r="9" spans="1:15" ht="14.5">
      <c r="A9" s="410"/>
      <c r="B9" s="407" t="s">
        <v>369</v>
      </c>
      <c r="C9" s="415">
        <v>0</v>
      </c>
      <c r="D9" s="406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5" ht="14.5">
      <c r="A10" s="412"/>
      <c r="B10" s="407" t="s">
        <v>369</v>
      </c>
      <c r="C10" s="415">
        <v>0</v>
      </c>
      <c r="D10" s="406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5" ht="14.5">
      <c r="A11" s="412"/>
      <c r="B11" s="407" t="s">
        <v>369</v>
      </c>
      <c r="C11" s="415">
        <v>0</v>
      </c>
      <c r="D11" s="406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5" ht="13">
      <c r="A12" s="78" t="s">
        <v>378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</row>
    <row r="13" spans="1:15" ht="14.5">
      <c r="A13" s="407"/>
      <c r="B13" s="407" t="s">
        <v>369</v>
      </c>
      <c r="C13" s="415">
        <v>0</v>
      </c>
      <c r="D13" s="406">
        <v>0</v>
      </c>
      <c r="E13" s="402">
        <f>+C13*D13*(1-C22)</f>
        <v>0</v>
      </c>
      <c r="F13" s="401">
        <f t="shared" si="0"/>
        <v>0</v>
      </c>
      <c r="G13" s="401">
        <f t="shared" ref="G13:G17" si="11">(D13+F13)*$G$4</f>
        <v>0</v>
      </c>
      <c r="H13" s="401">
        <f t="shared" ref="H13:H17" si="12">(D13+F13+G13)*$H$4</f>
        <v>0</v>
      </c>
      <c r="I13" s="401">
        <f t="shared" si="1"/>
        <v>0</v>
      </c>
      <c r="J13" s="401">
        <f t="shared" ref="J13:J17" si="13">D13+F13+G13+H13+I13</f>
        <v>0</v>
      </c>
      <c r="K13" s="401">
        <f t="shared" si="2"/>
        <v>0</v>
      </c>
      <c r="L13" s="416">
        <f t="shared" si="7"/>
        <v>0</v>
      </c>
      <c r="M13" s="411">
        <f t="shared" si="8"/>
        <v>0</v>
      </c>
      <c r="N13" s="411">
        <f t="shared" si="9"/>
        <v>0</v>
      </c>
      <c r="O13" s="401">
        <f t="shared" ref="O13:O17" si="14">N13*C13</f>
        <v>0</v>
      </c>
    </row>
    <row r="14" spans="1:15" ht="14.5">
      <c r="A14" s="413"/>
      <c r="B14" s="407" t="s">
        <v>369</v>
      </c>
      <c r="C14" s="415">
        <v>0</v>
      </c>
      <c r="D14" s="406">
        <v>0</v>
      </c>
      <c r="E14" s="402">
        <f>+C14*D14</f>
        <v>0</v>
      </c>
      <c r="F14" s="401">
        <f t="shared" si="0"/>
        <v>0</v>
      </c>
      <c r="G14" s="401">
        <f t="shared" si="11"/>
        <v>0</v>
      </c>
      <c r="H14" s="401">
        <f t="shared" si="12"/>
        <v>0</v>
      </c>
      <c r="I14" s="401">
        <f t="shared" si="1"/>
        <v>0</v>
      </c>
      <c r="J14" s="401">
        <f t="shared" si="13"/>
        <v>0</v>
      </c>
      <c r="K14" s="401">
        <f t="shared" si="2"/>
        <v>0</v>
      </c>
      <c r="L14" s="416">
        <f t="shared" si="7"/>
        <v>0</v>
      </c>
      <c r="M14" s="411">
        <f t="shared" si="8"/>
        <v>0</v>
      </c>
      <c r="N14" s="411">
        <f t="shared" si="9"/>
        <v>0</v>
      </c>
      <c r="O14" s="401">
        <f t="shared" si="14"/>
        <v>0</v>
      </c>
    </row>
    <row r="15" spans="1:15" ht="14.5">
      <c r="A15" s="413"/>
      <c r="B15" s="407" t="s">
        <v>369</v>
      </c>
      <c r="C15" s="415">
        <v>0</v>
      </c>
      <c r="D15" s="406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16">
        <f t="shared" si="7"/>
        <v>0</v>
      </c>
      <c r="M15" s="411">
        <f t="shared" si="8"/>
        <v>0</v>
      </c>
      <c r="N15" s="411">
        <f t="shared" si="9"/>
        <v>0</v>
      </c>
      <c r="O15" s="401">
        <f t="shared" si="14"/>
        <v>0</v>
      </c>
    </row>
    <row r="16" spans="1:15" ht="14.5">
      <c r="A16" s="414"/>
      <c r="B16" s="407" t="s">
        <v>369</v>
      </c>
      <c r="C16" s="415">
        <v>0</v>
      </c>
      <c r="D16" s="406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16">
        <f t="shared" si="7"/>
        <v>0</v>
      </c>
      <c r="M16" s="411">
        <f t="shared" si="8"/>
        <v>0</v>
      </c>
      <c r="N16" s="411">
        <f t="shared" si="9"/>
        <v>0</v>
      </c>
      <c r="O16" s="401">
        <f t="shared" si="14"/>
        <v>0</v>
      </c>
    </row>
    <row r="17" spans="1:18" ht="14.5">
      <c r="A17" s="414"/>
      <c r="B17" s="407" t="s">
        <v>369</v>
      </c>
      <c r="C17" s="415">
        <v>0</v>
      </c>
      <c r="D17" s="406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16">
        <f t="shared" si="7"/>
        <v>0</v>
      </c>
      <c r="M17" s="411">
        <f t="shared" si="8"/>
        <v>0</v>
      </c>
      <c r="N17" s="411">
        <f t="shared" si="9"/>
        <v>0</v>
      </c>
      <c r="O17" s="401">
        <f t="shared" si="14"/>
        <v>0</v>
      </c>
    </row>
    <row r="18" spans="1:18" ht="13">
      <c r="A18" s="77" t="s">
        <v>370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</row>
    <row r="19" spans="1:18" ht="14.5">
      <c r="A19" s="404"/>
      <c r="B19" s="407" t="s">
        <v>369</v>
      </c>
      <c r="C19" s="415">
        <v>0</v>
      </c>
      <c r="D19" s="406">
        <v>0</v>
      </c>
      <c r="E19" s="402">
        <f>+C19*D19</f>
        <v>0</v>
      </c>
      <c r="F19" s="401">
        <f t="shared" si="0"/>
        <v>0</v>
      </c>
      <c r="G19" s="401">
        <f t="shared" ref="G19" si="15">(D19+F19)*$G$4</f>
        <v>0</v>
      </c>
      <c r="H19" s="401">
        <f t="shared" ref="H19" si="16">(D19+F19+G19)*$H$4</f>
        <v>0</v>
      </c>
      <c r="I19" s="401">
        <f t="shared" si="1"/>
        <v>0</v>
      </c>
      <c r="J19" s="401">
        <f t="shared" ref="J19" si="17">D19+F19+G19+H19+I19</f>
        <v>0</v>
      </c>
      <c r="K19" s="401">
        <f t="shared" si="2"/>
        <v>0</v>
      </c>
      <c r="L19" s="416">
        <f t="shared" si="7"/>
        <v>0</v>
      </c>
      <c r="M19" s="411">
        <f t="shared" si="8"/>
        <v>0</v>
      </c>
      <c r="N19" s="411">
        <f t="shared" si="9"/>
        <v>0</v>
      </c>
      <c r="O19" s="401">
        <f t="shared" ref="O19" si="18">N19*C19</f>
        <v>0</v>
      </c>
    </row>
    <row r="20" spans="1:18">
      <c r="A20" s="131"/>
      <c r="B20" s="131"/>
      <c r="C20" s="11"/>
      <c r="D20" s="130"/>
      <c r="E20" s="18"/>
      <c r="F20" s="9"/>
      <c r="G20" s="9"/>
      <c r="H20" s="9"/>
      <c r="I20" s="9"/>
      <c r="J20" s="9"/>
      <c r="K20" s="9"/>
      <c r="L20" s="149"/>
      <c r="M20" s="9"/>
      <c r="N20" s="9"/>
      <c r="O20" s="9"/>
      <c r="Q20" s="4"/>
    </row>
    <row r="21" spans="1:18" ht="13">
      <c r="A21" s="12"/>
      <c r="B21" s="12"/>
      <c r="C21" s="13"/>
      <c r="D21" s="14" t="s">
        <v>371</v>
      </c>
      <c r="E21" s="14">
        <f>SUM(E6:E19)</f>
        <v>0</v>
      </c>
      <c r="F21" s="15"/>
      <c r="G21" s="15"/>
      <c r="H21" s="15"/>
      <c r="I21" s="15"/>
      <c r="J21" s="16" t="s">
        <v>372</v>
      </c>
      <c r="K21" s="16"/>
      <c r="L21" s="14">
        <f>SUM(L6:L19)</f>
        <v>0</v>
      </c>
      <c r="M21" s="15"/>
      <c r="N21" s="16" t="s">
        <v>373</v>
      </c>
      <c r="O21" s="14">
        <f>SUM(O6:O19)</f>
        <v>0</v>
      </c>
      <c r="Q21" s="4"/>
      <c r="R21" s="3"/>
    </row>
    <row r="22" spans="1:18" ht="13">
      <c r="A22" s="34"/>
      <c r="B22" s="34"/>
      <c r="C22" s="194"/>
      <c r="D22" s="15"/>
      <c r="E22" s="18"/>
      <c r="F22" s="15"/>
      <c r="G22" s="15"/>
      <c r="H22" s="15"/>
      <c r="I22" s="15"/>
      <c r="J22" s="15"/>
      <c r="K22" s="15"/>
      <c r="L22" s="15"/>
      <c r="M22" s="15"/>
      <c r="N22" s="19" t="s">
        <v>374</v>
      </c>
      <c r="O22" s="20">
        <f>O21-L21</f>
        <v>0</v>
      </c>
      <c r="Q22" s="4"/>
      <c r="R22" s="3"/>
    </row>
    <row r="23" spans="1:18">
      <c r="Q23" s="4"/>
      <c r="R23" s="3"/>
    </row>
    <row r="24" spans="1:18">
      <c r="A24" s="179" t="s">
        <v>363</v>
      </c>
      <c r="E24" s="3"/>
      <c r="Q24" s="4"/>
      <c r="R24" s="3"/>
    </row>
    <row r="25" spans="1:18">
      <c r="A25" s="107" t="s">
        <v>375</v>
      </c>
      <c r="B25" s="8"/>
      <c r="E25" s="3"/>
      <c r="Q25" s="4"/>
    </row>
    <row r="26" spans="1:18">
      <c r="A26" s="107" t="s">
        <v>369</v>
      </c>
      <c r="B26" s="39"/>
      <c r="C26" s="15"/>
      <c r="D26" s="15"/>
      <c r="O26" s="3"/>
    </row>
    <row r="27" spans="1:18">
      <c r="A27" s="39"/>
      <c r="B27" s="39"/>
      <c r="C27" s="15"/>
      <c r="D27" s="15"/>
      <c r="P27" s="3"/>
    </row>
  </sheetData>
  <mergeCells count="2">
    <mergeCell ref="A1:D1"/>
    <mergeCell ref="A3:E3"/>
  </mergeCells>
  <dataValidations count="1">
    <dataValidation type="list" allowBlank="1" showErrorMessage="1" errorTitle="Opción no válida" sqref="B19 B6:B11 B13:B17" xr:uid="{BD783A14-7A5E-4021-A64D-EF3FC4F45E14}">
      <formula1>$A$25:$A$26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700B-3C54-4920-B067-E260DDFF2A18}">
  <sheetPr>
    <tabColor rgb="FF92D050"/>
  </sheetPr>
  <dimension ref="A1:R31"/>
  <sheetViews>
    <sheetView showGridLines="0" zoomScale="90" zoomScaleNormal="90" workbookViewId="0">
      <selection activeCell="D18" sqref="D18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21.816406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306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383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0.1</v>
      </c>
      <c r="G4" s="7">
        <v>0</v>
      </c>
      <c r="H4" s="6">
        <v>0.13</v>
      </c>
      <c r="I4" s="203">
        <v>0.14000000000000001</v>
      </c>
      <c r="J4" s="23" t="s">
        <v>366</v>
      </c>
      <c r="K4" s="209">
        <v>0.03</v>
      </c>
      <c r="L4" s="25" t="s">
        <v>377</v>
      </c>
      <c r="M4" s="26">
        <v>0.3</v>
      </c>
      <c r="N4" s="191" t="s">
        <v>367</v>
      </c>
      <c r="O4" s="24" t="s">
        <v>14</v>
      </c>
    </row>
    <row r="5" spans="1:16" s="15" customFormat="1" ht="13">
      <c r="A5" s="77" t="s">
        <v>384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12"/>
      <c r="B6" s="407" t="s">
        <v>369</v>
      </c>
      <c r="C6" s="417">
        <v>0</v>
      </c>
      <c r="D6" s="418">
        <v>0</v>
      </c>
      <c r="E6" s="41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(J6+K6)*C6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12"/>
      <c r="B7" s="407" t="s">
        <v>369</v>
      </c>
      <c r="C7" s="417">
        <v>0</v>
      </c>
      <c r="D7" s="418">
        <v>0</v>
      </c>
      <c r="E7" s="419">
        <f>+D7*C7</f>
        <v>0</v>
      </c>
      <c r="F7" s="401">
        <f t="shared" ref="F7:F23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3" si="1">IF(B7="si",(D7+F7+G7+H7)*$I$4,0)</f>
        <v>0</v>
      </c>
      <c r="J7" s="411">
        <f>D7+F7+G7+H7+I7</f>
        <v>0</v>
      </c>
      <c r="K7" s="401">
        <f t="shared" ref="K7:K23" si="2">J7*$K$4</f>
        <v>0</v>
      </c>
      <c r="L7" s="403">
        <f t="shared" ref="L7:L23" si="3">(J7+K7)*C7</f>
        <v>0</v>
      </c>
      <c r="M7" s="401">
        <f t="shared" ref="M7:M23" si="4">(J7+K7)*$M$4/(1-$M$4)</f>
        <v>0</v>
      </c>
      <c r="N7" s="401">
        <f t="shared" ref="N7:N23" si="5">M7+J7+K7</f>
        <v>0</v>
      </c>
      <c r="O7" s="411">
        <f>N7*C7</f>
        <v>0</v>
      </c>
    </row>
    <row r="8" spans="1:16">
      <c r="A8" s="412"/>
      <c r="B8" s="407" t="s">
        <v>369</v>
      </c>
      <c r="C8" s="417">
        <v>0</v>
      </c>
      <c r="D8" s="418">
        <v>0</v>
      </c>
      <c r="E8" s="419">
        <f t="shared" ref="E8:E11" si="6">+D8*C8</f>
        <v>0</v>
      </c>
      <c r="F8" s="401">
        <f t="shared" si="0"/>
        <v>0</v>
      </c>
      <c r="G8" s="411">
        <f t="shared" ref="G8:G11" si="7">(D8+F8)*$G$4</f>
        <v>0</v>
      </c>
      <c r="H8" s="411">
        <f t="shared" ref="H8:H11" si="8">(D8+F8+G8)*$H$4</f>
        <v>0</v>
      </c>
      <c r="I8" s="401">
        <f t="shared" si="1"/>
        <v>0</v>
      </c>
      <c r="J8" s="411">
        <f t="shared" ref="J8:J11" si="9">D8+F8+G8+H8+I8</f>
        <v>0</v>
      </c>
      <c r="K8" s="401">
        <f t="shared" si="2"/>
        <v>0</v>
      </c>
      <c r="L8" s="403">
        <f t="shared" si="3"/>
        <v>0</v>
      </c>
      <c r="M8" s="401">
        <f t="shared" si="4"/>
        <v>0</v>
      </c>
      <c r="N8" s="401">
        <f t="shared" si="5"/>
        <v>0</v>
      </c>
      <c r="O8" s="411">
        <f t="shared" ref="O8:O11" si="10">N8*C8</f>
        <v>0</v>
      </c>
    </row>
    <row r="9" spans="1:16">
      <c r="A9" s="410"/>
      <c r="B9" s="407" t="s">
        <v>369</v>
      </c>
      <c r="C9" s="417">
        <v>0</v>
      </c>
      <c r="D9" s="418">
        <v>0</v>
      </c>
      <c r="E9" s="419">
        <f t="shared" si="6"/>
        <v>0</v>
      </c>
      <c r="F9" s="401">
        <f t="shared" si="0"/>
        <v>0</v>
      </c>
      <c r="G9" s="411">
        <f t="shared" si="7"/>
        <v>0</v>
      </c>
      <c r="H9" s="411">
        <f t="shared" si="8"/>
        <v>0</v>
      </c>
      <c r="I9" s="401">
        <f t="shared" si="1"/>
        <v>0</v>
      </c>
      <c r="J9" s="411">
        <f t="shared" si="9"/>
        <v>0</v>
      </c>
      <c r="K9" s="401">
        <f t="shared" si="2"/>
        <v>0</v>
      </c>
      <c r="L9" s="403">
        <f t="shared" si="3"/>
        <v>0</v>
      </c>
      <c r="M9" s="401">
        <f t="shared" si="4"/>
        <v>0</v>
      </c>
      <c r="N9" s="401">
        <f t="shared" si="5"/>
        <v>0</v>
      </c>
      <c r="O9" s="411">
        <f t="shared" si="10"/>
        <v>0</v>
      </c>
    </row>
    <row r="10" spans="1:16">
      <c r="A10" s="412"/>
      <c r="B10" s="407" t="s">
        <v>369</v>
      </c>
      <c r="C10" s="417">
        <v>0</v>
      </c>
      <c r="D10" s="418">
        <v>0</v>
      </c>
      <c r="E10" s="419">
        <f t="shared" si="6"/>
        <v>0</v>
      </c>
      <c r="F10" s="401">
        <f t="shared" si="0"/>
        <v>0</v>
      </c>
      <c r="G10" s="411">
        <f t="shared" si="7"/>
        <v>0</v>
      </c>
      <c r="H10" s="411">
        <f t="shared" si="8"/>
        <v>0</v>
      </c>
      <c r="I10" s="401">
        <f t="shared" si="1"/>
        <v>0</v>
      </c>
      <c r="J10" s="411">
        <f t="shared" si="9"/>
        <v>0</v>
      </c>
      <c r="K10" s="401">
        <f t="shared" si="2"/>
        <v>0</v>
      </c>
      <c r="L10" s="403">
        <f t="shared" si="3"/>
        <v>0</v>
      </c>
      <c r="M10" s="401">
        <f t="shared" si="4"/>
        <v>0</v>
      </c>
      <c r="N10" s="401">
        <f t="shared" si="5"/>
        <v>0</v>
      </c>
      <c r="O10" s="411">
        <f t="shared" si="10"/>
        <v>0</v>
      </c>
    </row>
    <row r="11" spans="1:16">
      <c r="A11" s="412"/>
      <c r="B11" s="407" t="s">
        <v>369</v>
      </c>
      <c r="C11" s="417">
        <v>0</v>
      </c>
      <c r="D11" s="418">
        <v>0</v>
      </c>
      <c r="E11" s="419">
        <f t="shared" si="6"/>
        <v>0</v>
      </c>
      <c r="F11" s="401">
        <f t="shared" si="0"/>
        <v>0</v>
      </c>
      <c r="G11" s="411">
        <f t="shared" si="7"/>
        <v>0</v>
      </c>
      <c r="H11" s="411">
        <f t="shared" si="8"/>
        <v>0</v>
      </c>
      <c r="I11" s="401">
        <f t="shared" si="1"/>
        <v>0</v>
      </c>
      <c r="J11" s="411">
        <f t="shared" si="9"/>
        <v>0</v>
      </c>
      <c r="K11" s="401">
        <f t="shared" si="2"/>
        <v>0</v>
      </c>
      <c r="L11" s="403">
        <f t="shared" si="3"/>
        <v>0</v>
      </c>
      <c r="M11" s="401">
        <f t="shared" si="4"/>
        <v>0</v>
      </c>
      <c r="N11" s="401">
        <f t="shared" si="5"/>
        <v>0</v>
      </c>
      <c r="O11" s="411">
        <f t="shared" si="10"/>
        <v>0</v>
      </c>
    </row>
    <row r="12" spans="1:16" ht="13">
      <c r="A12" s="78" t="s">
        <v>378</v>
      </c>
      <c r="B12" s="72"/>
      <c r="C12" s="72"/>
      <c r="D12" s="72"/>
      <c r="E12" s="72"/>
      <c r="F12" s="74"/>
      <c r="G12" s="74"/>
      <c r="H12" s="73"/>
      <c r="I12" s="73"/>
      <c r="J12" s="75"/>
      <c r="K12" s="75"/>
      <c r="L12" s="75"/>
      <c r="M12" s="75"/>
      <c r="N12" s="75"/>
      <c r="O12" s="75"/>
    </row>
    <row r="13" spans="1:16">
      <c r="A13" s="407"/>
      <c r="B13" s="407" t="s">
        <v>369</v>
      </c>
      <c r="C13" s="417">
        <v>0</v>
      </c>
      <c r="D13" s="420">
        <v>0</v>
      </c>
      <c r="E13" s="402">
        <f t="shared" ref="E13:E21" si="11">+C13*D13</f>
        <v>0</v>
      </c>
      <c r="F13" s="401">
        <f t="shared" ref="F13" si="12">IF(B13="si",D13*$F$4,0)</f>
        <v>0</v>
      </c>
      <c r="G13" s="401">
        <f t="shared" ref="G13" si="13">(D13+F13)*$G$4</f>
        <v>0</v>
      </c>
      <c r="H13" s="401">
        <f t="shared" ref="H13" si="14">(D13+F13+G13)*$H$4</f>
        <v>0</v>
      </c>
      <c r="I13" s="401">
        <f t="shared" ref="I13" si="15">IF(B13="si",(D13+F13+G13+H13)*$I$4,0)</f>
        <v>0</v>
      </c>
      <c r="J13" s="401">
        <f t="shared" ref="J13" si="16">D13+F13+G13+H13+I13</f>
        <v>0</v>
      </c>
      <c r="K13" s="401">
        <f t="shared" ref="K13" si="17">J13*$K$4</f>
        <v>0</v>
      </c>
      <c r="L13" s="403">
        <f t="shared" ref="L13" si="18">(J13+K13)*C13</f>
        <v>0</v>
      </c>
      <c r="M13" s="401">
        <f t="shared" si="4"/>
        <v>0</v>
      </c>
      <c r="N13" s="401">
        <f t="shared" si="5"/>
        <v>0</v>
      </c>
      <c r="O13" s="401">
        <f t="shared" ref="O13" si="19">N13*C13</f>
        <v>0</v>
      </c>
    </row>
    <row r="14" spans="1:16">
      <c r="A14" s="410"/>
      <c r="B14" s="407" t="s">
        <v>369</v>
      </c>
      <c r="C14" s="417">
        <v>0</v>
      </c>
      <c r="D14" s="418">
        <v>0</v>
      </c>
      <c r="E14" s="402">
        <f t="shared" si="11"/>
        <v>0</v>
      </c>
      <c r="F14" s="401">
        <f t="shared" si="0"/>
        <v>0</v>
      </c>
      <c r="G14" s="401">
        <f t="shared" ref="G14:G17" si="20">(D14+F14)*$G$4</f>
        <v>0</v>
      </c>
      <c r="H14" s="401">
        <f t="shared" ref="H14:H17" si="21">(D14+F14+G14)*$H$4</f>
        <v>0</v>
      </c>
      <c r="I14" s="401">
        <f t="shared" si="1"/>
        <v>0</v>
      </c>
      <c r="J14" s="401">
        <f t="shared" ref="J14:J17" si="22">D14+F14+G14+H14+I14</f>
        <v>0</v>
      </c>
      <c r="K14" s="401">
        <f t="shared" si="2"/>
        <v>0</v>
      </c>
      <c r="L14" s="403">
        <f t="shared" si="3"/>
        <v>0</v>
      </c>
      <c r="M14" s="401">
        <f t="shared" si="4"/>
        <v>0</v>
      </c>
      <c r="N14" s="401">
        <f t="shared" si="5"/>
        <v>0</v>
      </c>
      <c r="O14" s="401">
        <f t="shared" ref="O14:O17" si="23">N14*C14</f>
        <v>0</v>
      </c>
    </row>
    <row r="15" spans="1:16">
      <c r="A15" s="413"/>
      <c r="B15" s="407" t="s">
        <v>369</v>
      </c>
      <c r="C15" s="417">
        <v>0</v>
      </c>
      <c r="D15" s="420">
        <v>0</v>
      </c>
      <c r="E15" s="402">
        <f t="shared" si="11"/>
        <v>0</v>
      </c>
      <c r="F15" s="401">
        <f t="shared" si="0"/>
        <v>0</v>
      </c>
      <c r="G15" s="401">
        <f t="shared" si="20"/>
        <v>0</v>
      </c>
      <c r="H15" s="401">
        <f t="shared" si="21"/>
        <v>0</v>
      </c>
      <c r="I15" s="401">
        <f t="shared" si="1"/>
        <v>0</v>
      </c>
      <c r="J15" s="401">
        <f t="shared" si="22"/>
        <v>0</v>
      </c>
      <c r="K15" s="401">
        <f t="shared" si="2"/>
        <v>0</v>
      </c>
      <c r="L15" s="403">
        <f t="shared" si="3"/>
        <v>0</v>
      </c>
      <c r="M15" s="401">
        <f t="shared" si="4"/>
        <v>0</v>
      </c>
      <c r="N15" s="401">
        <f t="shared" si="5"/>
        <v>0</v>
      </c>
      <c r="O15" s="401">
        <f t="shared" si="23"/>
        <v>0</v>
      </c>
    </row>
    <row r="16" spans="1:16">
      <c r="A16" s="413"/>
      <c r="B16" s="407" t="s">
        <v>369</v>
      </c>
      <c r="C16" s="417">
        <v>0</v>
      </c>
      <c r="D16" s="420">
        <v>0</v>
      </c>
      <c r="E16" s="402">
        <f t="shared" si="11"/>
        <v>0</v>
      </c>
      <c r="F16" s="401">
        <f t="shared" si="0"/>
        <v>0</v>
      </c>
      <c r="G16" s="401">
        <f t="shared" si="20"/>
        <v>0</v>
      </c>
      <c r="H16" s="401">
        <f t="shared" si="21"/>
        <v>0</v>
      </c>
      <c r="I16" s="401">
        <f t="shared" si="1"/>
        <v>0</v>
      </c>
      <c r="J16" s="401">
        <f t="shared" si="22"/>
        <v>0</v>
      </c>
      <c r="K16" s="401">
        <f t="shared" si="2"/>
        <v>0</v>
      </c>
      <c r="L16" s="403">
        <f t="shared" si="3"/>
        <v>0</v>
      </c>
      <c r="M16" s="401">
        <f t="shared" si="4"/>
        <v>0</v>
      </c>
      <c r="N16" s="401">
        <f t="shared" si="5"/>
        <v>0</v>
      </c>
      <c r="O16" s="401">
        <f t="shared" si="23"/>
        <v>0</v>
      </c>
    </row>
    <row r="17" spans="1:18">
      <c r="A17" s="413"/>
      <c r="B17" s="407" t="s">
        <v>369</v>
      </c>
      <c r="C17" s="417">
        <v>0</v>
      </c>
      <c r="D17" s="420">
        <v>0</v>
      </c>
      <c r="E17" s="402">
        <f t="shared" si="11"/>
        <v>0</v>
      </c>
      <c r="F17" s="401">
        <f t="shared" si="0"/>
        <v>0</v>
      </c>
      <c r="G17" s="401">
        <f t="shared" si="20"/>
        <v>0</v>
      </c>
      <c r="H17" s="401">
        <f t="shared" si="21"/>
        <v>0</v>
      </c>
      <c r="I17" s="401">
        <f t="shared" si="1"/>
        <v>0</v>
      </c>
      <c r="J17" s="401">
        <f t="shared" si="22"/>
        <v>0</v>
      </c>
      <c r="K17" s="401">
        <f t="shared" si="2"/>
        <v>0</v>
      </c>
      <c r="L17" s="403">
        <f t="shared" si="3"/>
        <v>0</v>
      </c>
      <c r="M17" s="401">
        <f t="shared" si="4"/>
        <v>0</v>
      </c>
      <c r="N17" s="401">
        <f t="shared" si="5"/>
        <v>0</v>
      </c>
      <c r="O17" s="401">
        <f t="shared" si="23"/>
        <v>0</v>
      </c>
    </row>
    <row r="18" spans="1:18">
      <c r="A18" s="413"/>
      <c r="B18" s="407" t="s">
        <v>369</v>
      </c>
      <c r="C18" s="417">
        <v>0</v>
      </c>
      <c r="D18" s="420">
        <v>0</v>
      </c>
      <c r="E18" s="402">
        <f t="shared" si="11"/>
        <v>0</v>
      </c>
      <c r="F18" s="401">
        <f t="shared" ref="F18:F20" si="24">IF(B18="si",D18*$F$4,0)</f>
        <v>0</v>
      </c>
      <c r="G18" s="401">
        <f t="shared" ref="G18:G20" si="25">(D18+F18)*$G$4</f>
        <v>0</v>
      </c>
      <c r="H18" s="401">
        <f t="shared" ref="H18:H20" si="26">(D18+F18+G18)*$H$4</f>
        <v>0</v>
      </c>
      <c r="I18" s="401">
        <f t="shared" ref="I18:I20" si="27">IF(B18="si",(D18+F18+G18+H18)*$I$4,0)</f>
        <v>0</v>
      </c>
      <c r="J18" s="401">
        <f t="shared" ref="J18:J20" si="28">D18+F18+G18+H18+I18</f>
        <v>0</v>
      </c>
      <c r="K18" s="401">
        <f t="shared" ref="K18:K20" si="29">J18*$K$4</f>
        <v>0</v>
      </c>
      <c r="L18" s="403">
        <f t="shared" ref="L18:L20" si="30">(J18+K18)*C18</f>
        <v>0</v>
      </c>
      <c r="M18" s="401">
        <f t="shared" si="4"/>
        <v>0</v>
      </c>
      <c r="N18" s="401">
        <f t="shared" si="5"/>
        <v>0</v>
      </c>
      <c r="O18" s="401">
        <f t="shared" ref="O18:O19" si="31">N18*C18</f>
        <v>0</v>
      </c>
    </row>
    <row r="19" spans="1:18">
      <c r="A19" s="413"/>
      <c r="B19" s="407" t="s">
        <v>369</v>
      </c>
      <c r="C19" s="417">
        <v>0</v>
      </c>
      <c r="D19" s="420">
        <v>0</v>
      </c>
      <c r="E19" s="402">
        <f t="shared" si="11"/>
        <v>0</v>
      </c>
      <c r="F19" s="401">
        <f t="shared" si="24"/>
        <v>0</v>
      </c>
      <c r="G19" s="401">
        <f t="shared" si="25"/>
        <v>0</v>
      </c>
      <c r="H19" s="401">
        <f t="shared" si="26"/>
        <v>0</v>
      </c>
      <c r="I19" s="401">
        <f t="shared" si="27"/>
        <v>0</v>
      </c>
      <c r="J19" s="401">
        <f t="shared" si="28"/>
        <v>0</v>
      </c>
      <c r="K19" s="401">
        <f t="shared" si="29"/>
        <v>0</v>
      </c>
      <c r="L19" s="403">
        <f t="shared" si="30"/>
        <v>0</v>
      </c>
      <c r="M19" s="401">
        <f t="shared" si="4"/>
        <v>0</v>
      </c>
      <c r="N19" s="401">
        <f t="shared" si="5"/>
        <v>0</v>
      </c>
      <c r="O19" s="401">
        <f t="shared" si="31"/>
        <v>0</v>
      </c>
    </row>
    <row r="20" spans="1:18">
      <c r="A20" s="413"/>
      <c r="B20" s="407" t="s">
        <v>369</v>
      </c>
      <c r="C20" s="417">
        <v>0</v>
      </c>
      <c r="D20" s="420">
        <v>0</v>
      </c>
      <c r="E20" s="402">
        <f t="shared" si="11"/>
        <v>0</v>
      </c>
      <c r="F20" s="401">
        <f t="shared" si="24"/>
        <v>0</v>
      </c>
      <c r="G20" s="401">
        <f t="shared" si="25"/>
        <v>0</v>
      </c>
      <c r="H20" s="401">
        <f t="shared" si="26"/>
        <v>0</v>
      </c>
      <c r="I20" s="401">
        <f t="shared" si="27"/>
        <v>0</v>
      </c>
      <c r="J20" s="401">
        <f t="shared" si="28"/>
        <v>0</v>
      </c>
      <c r="K20" s="401">
        <f t="shared" si="29"/>
        <v>0</v>
      </c>
      <c r="L20" s="403">
        <f t="shared" si="30"/>
        <v>0</v>
      </c>
      <c r="M20" s="401">
        <f t="shared" si="4"/>
        <v>0</v>
      </c>
      <c r="N20" s="401">
        <f t="shared" si="5"/>
        <v>0</v>
      </c>
      <c r="O20" s="401">
        <f>N20*C20</f>
        <v>0</v>
      </c>
    </row>
    <row r="21" spans="1:18">
      <c r="A21" s="413"/>
      <c r="B21" s="407" t="s">
        <v>369</v>
      </c>
      <c r="C21" s="417">
        <v>0</v>
      </c>
      <c r="D21" s="420">
        <v>0</v>
      </c>
      <c r="E21" s="402">
        <f t="shared" si="11"/>
        <v>0</v>
      </c>
      <c r="F21" s="401">
        <f t="shared" ref="F21" si="32">IF(B21="si",D21*$F$4,0)</f>
        <v>0</v>
      </c>
      <c r="G21" s="401">
        <f t="shared" ref="G21" si="33">(D21+F21)*$G$4</f>
        <v>0</v>
      </c>
      <c r="H21" s="401">
        <f t="shared" ref="H21" si="34">(D21+F21+G21)*$H$4</f>
        <v>0</v>
      </c>
      <c r="I21" s="401">
        <f t="shared" ref="I21" si="35">IF(B21="si",(D21+F21+G21+H21)*$I$4,0)</f>
        <v>0</v>
      </c>
      <c r="J21" s="401">
        <f t="shared" ref="J21" si="36">D21+F21+G21+H21+I21</f>
        <v>0</v>
      </c>
      <c r="K21" s="401">
        <f t="shared" ref="K21" si="37">J21*$K$4</f>
        <v>0</v>
      </c>
      <c r="L21" s="403">
        <f t="shared" ref="L21" si="38">(J21+K21)*C21</f>
        <v>0</v>
      </c>
      <c r="M21" s="401">
        <f t="shared" si="4"/>
        <v>0</v>
      </c>
      <c r="N21" s="401">
        <f t="shared" si="5"/>
        <v>0</v>
      </c>
      <c r="O21" s="401">
        <f t="shared" ref="O21" si="39">N21*C21</f>
        <v>0</v>
      </c>
    </row>
    <row r="22" spans="1:18" ht="13">
      <c r="A22" s="77" t="s">
        <v>370</v>
      </c>
      <c r="B22" s="72"/>
      <c r="C22" s="72"/>
      <c r="D22" s="72"/>
      <c r="E22" s="72"/>
      <c r="F22" s="132"/>
      <c r="G22" s="132"/>
      <c r="H22" s="76"/>
      <c r="I22" s="76"/>
      <c r="J22" s="75"/>
      <c r="K22" s="75"/>
      <c r="L22" s="75"/>
      <c r="M22" s="75"/>
      <c r="N22" s="75"/>
      <c r="O22" s="75"/>
    </row>
    <row r="23" spans="1:18">
      <c r="A23" s="404"/>
      <c r="B23" s="407" t="s">
        <v>369</v>
      </c>
      <c r="C23" s="417">
        <v>0</v>
      </c>
      <c r="D23" s="401">
        <v>0</v>
      </c>
      <c r="E23" s="402">
        <f>+C23*D23</f>
        <v>0</v>
      </c>
      <c r="F23" s="401">
        <f t="shared" si="0"/>
        <v>0</v>
      </c>
      <c r="G23" s="401">
        <f t="shared" ref="G23" si="40">(D23+F23)*$G$4</f>
        <v>0</v>
      </c>
      <c r="H23" s="401">
        <f t="shared" ref="H23" si="41">(D23+F23+G23)*$H$4</f>
        <v>0</v>
      </c>
      <c r="I23" s="401">
        <f t="shared" si="1"/>
        <v>0</v>
      </c>
      <c r="J23" s="401">
        <f t="shared" ref="J23" si="42">D23+F23+G23+H23+I23</f>
        <v>0</v>
      </c>
      <c r="K23" s="401">
        <f t="shared" si="2"/>
        <v>0</v>
      </c>
      <c r="L23" s="403">
        <f t="shared" si="3"/>
        <v>0</v>
      </c>
      <c r="M23" s="401">
        <f t="shared" si="4"/>
        <v>0</v>
      </c>
      <c r="N23" s="401">
        <f t="shared" si="5"/>
        <v>0</v>
      </c>
      <c r="O23" s="401">
        <f t="shared" ref="O23" si="43">N23*C23</f>
        <v>0</v>
      </c>
    </row>
    <row r="24" spans="1:18">
      <c r="A24" s="131"/>
      <c r="B24" s="131"/>
      <c r="C24" s="11"/>
      <c r="D24" s="130"/>
      <c r="E24" s="18"/>
      <c r="F24" s="9"/>
      <c r="G24" s="9"/>
      <c r="H24" s="9"/>
      <c r="I24" s="9"/>
      <c r="J24" s="9"/>
      <c r="K24" s="9"/>
      <c r="L24" s="149"/>
      <c r="M24" s="9"/>
      <c r="N24" s="9"/>
      <c r="O24" s="9"/>
      <c r="Q24" s="4"/>
    </row>
    <row r="25" spans="1:18" ht="13">
      <c r="A25" s="12"/>
      <c r="B25" s="12"/>
      <c r="C25" s="13"/>
      <c r="D25" s="14" t="s">
        <v>371</v>
      </c>
      <c r="E25" s="14">
        <f>SUM(E6:E23)</f>
        <v>0</v>
      </c>
      <c r="F25" s="15"/>
      <c r="G25" s="15"/>
      <c r="H25" s="15"/>
      <c r="I25" s="15"/>
      <c r="J25" s="16" t="s">
        <v>372</v>
      </c>
      <c r="K25" s="16"/>
      <c r="L25" s="14">
        <f>SUM(L6:L23)</f>
        <v>0</v>
      </c>
      <c r="M25" s="15"/>
      <c r="N25" s="16" t="s">
        <v>373</v>
      </c>
      <c r="O25" s="14">
        <f>SUM(O6:O23)</f>
        <v>0</v>
      </c>
      <c r="Q25" s="4"/>
      <c r="R25" s="3"/>
    </row>
    <row r="26" spans="1:18" ht="13">
      <c r="A26" s="34"/>
      <c r="B26" s="34"/>
      <c r="C26" s="194"/>
      <c r="D26" s="15"/>
      <c r="E26" s="18"/>
      <c r="F26" s="15"/>
      <c r="G26" s="15"/>
      <c r="H26" s="15"/>
      <c r="I26" s="15"/>
      <c r="J26" s="15"/>
      <c r="K26" s="15"/>
      <c r="L26" s="15"/>
      <c r="M26" s="15"/>
      <c r="N26" s="19" t="s">
        <v>374</v>
      </c>
      <c r="O26" s="20">
        <f>O25-L25</f>
        <v>0</v>
      </c>
      <c r="Q26" s="4"/>
      <c r="R26" s="3"/>
    </row>
    <row r="27" spans="1:18">
      <c r="Q27" s="4"/>
      <c r="R27" s="3"/>
    </row>
    <row r="28" spans="1:18">
      <c r="A28" s="179" t="s">
        <v>363</v>
      </c>
      <c r="E28" s="3"/>
      <c r="Q28" s="4"/>
      <c r="R28" s="3"/>
    </row>
    <row r="29" spans="1:18">
      <c r="A29" s="107" t="s">
        <v>375</v>
      </c>
      <c r="B29" s="8"/>
      <c r="E29" s="3"/>
      <c r="Q29" s="4"/>
    </row>
    <row r="30" spans="1:18">
      <c r="A30" s="107" t="s">
        <v>369</v>
      </c>
      <c r="B30" s="39"/>
      <c r="C30" s="15"/>
      <c r="D30" s="15"/>
      <c r="O30" s="3"/>
    </row>
    <row r="31" spans="1:18">
      <c r="A31" s="39"/>
      <c r="B31" s="39"/>
      <c r="C31" s="15"/>
      <c r="D31" s="15"/>
      <c r="P31" s="3"/>
    </row>
  </sheetData>
  <mergeCells count="2">
    <mergeCell ref="A1:D1"/>
    <mergeCell ref="A3:E3"/>
  </mergeCells>
  <dataValidations count="1">
    <dataValidation type="list" allowBlank="1" showErrorMessage="1" errorTitle="Opción no válida" sqref="B23 B6:B11 B13:B21" xr:uid="{7ABEC504-B2B2-4397-B785-A46AD11F19D5}">
      <formula1>$A$29:$A$30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A435-2985-4964-A450-99DE283AAE7C}">
  <sheetPr>
    <tabColor theme="3" tint="-0.249977111117893"/>
  </sheetPr>
  <dimension ref="A1:R52"/>
  <sheetViews>
    <sheetView showGridLines="0" zoomScaleNormal="100" workbookViewId="0">
      <selection activeCell="A20" sqref="A20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306"/>
    </row>
    <row r="2" spans="1:16">
      <c r="A2" s="1"/>
      <c r="B2" s="1"/>
      <c r="C2" s="1"/>
      <c r="D2" s="1"/>
      <c r="E2" s="2"/>
    </row>
    <row r="3" spans="1:16" ht="13">
      <c r="A3" s="560" t="s">
        <v>113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  <c r="P3" s="440" t="s">
        <v>531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0.1</v>
      </c>
      <c r="G4" s="7">
        <v>0</v>
      </c>
      <c r="H4" s="6">
        <v>0.13</v>
      </c>
      <c r="I4" s="203">
        <v>0.14000000000000001</v>
      </c>
      <c r="J4" s="23" t="s">
        <v>366</v>
      </c>
      <c r="K4" s="209">
        <v>0.03</v>
      </c>
      <c r="L4" s="25" t="s">
        <v>377</v>
      </c>
      <c r="M4" s="26">
        <v>0.3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 t="s">
        <v>385</v>
      </c>
      <c r="B6" s="407" t="s">
        <v>375</v>
      </c>
      <c r="C6" s="421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(J6+K6)*C6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 t="s">
        <v>386</v>
      </c>
      <c r="B7" s="407" t="s">
        <v>375</v>
      </c>
      <c r="C7" s="421">
        <v>0</v>
      </c>
      <c r="D7" s="406">
        <v>0</v>
      </c>
      <c r="E7" s="409">
        <f>+D7*C7</f>
        <v>0</v>
      </c>
      <c r="F7" s="401">
        <f t="shared" ref="F7:F44" si="0">IF(B7="si",D7*$F$4,0)</f>
        <v>0</v>
      </c>
      <c r="G7" s="411">
        <f>(D7+F7)*$G$4</f>
        <v>0</v>
      </c>
      <c r="H7" s="401">
        <f t="shared" ref="H7:H44" si="1">(D7+F7+G7)*$H$4</f>
        <v>0</v>
      </c>
      <c r="I7" s="401">
        <f t="shared" ref="I7:I44" si="2">IF(B7="si",(D7+F7+G7+H7)*$I$4,0)</f>
        <v>0</v>
      </c>
      <c r="J7" s="411">
        <f>D7+F7+G7+H7+I7</f>
        <v>0</v>
      </c>
      <c r="K7" s="401">
        <f t="shared" ref="K7:K8" si="3">J7*$K$4</f>
        <v>0</v>
      </c>
      <c r="L7" s="403">
        <f t="shared" ref="L7:L8" si="4">(J7+K7)*C7</f>
        <v>0</v>
      </c>
      <c r="M7" s="401">
        <f t="shared" ref="M7:M8" si="5">(J7+K7)*$M$4/(1-$M$4)</f>
        <v>0</v>
      </c>
      <c r="N7" s="401">
        <f t="shared" ref="N7:N44" si="6">M7+J7+K7</f>
        <v>0</v>
      </c>
      <c r="O7" s="411">
        <f>N7*C7</f>
        <v>0</v>
      </c>
    </row>
    <row r="8" spans="1:16">
      <c r="A8" s="410" t="s">
        <v>387</v>
      </c>
      <c r="B8" s="407" t="s">
        <v>375</v>
      </c>
      <c r="C8" s="421">
        <v>0</v>
      </c>
      <c r="D8" s="406">
        <v>0</v>
      </c>
      <c r="E8" s="409">
        <f t="shared" ref="E8:E13" si="7">+D8*C8</f>
        <v>0</v>
      </c>
      <c r="F8" s="401">
        <f t="shared" si="0"/>
        <v>0</v>
      </c>
      <c r="G8" s="411">
        <f t="shared" ref="G8:G13" si="8">(D8+F8)*$G$4</f>
        <v>0</v>
      </c>
      <c r="H8" s="401">
        <f t="shared" si="1"/>
        <v>0</v>
      </c>
      <c r="I8" s="401">
        <f t="shared" si="2"/>
        <v>0</v>
      </c>
      <c r="J8" s="411">
        <f t="shared" ref="J8" si="9">D8+F8+G8+H8+I8</f>
        <v>0</v>
      </c>
      <c r="K8" s="401">
        <f t="shared" si="3"/>
        <v>0</v>
      </c>
      <c r="L8" s="403">
        <f t="shared" si="4"/>
        <v>0</v>
      </c>
      <c r="M8" s="401">
        <f t="shared" si="5"/>
        <v>0</v>
      </c>
      <c r="N8" s="401">
        <f t="shared" si="6"/>
        <v>0</v>
      </c>
      <c r="O8" s="411">
        <f t="shared" ref="O8" si="10">N8*C8</f>
        <v>0</v>
      </c>
    </row>
    <row r="9" spans="1:16">
      <c r="A9" s="410" t="s">
        <v>388</v>
      </c>
      <c r="B9" s="407" t="s">
        <v>375</v>
      </c>
      <c r="C9" s="421">
        <v>0</v>
      </c>
      <c r="D9" s="406">
        <v>0</v>
      </c>
      <c r="E9" s="409">
        <f t="shared" si="7"/>
        <v>0</v>
      </c>
      <c r="F9" s="401">
        <f t="shared" si="0"/>
        <v>0</v>
      </c>
      <c r="G9" s="411"/>
      <c r="H9" s="401">
        <f t="shared" si="1"/>
        <v>0</v>
      </c>
      <c r="I9" s="401">
        <f t="shared" si="2"/>
        <v>0</v>
      </c>
      <c r="J9" s="411">
        <f t="shared" ref="J9:J44" si="11">D9+F9+G9+H9+I9</f>
        <v>0</v>
      </c>
      <c r="K9" s="401">
        <f t="shared" ref="K9:K44" si="12">J9*$K$4</f>
        <v>0</v>
      </c>
      <c r="L9" s="403">
        <f t="shared" ref="L9:L44" si="13">(J9+K9)*C9</f>
        <v>0</v>
      </c>
      <c r="M9" s="401">
        <f t="shared" ref="M9:M44" si="14">(J9+K9)*$M$4/(1-$M$4)</f>
        <v>0</v>
      </c>
      <c r="N9" s="401">
        <f t="shared" si="6"/>
        <v>0</v>
      </c>
      <c r="O9" s="411">
        <f t="shared" ref="O9:O44" si="15">N9*C9</f>
        <v>0</v>
      </c>
    </row>
    <row r="10" spans="1:16">
      <c r="A10" s="410" t="s">
        <v>389</v>
      </c>
      <c r="B10" s="407" t="s">
        <v>375</v>
      </c>
      <c r="C10" s="421">
        <v>0</v>
      </c>
      <c r="D10" s="406">
        <v>0</v>
      </c>
      <c r="E10" s="409">
        <f t="shared" si="7"/>
        <v>0</v>
      </c>
      <c r="F10" s="401">
        <f t="shared" si="0"/>
        <v>0</v>
      </c>
      <c r="G10" s="411">
        <f t="shared" si="8"/>
        <v>0</v>
      </c>
      <c r="H10" s="401">
        <f t="shared" si="1"/>
        <v>0</v>
      </c>
      <c r="I10" s="401">
        <f t="shared" si="2"/>
        <v>0</v>
      </c>
      <c r="J10" s="411">
        <f t="shared" si="11"/>
        <v>0</v>
      </c>
      <c r="K10" s="401">
        <f t="shared" si="12"/>
        <v>0</v>
      </c>
      <c r="L10" s="403">
        <f t="shared" si="13"/>
        <v>0</v>
      </c>
      <c r="M10" s="401">
        <f t="shared" si="14"/>
        <v>0</v>
      </c>
      <c r="N10" s="401">
        <f t="shared" si="6"/>
        <v>0</v>
      </c>
      <c r="O10" s="411">
        <f t="shared" si="15"/>
        <v>0</v>
      </c>
    </row>
    <row r="11" spans="1:16">
      <c r="A11" s="410" t="s">
        <v>390</v>
      </c>
      <c r="B11" s="407" t="s">
        <v>375</v>
      </c>
      <c r="C11" s="421">
        <v>0</v>
      </c>
      <c r="D11" s="406">
        <v>0</v>
      </c>
      <c r="E11" s="409">
        <f t="shared" si="7"/>
        <v>0</v>
      </c>
      <c r="F11" s="401">
        <f t="shared" si="0"/>
        <v>0</v>
      </c>
      <c r="G11" s="411">
        <f t="shared" si="8"/>
        <v>0</v>
      </c>
      <c r="H11" s="401">
        <f t="shared" si="1"/>
        <v>0</v>
      </c>
      <c r="I11" s="401">
        <f t="shared" si="2"/>
        <v>0</v>
      </c>
      <c r="J11" s="411">
        <f t="shared" si="11"/>
        <v>0</v>
      </c>
      <c r="K11" s="401">
        <f t="shared" si="12"/>
        <v>0</v>
      </c>
      <c r="L11" s="403">
        <f t="shared" si="13"/>
        <v>0</v>
      </c>
      <c r="M11" s="401">
        <f t="shared" si="14"/>
        <v>0</v>
      </c>
      <c r="N11" s="401">
        <f t="shared" si="6"/>
        <v>0</v>
      </c>
      <c r="O11" s="411">
        <f t="shared" si="15"/>
        <v>0</v>
      </c>
    </row>
    <row r="12" spans="1:16">
      <c r="A12" s="412" t="s">
        <v>391</v>
      </c>
      <c r="B12" s="407" t="s">
        <v>375</v>
      </c>
      <c r="C12" s="421">
        <v>0</v>
      </c>
      <c r="D12" s="406">
        <v>0</v>
      </c>
      <c r="E12" s="409">
        <f t="shared" si="7"/>
        <v>0</v>
      </c>
      <c r="F12" s="401">
        <f t="shared" si="0"/>
        <v>0</v>
      </c>
      <c r="G12" s="411">
        <f t="shared" si="8"/>
        <v>0</v>
      </c>
      <c r="H12" s="401">
        <f t="shared" si="1"/>
        <v>0</v>
      </c>
      <c r="I12" s="401">
        <f t="shared" si="2"/>
        <v>0</v>
      </c>
      <c r="J12" s="411">
        <f t="shared" si="11"/>
        <v>0</v>
      </c>
      <c r="K12" s="401">
        <f t="shared" si="12"/>
        <v>0</v>
      </c>
      <c r="L12" s="403">
        <f t="shared" si="13"/>
        <v>0</v>
      </c>
      <c r="M12" s="401">
        <f t="shared" si="14"/>
        <v>0</v>
      </c>
      <c r="N12" s="401">
        <f t="shared" si="6"/>
        <v>0</v>
      </c>
      <c r="O12" s="411">
        <f t="shared" si="15"/>
        <v>0</v>
      </c>
    </row>
    <row r="13" spans="1:16">
      <c r="A13" s="412" t="s">
        <v>392</v>
      </c>
      <c r="B13" s="407" t="s">
        <v>375</v>
      </c>
      <c r="C13" s="421">
        <v>0</v>
      </c>
      <c r="D13" s="406">
        <v>0</v>
      </c>
      <c r="E13" s="409">
        <f t="shared" si="7"/>
        <v>0</v>
      </c>
      <c r="F13" s="401">
        <f t="shared" si="0"/>
        <v>0</v>
      </c>
      <c r="G13" s="411">
        <f t="shared" si="8"/>
        <v>0</v>
      </c>
      <c r="H13" s="401">
        <f t="shared" si="1"/>
        <v>0</v>
      </c>
      <c r="I13" s="401">
        <f t="shared" si="2"/>
        <v>0</v>
      </c>
      <c r="J13" s="411">
        <f t="shared" si="11"/>
        <v>0</v>
      </c>
      <c r="K13" s="401">
        <f t="shared" si="12"/>
        <v>0</v>
      </c>
      <c r="L13" s="403">
        <f t="shared" si="13"/>
        <v>0</v>
      </c>
      <c r="M13" s="401">
        <f t="shared" si="14"/>
        <v>0</v>
      </c>
      <c r="N13" s="401">
        <f t="shared" si="6"/>
        <v>0</v>
      </c>
      <c r="O13" s="411">
        <f t="shared" si="15"/>
        <v>0</v>
      </c>
    </row>
    <row r="14" spans="1:16">
      <c r="A14" s="407" t="s">
        <v>393</v>
      </c>
      <c r="B14" s="407" t="s">
        <v>375</v>
      </c>
      <c r="C14" s="421">
        <v>0</v>
      </c>
      <c r="D14" s="406">
        <v>0</v>
      </c>
      <c r="E14" s="409">
        <f>+D14*C14</f>
        <v>0</v>
      </c>
      <c r="F14" s="401">
        <f t="shared" si="0"/>
        <v>0</v>
      </c>
      <c r="G14" s="411">
        <f>(D14+F14)*$G$4</f>
        <v>0</v>
      </c>
      <c r="H14" s="401">
        <f t="shared" si="1"/>
        <v>0</v>
      </c>
      <c r="I14" s="401">
        <f t="shared" si="2"/>
        <v>0</v>
      </c>
      <c r="J14" s="411">
        <f t="shared" si="11"/>
        <v>0</v>
      </c>
      <c r="K14" s="401">
        <f t="shared" si="12"/>
        <v>0</v>
      </c>
      <c r="L14" s="403">
        <f t="shared" si="13"/>
        <v>0</v>
      </c>
      <c r="M14" s="401">
        <f t="shared" si="14"/>
        <v>0</v>
      </c>
      <c r="N14" s="401">
        <f t="shared" si="6"/>
        <v>0</v>
      </c>
      <c r="O14" s="411">
        <f t="shared" si="15"/>
        <v>0</v>
      </c>
    </row>
    <row r="15" spans="1:16">
      <c r="A15" s="410" t="s">
        <v>394</v>
      </c>
      <c r="B15" s="407" t="s">
        <v>375</v>
      </c>
      <c r="C15" s="421">
        <v>0</v>
      </c>
      <c r="D15" s="406">
        <v>0</v>
      </c>
      <c r="E15" s="409">
        <f t="shared" ref="E15:E22" si="16">+D15*C15</f>
        <v>0</v>
      </c>
      <c r="F15" s="401">
        <f t="shared" si="0"/>
        <v>0</v>
      </c>
      <c r="G15" s="411">
        <f t="shared" ref="G15:G22" si="17">(D15+F15)*$G$4</f>
        <v>0</v>
      </c>
      <c r="H15" s="401">
        <f t="shared" si="1"/>
        <v>0</v>
      </c>
      <c r="I15" s="401">
        <f t="shared" si="2"/>
        <v>0</v>
      </c>
      <c r="J15" s="411">
        <f t="shared" si="11"/>
        <v>0</v>
      </c>
      <c r="K15" s="401">
        <f t="shared" si="12"/>
        <v>0</v>
      </c>
      <c r="L15" s="403">
        <f t="shared" si="13"/>
        <v>0</v>
      </c>
      <c r="M15" s="401">
        <f t="shared" si="14"/>
        <v>0</v>
      </c>
      <c r="N15" s="401">
        <f t="shared" si="6"/>
        <v>0</v>
      </c>
      <c r="O15" s="411">
        <f t="shared" si="15"/>
        <v>0</v>
      </c>
    </row>
    <row r="16" spans="1:16">
      <c r="A16" s="410" t="s">
        <v>395</v>
      </c>
      <c r="B16" s="407" t="s">
        <v>375</v>
      </c>
      <c r="C16" s="421">
        <v>0</v>
      </c>
      <c r="D16" s="406">
        <v>0</v>
      </c>
      <c r="E16" s="409">
        <f t="shared" si="16"/>
        <v>0</v>
      </c>
      <c r="F16" s="401">
        <f t="shared" si="0"/>
        <v>0</v>
      </c>
      <c r="G16" s="411">
        <f t="shared" si="17"/>
        <v>0</v>
      </c>
      <c r="H16" s="401">
        <f t="shared" si="1"/>
        <v>0</v>
      </c>
      <c r="I16" s="401">
        <f t="shared" si="2"/>
        <v>0</v>
      </c>
      <c r="J16" s="411">
        <f t="shared" si="11"/>
        <v>0</v>
      </c>
      <c r="K16" s="401">
        <f t="shared" si="12"/>
        <v>0</v>
      </c>
      <c r="L16" s="403">
        <f t="shared" si="13"/>
        <v>0</v>
      </c>
      <c r="M16" s="401">
        <f t="shared" si="14"/>
        <v>0</v>
      </c>
      <c r="N16" s="401">
        <f t="shared" si="6"/>
        <v>0</v>
      </c>
      <c r="O16" s="411">
        <f t="shared" si="15"/>
        <v>0</v>
      </c>
    </row>
    <row r="17" spans="1:16">
      <c r="A17" s="410" t="s">
        <v>396</v>
      </c>
      <c r="B17" s="407" t="s">
        <v>375</v>
      </c>
      <c r="C17" s="421">
        <v>0</v>
      </c>
      <c r="D17" s="406">
        <v>0</v>
      </c>
      <c r="E17" s="409">
        <f t="shared" si="16"/>
        <v>0</v>
      </c>
      <c r="F17" s="401">
        <f t="shared" si="0"/>
        <v>0</v>
      </c>
      <c r="G17" s="411">
        <f t="shared" si="17"/>
        <v>0</v>
      </c>
      <c r="H17" s="401">
        <f t="shared" si="1"/>
        <v>0</v>
      </c>
      <c r="I17" s="401">
        <f t="shared" si="2"/>
        <v>0</v>
      </c>
      <c r="J17" s="411">
        <f t="shared" si="11"/>
        <v>0</v>
      </c>
      <c r="K17" s="401">
        <f t="shared" si="12"/>
        <v>0</v>
      </c>
      <c r="L17" s="403">
        <f t="shared" si="13"/>
        <v>0</v>
      </c>
      <c r="M17" s="401">
        <f t="shared" si="14"/>
        <v>0</v>
      </c>
      <c r="N17" s="401">
        <f t="shared" si="6"/>
        <v>0</v>
      </c>
      <c r="O17" s="411">
        <f t="shared" si="15"/>
        <v>0</v>
      </c>
    </row>
    <row r="18" spans="1:16">
      <c r="A18" s="412" t="s">
        <v>397</v>
      </c>
      <c r="B18" s="407" t="s">
        <v>375</v>
      </c>
      <c r="C18" s="421">
        <v>0</v>
      </c>
      <c r="D18" s="406">
        <v>0</v>
      </c>
      <c r="E18" s="409">
        <f t="shared" si="16"/>
        <v>0</v>
      </c>
      <c r="F18" s="401">
        <f t="shared" si="0"/>
        <v>0</v>
      </c>
      <c r="G18" s="411">
        <f t="shared" si="17"/>
        <v>0</v>
      </c>
      <c r="H18" s="401">
        <f t="shared" si="1"/>
        <v>0</v>
      </c>
      <c r="I18" s="401">
        <f t="shared" si="2"/>
        <v>0</v>
      </c>
      <c r="J18" s="411">
        <f t="shared" si="11"/>
        <v>0</v>
      </c>
      <c r="K18" s="401">
        <f t="shared" si="12"/>
        <v>0</v>
      </c>
      <c r="L18" s="403">
        <f t="shared" si="13"/>
        <v>0</v>
      </c>
      <c r="M18" s="401">
        <f t="shared" si="14"/>
        <v>0</v>
      </c>
      <c r="N18" s="401">
        <f t="shared" si="6"/>
        <v>0</v>
      </c>
      <c r="O18" s="411">
        <f t="shared" si="15"/>
        <v>0</v>
      </c>
    </row>
    <row r="19" spans="1:16">
      <c r="A19" s="412" t="s">
        <v>398</v>
      </c>
      <c r="B19" s="407" t="s">
        <v>375</v>
      </c>
      <c r="C19" s="421">
        <v>0</v>
      </c>
      <c r="D19" s="406">
        <v>0</v>
      </c>
      <c r="E19" s="409">
        <f t="shared" si="16"/>
        <v>0</v>
      </c>
      <c r="F19" s="401">
        <f t="shared" si="0"/>
        <v>0</v>
      </c>
      <c r="G19" s="411">
        <f t="shared" si="17"/>
        <v>0</v>
      </c>
      <c r="H19" s="401">
        <f t="shared" si="1"/>
        <v>0</v>
      </c>
      <c r="I19" s="401">
        <f t="shared" si="2"/>
        <v>0</v>
      </c>
      <c r="J19" s="411">
        <f t="shared" si="11"/>
        <v>0</v>
      </c>
      <c r="K19" s="401">
        <f t="shared" si="12"/>
        <v>0</v>
      </c>
      <c r="L19" s="403">
        <f t="shared" si="13"/>
        <v>0</v>
      </c>
      <c r="M19" s="401">
        <f t="shared" si="14"/>
        <v>0</v>
      </c>
      <c r="N19" s="401">
        <f t="shared" si="6"/>
        <v>0</v>
      </c>
      <c r="O19" s="411">
        <f t="shared" si="15"/>
        <v>0</v>
      </c>
    </row>
    <row r="20" spans="1:16">
      <c r="A20" s="410" t="s">
        <v>399</v>
      </c>
      <c r="B20" s="407" t="s">
        <v>375</v>
      </c>
      <c r="C20" s="421">
        <v>0</v>
      </c>
      <c r="D20" s="406">
        <v>0</v>
      </c>
      <c r="E20" s="409">
        <f t="shared" si="16"/>
        <v>0</v>
      </c>
      <c r="F20" s="401">
        <f t="shared" si="0"/>
        <v>0</v>
      </c>
      <c r="G20" s="411">
        <f t="shared" si="17"/>
        <v>0</v>
      </c>
      <c r="H20" s="401">
        <f t="shared" si="1"/>
        <v>0</v>
      </c>
      <c r="I20" s="401">
        <f t="shared" si="2"/>
        <v>0</v>
      </c>
      <c r="J20" s="411">
        <f t="shared" si="11"/>
        <v>0</v>
      </c>
      <c r="K20" s="401">
        <f t="shared" si="12"/>
        <v>0</v>
      </c>
      <c r="L20" s="403">
        <f t="shared" si="13"/>
        <v>0</v>
      </c>
      <c r="M20" s="401">
        <f t="shared" si="14"/>
        <v>0</v>
      </c>
      <c r="N20" s="401">
        <f t="shared" si="6"/>
        <v>0</v>
      </c>
      <c r="O20" s="411">
        <f t="shared" si="15"/>
        <v>0</v>
      </c>
    </row>
    <row r="21" spans="1:16">
      <c r="A21" s="412" t="s">
        <v>400</v>
      </c>
      <c r="B21" s="407" t="s">
        <v>375</v>
      </c>
      <c r="C21" s="421">
        <v>0</v>
      </c>
      <c r="D21" s="406">
        <v>0</v>
      </c>
      <c r="E21" s="409">
        <f t="shared" si="16"/>
        <v>0</v>
      </c>
      <c r="F21" s="401">
        <f t="shared" si="0"/>
        <v>0</v>
      </c>
      <c r="G21" s="411">
        <f t="shared" si="17"/>
        <v>0</v>
      </c>
      <c r="H21" s="401">
        <f t="shared" si="1"/>
        <v>0</v>
      </c>
      <c r="I21" s="401">
        <f t="shared" si="2"/>
        <v>0</v>
      </c>
      <c r="J21" s="411">
        <f t="shared" si="11"/>
        <v>0</v>
      </c>
      <c r="K21" s="401">
        <f t="shared" si="12"/>
        <v>0</v>
      </c>
      <c r="L21" s="403">
        <f t="shared" si="13"/>
        <v>0</v>
      </c>
      <c r="M21" s="401">
        <f t="shared" si="14"/>
        <v>0</v>
      </c>
      <c r="N21" s="401">
        <f t="shared" si="6"/>
        <v>0</v>
      </c>
      <c r="O21" s="411">
        <f t="shared" si="15"/>
        <v>0</v>
      </c>
    </row>
    <row r="22" spans="1:16">
      <c r="A22" s="412" t="s">
        <v>401</v>
      </c>
      <c r="B22" s="407" t="s">
        <v>375</v>
      </c>
      <c r="C22" s="421">
        <v>0</v>
      </c>
      <c r="D22" s="406">
        <v>0</v>
      </c>
      <c r="E22" s="409">
        <f t="shared" si="16"/>
        <v>0</v>
      </c>
      <c r="F22" s="401">
        <f t="shared" si="0"/>
        <v>0</v>
      </c>
      <c r="G22" s="411">
        <f t="shared" si="17"/>
        <v>0</v>
      </c>
      <c r="H22" s="401">
        <f t="shared" si="1"/>
        <v>0</v>
      </c>
      <c r="I22" s="401">
        <f t="shared" si="2"/>
        <v>0</v>
      </c>
      <c r="J22" s="411">
        <f t="shared" si="11"/>
        <v>0</v>
      </c>
      <c r="K22" s="401">
        <f t="shared" si="12"/>
        <v>0</v>
      </c>
      <c r="L22" s="403">
        <f t="shared" si="13"/>
        <v>0</v>
      </c>
      <c r="M22" s="401">
        <f t="shared" si="14"/>
        <v>0</v>
      </c>
      <c r="N22" s="401">
        <f t="shared" si="6"/>
        <v>0</v>
      </c>
      <c r="O22" s="411">
        <f t="shared" si="15"/>
        <v>0</v>
      </c>
    </row>
    <row r="23" spans="1:16">
      <c r="A23" s="407" t="s">
        <v>402</v>
      </c>
      <c r="B23" s="407" t="s">
        <v>375</v>
      </c>
      <c r="C23" s="421">
        <v>0</v>
      </c>
      <c r="D23" s="406">
        <v>0</v>
      </c>
      <c r="E23" s="409">
        <f>+D23*C23</f>
        <v>0</v>
      </c>
      <c r="F23" s="401">
        <f t="shared" si="0"/>
        <v>0</v>
      </c>
      <c r="G23" s="411">
        <f>(D23+F23)*$G$4</f>
        <v>0</v>
      </c>
      <c r="H23" s="401">
        <f t="shared" si="1"/>
        <v>0</v>
      </c>
      <c r="I23" s="401">
        <f t="shared" si="2"/>
        <v>0</v>
      </c>
      <c r="J23" s="411">
        <f t="shared" si="11"/>
        <v>0</v>
      </c>
      <c r="K23" s="401">
        <f t="shared" si="12"/>
        <v>0</v>
      </c>
      <c r="L23" s="403">
        <f t="shared" si="13"/>
        <v>0</v>
      </c>
      <c r="M23" s="401">
        <f t="shared" si="14"/>
        <v>0</v>
      </c>
      <c r="N23" s="401">
        <f t="shared" si="6"/>
        <v>0</v>
      </c>
      <c r="O23" s="411">
        <f t="shared" si="15"/>
        <v>0</v>
      </c>
    </row>
    <row r="24" spans="1:16">
      <c r="A24" s="412" t="s">
        <v>403</v>
      </c>
      <c r="B24" s="407" t="s">
        <v>375</v>
      </c>
      <c r="C24" s="421">
        <v>0</v>
      </c>
      <c r="D24" s="406">
        <v>0</v>
      </c>
      <c r="E24" s="409">
        <f t="shared" ref="E24:E28" si="18">+D24*C24</f>
        <v>0</v>
      </c>
      <c r="F24" s="401">
        <f t="shared" si="0"/>
        <v>0</v>
      </c>
      <c r="G24" s="411">
        <f t="shared" ref="G24:G28" si="19">(D24+F24)*$G$4</f>
        <v>0</v>
      </c>
      <c r="H24" s="401">
        <f t="shared" si="1"/>
        <v>0</v>
      </c>
      <c r="I24" s="401">
        <f t="shared" si="2"/>
        <v>0</v>
      </c>
      <c r="J24" s="411">
        <f t="shared" si="11"/>
        <v>0</v>
      </c>
      <c r="K24" s="401">
        <f t="shared" si="12"/>
        <v>0</v>
      </c>
      <c r="L24" s="403">
        <f t="shared" si="13"/>
        <v>0</v>
      </c>
      <c r="M24" s="401">
        <f t="shared" si="14"/>
        <v>0</v>
      </c>
      <c r="N24" s="401">
        <f t="shared" si="6"/>
        <v>0</v>
      </c>
      <c r="O24" s="411">
        <f t="shared" si="15"/>
        <v>0</v>
      </c>
    </row>
    <row r="25" spans="1:16">
      <c r="A25" s="412" t="s">
        <v>404</v>
      </c>
      <c r="B25" s="407" t="s">
        <v>375</v>
      </c>
      <c r="C25" s="421">
        <v>0</v>
      </c>
      <c r="D25" s="406">
        <v>0</v>
      </c>
      <c r="E25" s="409">
        <f t="shared" si="18"/>
        <v>0</v>
      </c>
      <c r="F25" s="401">
        <f t="shared" si="0"/>
        <v>0</v>
      </c>
      <c r="G25" s="411">
        <f t="shared" si="19"/>
        <v>0</v>
      </c>
      <c r="H25" s="401">
        <f t="shared" si="1"/>
        <v>0</v>
      </c>
      <c r="I25" s="401">
        <f t="shared" si="2"/>
        <v>0</v>
      </c>
      <c r="J25" s="411">
        <f t="shared" si="11"/>
        <v>0</v>
      </c>
      <c r="K25" s="401">
        <f t="shared" si="12"/>
        <v>0</v>
      </c>
      <c r="L25" s="403">
        <f t="shared" si="13"/>
        <v>0</v>
      </c>
      <c r="M25" s="401">
        <f t="shared" si="14"/>
        <v>0</v>
      </c>
      <c r="N25" s="401">
        <f t="shared" si="6"/>
        <v>0</v>
      </c>
      <c r="O25" s="411">
        <f t="shared" si="15"/>
        <v>0</v>
      </c>
    </row>
    <row r="26" spans="1:16">
      <c r="A26" s="412" t="s">
        <v>405</v>
      </c>
      <c r="B26" s="407" t="s">
        <v>375</v>
      </c>
      <c r="C26" s="421">
        <v>0</v>
      </c>
      <c r="D26" s="406">
        <v>0</v>
      </c>
      <c r="E26" s="409">
        <f t="shared" si="18"/>
        <v>0</v>
      </c>
      <c r="F26" s="401">
        <f t="shared" si="0"/>
        <v>0</v>
      </c>
      <c r="G26" s="411">
        <f t="shared" si="19"/>
        <v>0</v>
      </c>
      <c r="H26" s="401">
        <f t="shared" si="1"/>
        <v>0</v>
      </c>
      <c r="I26" s="401">
        <f t="shared" si="2"/>
        <v>0</v>
      </c>
      <c r="J26" s="411">
        <f t="shared" si="11"/>
        <v>0</v>
      </c>
      <c r="K26" s="401">
        <f t="shared" si="12"/>
        <v>0</v>
      </c>
      <c r="L26" s="403">
        <f t="shared" si="13"/>
        <v>0</v>
      </c>
      <c r="M26" s="401">
        <f t="shared" si="14"/>
        <v>0</v>
      </c>
      <c r="N26" s="401">
        <f t="shared" si="6"/>
        <v>0</v>
      </c>
      <c r="O26" s="411">
        <f t="shared" si="15"/>
        <v>0</v>
      </c>
    </row>
    <row r="27" spans="1:16">
      <c r="A27" s="412" t="s">
        <v>406</v>
      </c>
      <c r="B27" s="407" t="s">
        <v>375</v>
      </c>
      <c r="C27" s="421">
        <v>0</v>
      </c>
      <c r="D27" s="406">
        <v>0</v>
      </c>
      <c r="E27" s="409">
        <f t="shared" si="18"/>
        <v>0</v>
      </c>
      <c r="F27" s="401">
        <f t="shared" si="0"/>
        <v>0</v>
      </c>
      <c r="G27" s="411">
        <f t="shared" si="19"/>
        <v>0</v>
      </c>
      <c r="H27" s="401">
        <f t="shared" si="1"/>
        <v>0</v>
      </c>
      <c r="I27" s="401">
        <f t="shared" si="2"/>
        <v>0</v>
      </c>
      <c r="J27" s="411">
        <f t="shared" si="11"/>
        <v>0</v>
      </c>
      <c r="K27" s="401">
        <f t="shared" si="12"/>
        <v>0</v>
      </c>
      <c r="L27" s="403">
        <f t="shared" si="13"/>
        <v>0</v>
      </c>
      <c r="M27" s="401">
        <f t="shared" si="14"/>
        <v>0</v>
      </c>
      <c r="N27" s="401">
        <f t="shared" si="6"/>
        <v>0</v>
      </c>
      <c r="O27" s="411">
        <f t="shared" si="15"/>
        <v>0</v>
      </c>
    </row>
    <row r="28" spans="1:16">
      <c r="A28" s="412" t="s">
        <v>407</v>
      </c>
      <c r="B28" s="407" t="s">
        <v>375</v>
      </c>
      <c r="C28" s="421">
        <v>0</v>
      </c>
      <c r="D28" s="406">
        <v>0</v>
      </c>
      <c r="E28" s="409">
        <f t="shared" si="18"/>
        <v>0</v>
      </c>
      <c r="F28" s="401">
        <f t="shared" si="0"/>
        <v>0</v>
      </c>
      <c r="G28" s="411">
        <f t="shared" si="19"/>
        <v>0</v>
      </c>
      <c r="H28" s="401">
        <f t="shared" si="1"/>
        <v>0</v>
      </c>
      <c r="I28" s="401">
        <f t="shared" si="2"/>
        <v>0</v>
      </c>
      <c r="J28" s="411">
        <f t="shared" si="11"/>
        <v>0</v>
      </c>
      <c r="K28" s="401">
        <f t="shared" si="12"/>
        <v>0</v>
      </c>
      <c r="L28" s="403">
        <f t="shared" si="13"/>
        <v>0</v>
      </c>
      <c r="M28" s="401">
        <f t="shared" si="14"/>
        <v>0</v>
      </c>
      <c r="N28" s="401">
        <f t="shared" si="6"/>
        <v>0</v>
      </c>
      <c r="O28" s="411">
        <f t="shared" si="15"/>
        <v>0</v>
      </c>
    </row>
    <row r="29" spans="1:16">
      <c r="A29" s="412" t="s">
        <v>408</v>
      </c>
      <c r="B29" s="407" t="s">
        <v>375</v>
      </c>
      <c r="C29" s="421">
        <v>0</v>
      </c>
      <c r="D29" s="406">
        <v>0</v>
      </c>
      <c r="E29" s="409">
        <f>+D29*C29</f>
        <v>0</v>
      </c>
      <c r="F29" s="401">
        <f t="shared" si="0"/>
        <v>0</v>
      </c>
      <c r="G29" s="401">
        <v>0</v>
      </c>
      <c r="H29" s="401">
        <f t="shared" si="1"/>
        <v>0</v>
      </c>
      <c r="I29" s="401">
        <f t="shared" si="2"/>
        <v>0</v>
      </c>
      <c r="J29" s="411">
        <f t="shared" si="11"/>
        <v>0</v>
      </c>
      <c r="K29" s="401">
        <f t="shared" si="12"/>
        <v>0</v>
      </c>
      <c r="L29" s="403">
        <f t="shared" si="13"/>
        <v>0</v>
      </c>
      <c r="M29" s="401">
        <f t="shared" si="14"/>
        <v>0</v>
      </c>
      <c r="N29" s="401">
        <f t="shared" si="6"/>
        <v>0</v>
      </c>
      <c r="O29" s="411">
        <f t="shared" si="15"/>
        <v>0</v>
      </c>
      <c r="P29" s="10"/>
    </row>
    <row r="30" spans="1:16">
      <c r="A30" s="412" t="s">
        <v>409</v>
      </c>
      <c r="B30" s="407" t="s">
        <v>375</v>
      </c>
      <c r="C30" s="421">
        <v>0</v>
      </c>
      <c r="D30" s="406">
        <v>0</v>
      </c>
      <c r="E30" s="409">
        <f>+D30*C30</f>
        <v>0</v>
      </c>
      <c r="F30" s="401">
        <f t="shared" si="0"/>
        <v>0</v>
      </c>
      <c r="G30" s="411">
        <f>(D30+F30)*$G$4</f>
        <v>0</v>
      </c>
      <c r="H30" s="401">
        <f t="shared" si="1"/>
        <v>0</v>
      </c>
      <c r="I30" s="401">
        <f t="shared" si="2"/>
        <v>0</v>
      </c>
      <c r="J30" s="411">
        <f t="shared" si="11"/>
        <v>0</v>
      </c>
      <c r="K30" s="401">
        <f t="shared" si="12"/>
        <v>0</v>
      </c>
      <c r="L30" s="403">
        <f t="shared" si="13"/>
        <v>0</v>
      </c>
      <c r="M30" s="401">
        <f t="shared" si="14"/>
        <v>0</v>
      </c>
      <c r="N30" s="401">
        <f t="shared" si="6"/>
        <v>0</v>
      </c>
      <c r="O30" s="411">
        <f t="shared" si="15"/>
        <v>0</v>
      </c>
    </row>
    <row r="31" spans="1:16">
      <c r="A31" s="412" t="s">
        <v>410</v>
      </c>
      <c r="B31" s="407" t="s">
        <v>375</v>
      </c>
      <c r="C31" s="421">
        <v>0</v>
      </c>
      <c r="D31" s="406">
        <v>0</v>
      </c>
      <c r="E31" s="409">
        <f t="shared" ref="E31:E33" si="20">+D31*C31</f>
        <v>0</v>
      </c>
      <c r="F31" s="401">
        <f t="shared" si="0"/>
        <v>0</v>
      </c>
      <c r="G31" s="411">
        <f t="shared" ref="G31:G33" si="21">(D31+F31)*$G$4</f>
        <v>0</v>
      </c>
      <c r="H31" s="401">
        <f t="shared" si="1"/>
        <v>0</v>
      </c>
      <c r="I31" s="401">
        <f t="shared" si="2"/>
        <v>0</v>
      </c>
      <c r="J31" s="411">
        <f t="shared" si="11"/>
        <v>0</v>
      </c>
      <c r="K31" s="401">
        <f t="shared" si="12"/>
        <v>0</v>
      </c>
      <c r="L31" s="403">
        <f t="shared" si="13"/>
        <v>0</v>
      </c>
      <c r="M31" s="401">
        <f t="shared" si="14"/>
        <v>0</v>
      </c>
      <c r="N31" s="401">
        <f t="shared" si="6"/>
        <v>0</v>
      </c>
      <c r="O31" s="411">
        <f t="shared" si="15"/>
        <v>0</v>
      </c>
    </row>
    <row r="32" spans="1:16">
      <c r="A32" s="412" t="s">
        <v>411</v>
      </c>
      <c r="B32" s="407" t="s">
        <v>375</v>
      </c>
      <c r="C32" s="421">
        <v>0</v>
      </c>
      <c r="D32" s="406">
        <v>0</v>
      </c>
      <c r="E32" s="409">
        <f t="shared" si="20"/>
        <v>0</v>
      </c>
      <c r="F32" s="401">
        <f t="shared" si="0"/>
        <v>0</v>
      </c>
      <c r="G32" s="411">
        <f t="shared" si="21"/>
        <v>0</v>
      </c>
      <c r="H32" s="401">
        <f t="shared" si="1"/>
        <v>0</v>
      </c>
      <c r="I32" s="401">
        <f t="shared" si="2"/>
        <v>0</v>
      </c>
      <c r="J32" s="411">
        <f t="shared" si="11"/>
        <v>0</v>
      </c>
      <c r="K32" s="401">
        <f t="shared" si="12"/>
        <v>0</v>
      </c>
      <c r="L32" s="403">
        <f t="shared" si="13"/>
        <v>0</v>
      </c>
      <c r="M32" s="401">
        <f t="shared" si="14"/>
        <v>0</v>
      </c>
      <c r="N32" s="401">
        <f t="shared" si="6"/>
        <v>0</v>
      </c>
      <c r="O32" s="411">
        <f t="shared" si="15"/>
        <v>0</v>
      </c>
    </row>
    <row r="33" spans="1:18">
      <c r="A33" s="412"/>
      <c r="B33" s="407" t="s">
        <v>375</v>
      </c>
      <c r="C33" s="421">
        <v>0</v>
      </c>
      <c r="D33" s="406">
        <v>0</v>
      </c>
      <c r="E33" s="409">
        <f t="shared" si="20"/>
        <v>0</v>
      </c>
      <c r="F33" s="401">
        <f t="shared" si="0"/>
        <v>0</v>
      </c>
      <c r="G33" s="411">
        <f t="shared" si="21"/>
        <v>0</v>
      </c>
      <c r="H33" s="401">
        <f t="shared" si="1"/>
        <v>0</v>
      </c>
      <c r="I33" s="401">
        <f t="shared" si="2"/>
        <v>0</v>
      </c>
      <c r="J33" s="411">
        <f t="shared" si="11"/>
        <v>0</v>
      </c>
      <c r="K33" s="401">
        <f t="shared" si="12"/>
        <v>0</v>
      </c>
      <c r="L33" s="403">
        <f t="shared" si="13"/>
        <v>0</v>
      </c>
      <c r="M33" s="401">
        <f t="shared" si="14"/>
        <v>0</v>
      </c>
      <c r="N33" s="401">
        <f t="shared" si="6"/>
        <v>0</v>
      </c>
      <c r="O33" s="411">
        <f t="shared" si="15"/>
        <v>0</v>
      </c>
    </row>
    <row r="34" spans="1:18">
      <c r="A34" s="410"/>
      <c r="B34" s="407" t="s">
        <v>375</v>
      </c>
      <c r="C34" s="421">
        <v>0</v>
      </c>
      <c r="D34" s="406">
        <v>0</v>
      </c>
      <c r="E34" s="409">
        <f t="shared" ref="E34:E35" si="22">+D34*C34</f>
        <v>0</v>
      </c>
      <c r="F34" s="401">
        <f t="shared" si="0"/>
        <v>0</v>
      </c>
      <c r="G34" s="411">
        <f t="shared" ref="G34:G36" si="23">(D34+F34)*$G$4</f>
        <v>0</v>
      </c>
      <c r="H34" s="401">
        <f t="shared" si="1"/>
        <v>0</v>
      </c>
      <c r="I34" s="401">
        <f t="shared" si="2"/>
        <v>0</v>
      </c>
      <c r="J34" s="411">
        <f t="shared" si="11"/>
        <v>0</v>
      </c>
      <c r="K34" s="401">
        <f t="shared" si="12"/>
        <v>0</v>
      </c>
      <c r="L34" s="403">
        <f t="shared" si="13"/>
        <v>0</v>
      </c>
      <c r="M34" s="401">
        <f t="shared" si="14"/>
        <v>0</v>
      </c>
      <c r="N34" s="401">
        <f t="shared" si="6"/>
        <v>0</v>
      </c>
      <c r="O34" s="411">
        <f t="shared" si="15"/>
        <v>0</v>
      </c>
    </row>
    <row r="35" spans="1:18">
      <c r="A35" s="412"/>
      <c r="B35" s="407" t="s">
        <v>375</v>
      </c>
      <c r="C35" s="421">
        <v>0</v>
      </c>
      <c r="D35" s="406">
        <v>0</v>
      </c>
      <c r="E35" s="409">
        <f t="shared" si="22"/>
        <v>0</v>
      </c>
      <c r="F35" s="401">
        <f t="shared" si="0"/>
        <v>0</v>
      </c>
      <c r="G35" s="411">
        <f t="shared" si="23"/>
        <v>0</v>
      </c>
      <c r="H35" s="401">
        <f t="shared" si="1"/>
        <v>0</v>
      </c>
      <c r="I35" s="401">
        <f t="shared" si="2"/>
        <v>0</v>
      </c>
      <c r="J35" s="411">
        <f t="shared" si="11"/>
        <v>0</v>
      </c>
      <c r="K35" s="401">
        <f t="shared" si="12"/>
        <v>0</v>
      </c>
      <c r="L35" s="403">
        <f t="shared" si="13"/>
        <v>0</v>
      </c>
      <c r="M35" s="401">
        <f t="shared" si="14"/>
        <v>0</v>
      </c>
      <c r="N35" s="401">
        <f t="shared" si="6"/>
        <v>0</v>
      </c>
      <c r="O35" s="411">
        <f t="shared" si="15"/>
        <v>0</v>
      </c>
    </row>
    <row r="36" spans="1:18">
      <c r="A36" s="412"/>
      <c r="B36" s="407" t="s">
        <v>375</v>
      </c>
      <c r="C36" s="421">
        <v>0</v>
      </c>
      <c r="D36" s="406">
        <v>0</v>
      </c>
      <c r="E36" s="409"/>
      <c r="F36" s="401">
        <f t="shared" si="0"/>
        <v>0</v>
      </c>
      <c r="G36" s="411">
        <f t="shared" si="23"/>
        <v>0</v>
      </c>
      <c r="H36" s="401">
        <f t="shared" si="1"/>
        <v>0</v>
      </c>
      <c r="I36" s="401">
        <f t="shared" si="2"/>
        <v>0</v>
      </c>
      <c r="J36" s="411">
        <f t="shared" si="11"/>
        <v>0</v>
      </c>
      <c r="K36" s="401">
        <f t="shared" si="12"/>
        <v>0</v>
      </c>
      <c r="L36" s="403">
        <f t="shared" si="13"/>
        <v>0</v>
      </c>
      <c r="M36" s="401">
        <f t="shared" si="14"/>
        <v>0</v>
      </c>
      <c r="N36" s="401">
        <f t="shared" si="6"/>
        <v>0</v>
      </c>
      <c r="O36" s="411">
        <f t="shared" si="15"/>
        <v>0</v>
      </c>
    </row>
    <row r="37" spans="1:18">
      <c r="A37" s="78" t="s">
        <v>378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</row>
    <row r="38" spans="1:18">
      <c r="A38" s="407"/>
      <c r="B38" s="407" t="s">
        <v>375</v>
      </c>
      <c r="C38" s="421">
        <v>0</v>
      </c>
      <c r="D38" s="406">
        <v>0</v>
      </c>
      <c r="E38" s="402">
        <f>+C38*D38*(1-C47)</f>
        <v>0</v>
      </c>
      <c r="F38" s="401">
        <f t="shared" si="0"/>
        <v>0</v>
      </c>
      <c r="G38" s="401">
        <f t="shared" ref="G38:G42" si="24">(D38+F38)*$G$4</f>
        <v>0</v>
      </c>
      <c r="H38" s="401">
        <f t="shared" si="1"/>
        <v>0</v>
      </c>
      <c r="I38" s="401">
        <f t="shared" si="2"/>
        <v>0</v>
      </c>
      <c r="J38" s="411">
        <f t="shared" si="11"/>
        <v>0</v>
      </c>
      <c r="K38" s="401">
        <f t="shared" si="12"/>
        <v>0</v>
      </c>
      <c r="L38" s="403">
        <f t="shared" si="13"/>
        <v>0</v>
      </c>
      <c r="M38" s="401">
        <f t="shared" si="14"/>
        <v>0</v>
      </c>
      <c r="N38" s="401">
        <f t="shared" si="6"/>
        <v>0</v>
      </c>
      <c r="O38" s="411">
        <f t="shared" si="15"/>
        <v>0</v>
      </c>
    </row>
    <row r="39" spans="1:18">
      <c r="A39" s="413"/>
      <c r="B39" s="407" t="s">
        <v>375</v>
      </c>
      <c r="C39" s="421">
        <v>0</v>
      </c>
      <c r="D39" s="406">
        <v>0</v>
      </c>
      <c r="E39" s="402">
        <f>+C39*D39</f>
        <v>0</v>
      </c>
      <c r="F39" s="401">
        <f t="shared" si="0"/>
        <v>0</v>
      </c>
      <c r="G39" s="401">
        <f t="shared" si="24"/>
        <v>0</v>
      </c>
      <c r="H39" s="401">
        <f t="shared" si="1"/>
        <v>0</v>
      </c>
      <c r="I39" s="401">
        <f t="shared" si="2"/>
        <v>0</v>
      </c>
      <c r="J39" s="411">
        <f t="shared" si="11"/>
        <v>0</v>
      </c>
      <c r="K39" s="401">
        <f t="shared" si="12"/>
        <v>0</v>
      </c>
      <c r="L39" s="403">
        <f t="shared" si="13"/>
        <v>0</v>
      </c>
      <c r="M39" s="401">
        <f t="shared" si="14"/>
        <v>0</v>
      </c>
      <c r="N39" s="401">
        <f t="shared" si="6"/>
        <v>0</v>
      </c>
      <c r="O39" s="411">
        <f t="shared" si="15"/>
        <v>0</v>
      </c>
    </row>
    <row r="40" spans="1:18">
      <c r="A40" s="413"/>
      <c r="B40" s="407" t="s">
        <v>375</v>
      </c>
      <c r="C40" s="421">
        <v>0</v>
      </c>
      <c r="D40" s="406">
        <v>0</v>
      </c>
      <c r="E40" s="402">
        <f>+C40*D40</f>
        <v>0</v>
      </c>
      <c r="F40" s="401">
        <f t="shared" si="0"/>
        <v>0</v>
      </c>
      <c r="G40" s="401">
        <f t="shared" si="24"/>
        <v>0</v>
      </c>
      <c r="H40" s="401">
        <f t="shared" si="1"/>
        <v>0</v>
      </c>
      <c r="I40" s="401">
        <f t="shared" si="2"/>
        <v>0</v>
      </c>
      <c r="J40" s="411">
        <f t="shared" si="11"/>
        <v>0</v>
      </c>
      <c r="K40" s="401">
        <f t="shared" si="12"/>
        <v>0</v>
      </c>
      <c r="L40" s="403">
        <f t="shared" si="13"/>
        <v>0</v>
      </c>
      <c r="M40" s="401">
        <f t="shared" si="14"/>
        <v>0</v>
      </c>
      <c r="N40" s="401">
        <f t="shared" si="6"/>
        <v>0</v>
      </c>
      <c r="O40" s="411">
        <f t="shared" si="15"/>
        <v>0</v>
      </c>
    </row>
    <row r="41" spans="1:18">
      <c r="A41" s="414"/>
      <c r="B41" s="407" t="s">
        <v>375</v>
      </c>
      <c r="C41" s="421">
        <v>0</v>
      </c>
      <c r="D41" s="406">
        <v>0</v>
      </c>
      <c r="E41" s="402">
        <f>+C41*D41</f>
        <v>0</v>
      </c>
      <c r="F41" s="401">
        <f t="shared" si="0"/>
        <v>0</v>
      </c>
      <c r="G41" s="401">
        <f t="shared" si="24"/>
        <v>0</v>
      </c>
      <c r="H41" s="401">
        <f t="shared" si="1"/>
        <v>0</v>
      </c>
      <c r="I41" s="401">
        <f t="shared" si="2"/>
        <v>0</v>
      </c>
      <c r="J41" s="411">
        <f t="shared" si="11"/>
        <v>0</v>
      </c>
      <c r="K41" s="401">
        <f t="shared" si="12"/>
        <v>0</v>
      </c>
      <c r="L41" s="403">
        <f t="shared" si="13"/>
        <v>0</v>
      </c>
      <c r="M41" s="401">
        <f t="shared" si="14"/>
        <v>0</v>
      </c>
      <c r="N41" s="401">
        <f t="shared" si="6"/>
        <v>0</v>
      </c>
      <c r="O41" s="411">
        <f t="shared" si="15"/>
        <v>0</v>
      </c>
    </row>
    <row r="42" spans="1:18">
      <c r="A42" s="414"/>
      <c r="B42" s="407" t="s">
        <v>375</v>
      </c>
      <c r="C42" s="421">
        <v>0</v>
      </c>
      <c r="D42" s="406">
        <v>0</v>
      </c>
      <c r="E42" s="402">
        <f>+C42*D42</f>
        <v>0</v>
      </c>
      <c r="F42" s="401">
        <f t="shared" si="0"/>
        <v>0</v>
      </c>
      <c r="G42" s="401">
        <f t="shared" si="24"/>
        <v>0</v>
      </c>
      <c r="H42" s="401">
        <f t="shared" si="1"/>
        <v>0</v>
      </c>
      <c r="I42" s="401">
        <f t="shared" si="2"/>
        <v>0</v>
      </c>
      <c r="J42" s="411">
        <f t="shared" si="11"/>
        <v>0</v>
      </c>
      <c r="K42" s="401">
        <f t="shared" si="12"/>
        <v>0</v>
      </c>
      <c r="L42" s="403">
        <f t="shared" si="13"/>
        <v>0</v>
      </c>
      <c r="M42" s="401">
        <f t="shared" si="14"/>
        <v>0</v>
      </c>
      <c r="N42" s="401">
        <f t="shared" si="6"/>
        <v>0</v>
      </c>
      <c r="O42" s="411">
        <f t="shared" si="15"/>
        <v>0</v>
      </c>
    </row>
    <row r="43" spans="1:18">
      <c r="A43" s="77" t="s">
        <v>370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</row>
    <row r="44" spans="1:18">
      <c r="A44" s="404"/>
      <c r="B44" s="407" t="s">
        <v>375</v>
      </c>
      <c r="C44" s="421">
        <v>0</v>
      </c>
      <c r="D44" s="406">
        <v>0</v>
      </c>
      <c r="E44" s="402">
        <f>+C44*D44</f>
        <v>0</v>
      </c>
      <c r="F44" s="401">
        <f t="shared" si="0"/>
        <v>0</v>
      </c>
      <c r="G44" s="401">
        <f t="shared" ref="G44" si="25">(D44+F44)*$G$4</f>
        <v>0</v>
      </c>
      <c r="H44" s="401">
        <f t="shared" si="1"/>
        <v>0</v>
      </c>
      <c r="I44" s="401">
        <f t="shared" si="2"/>
        <v>0</v>
      </c>
      <c r="J44" s="411">
        <f t="shared" si="11"/>
        <v>0</v>
      </c>
      <c r="K44" s="401">
        <f t="shared" si="12"/>
        <v>0</v>
      </c>
      <c r="L44" s="403">
        <f t="shared" si="13"/>
        <v>0</v>
      </c>
      <c r="M44" s="401">
        <f t="shared" si="14"/>
        <v>0</v>
      </c>
      <c r="N44" s="401">
        <f t="shared" si="6"/>
        <v>0</v>
      </c>
      <c r="O44" s="411">
        <f t="shared" si="15"/>
        <v>0</v>
      </c>
    </row>
    <row r="45" spans="1:18">
      <c r="A45" s="131"/>
      <c r="B45" s="131"/>
      <c r="C45" s="11"/>
      <c r="D45" s="130"/>
      <c r="E45" s="18"/>
      <c r="F45" s="9"/>
      <c r="G45" s="9"/>
      <c r="H45" s="9"/>
      <c r="I45" s="9"/>
      <c r="J45" s="9"/>
      <c r="K45" s="9"/>
      <c r="L45" s="149"/>
      <c r="M45" s="9"/>
      <c r="N45" s="9"/>
      <c r="O45" s="9"/>
      <c r="Q45" s="4"/>
    </row>
    <row r="46" spans="1:18" ht="13">
      <c r="A46" s="12"/>
      <c r="B46" s="12"/>
      <c r="C46" s="13"/>
      <c r="D46" s="14" t="s">
        <v>371</v>
      </c>
      <c r="E46" s="14">
        <f>SUM(E34:E44)</f>
        <v>0</v>
      </c>
      <c r="F46" s="15"/>
      <c r="G46" s="15"/>
      <c r="H46" s="15"/>
      <c r="I46" s="15"/>
      <c r="J46" s="16" t="s">
        <v>372</v>
      </c>
      <c r="K46" s="16"/>
      <c r="L46" s="14">
        <f>SUM(L6:L44)</f>
        <v>0</v>
      </c>
      <c r="M46" s="15"/>
      <c r="N46" s="16" t="s">
        <v>373</v>
      </c>
      <c r="O46" s="14">
        <f>SUM(O6:O44)</f>
        <v>0</v>
      </c>
      <c r="Q46" s="4"/>
      <c r="R46" s="3"/>
    </row>
    <row r="47" spans="1:18" ht="13">
      <c r="A47" s="34"/>
      <c r="B47" s="34"/>
      <c r="C47" s="194"/>
      <c r="D47" s="15"/>
      <c r="E47" s="18"/>
      <c r="F47" s="15"/>
      <c r="G47" s="15"/>
      <c r="H47" s="15"/>
      <c r="I47" s="15"/>
      <c r="J47" s="15"/>
      <c r="K47" s="15"/>
      <c r="L47" s="15"/>
      <c r="M47" s="15"/>
      <c r="N47" s="19" t="s">
        <v>374</v>
      </c>
      <c r="O47" s="20">
        <f>O46-L46</f>
        <v>0</v>
      </c>
      <c r="Q47" s="4"/>
      <c r="R47" s="3"/>
    </row>
    <row r="48" spans="1:18">
      <c r="Q48" s="4"/>
      <c r="R48" s="3"/>
    </row>
    <row r="49" spans="1:18">
      <c r="A49" s="179" t="s">
        <v>363</v>
      </c>
      <c r="E49" s="3"/>
      <c r="Q49" s="4"/>
      <c r="R49" s="3"/>
    </row>
    <row r="50" spans="1:18">
      <c r="A50" s="107" t="s">
        <v>375</v>
      </c>
      <c r="B50" s="8"/>
      <c r="E50" s="3"/>
      <c r="Q50" s="4"/>
    </row>
    <row r="51" spans="1:18">
      <c r="A51" s="107" t="s">
        <v>369</v>
      </c>
      <c r="B51" s="39"/>
      <c r="C51" s="15"/>
      <c r="D51" s="15"/>
      <c r="O51" s="3"/>
    </row>
    <row r="52" spans="1:18">
      <c r="A52" s="39"/>
      <c r="B52" s="39"/>
      <c r="C52" s="15"/>
      <c r="D52" s="15"/>
      <c r="P52" s="3"/>
    </row>
  </sheetData>
  <mergeCells count="2">
    <mergeCell ref="A1:D1"/>
    <mergeCell ref="A3:E3"/>
  </mergeCells>
  <dataValidations count="1">
    <dataValidation type="list" allowBlank="1" showErrorMessage="1" errorTitle="Opción no válida" sqref="B6:B36 B38:B42 B44" xr:uid="{7732CD59-1528-4E52-A1E7-720AF45DCA44}">
      <formula1>$A$50:$A$51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7D06-E204-4BC9-AAFF-1A038351179C}">
  <dimension ref="A1:W851"/>
  <sheetViews>
    <sheetView tabSelected="1" workbookViewId="0">
      <pane ySplit="2" topLeftCell="A3" activePane="bottomLeft" state="frozen"/>
      <selection pane="bottomLeft"/>
    </sheetView>
  </sheetViews>
  <sheetFormatPr defaultRowHeight="12.5"/>
  <cols>
    <col min="1" max="1" width="5.6328125" customWidth="1"/>
    <col min="2" max="2" width="30.6328125" customWidth="1"/>
    <col min="3" max="3" width="15.6328125" customWidth="1"/>
    <col min="4" max="4" width="21.6328125" customWidth="1"/>
    <col min="5" max="5" width="13.6328125" customWidth="1"/>
    <col min="6" max="6" width="3.6328125" customWidth="1"/>
    <col min="7" max="7" width="5.6328125" customWidth="1"/>
    <col min="8" max="8" width="30.6328125" customWidth="1"/>
    <col min="9" max="9" width="15.6328125" customWidth="1"/>
    <col min="10" max="10" width="21.6328125" customWidth="1"/>
    <col min="11" max="11" width="13.6328125" customWidth="1"/>
    <col min="12" max="12" width="3.6328125" customWidth="1"/>
    <col min="13" max="13" width="5.6328125" customWidth="1"/>
    <col min="14" max="14" width="30.6328125" customWidth="1"/>
    <col min="15" max="15" width="15.6328125" customWidth="1"/>
    <col min="16" max="16" width="21.6328125" customWidth="1"/>
    <col min="17" max="17" width="13.6328125" customWidth="1"/>
    <col min="18" max="18" width="3.6328125" customWidth="1"/>
    <col min="19" max="19" width="5.6328125" customWidth="1"/>
    <col min="20" max="20" width="30.6328125" customWidth="1"/>
    <col min="21" max="21" width="15.6328125" customWidth="1"/>
    <col min="22" max="22" width="21.6328125" customWidth="1"/>
    <col min="23" max="23" width="13.6328125" customWidth="1"/>
  </cols>
  <sheetData>
    <row r="1" spans="1:23" ht="18">
      <c r="A1" s="478" t="s">
        <v>532</v>
      </c>
    </row>
    <row r="2" spans="1:23" ht="13.5" thickBot="1">
      <c r="A2" s="479"/>
      <c r="B2" s="479" t="s">
        <v>874</v>
      </c>
      <c r="C2" s="479"/>
      <c r="D2" s="479"/>
      <c r="E2" s="479"/>
      <c r="G2" s="479"/>
      <c r="H2" s="479" t="s">
        <v>875</v>
      </c>
      <c r="I2" s="479"/>
      <c r="J2" s="479"/>
      <c r="K2" s="479"/>
      <c r="M2" s="479"/>
      <c r="N2" s="479" t="s">
        <v>876</v>
      </c>
      <c r="O2" s="479"/>
      <c r="P2" s="479"/>
      <c r="Q2" s="479"/>
      <c r="S2" s="479"/>
      <c r="T2" s="479" t="s">
        <v>877</v>
      </c>
      <c r="U2" s="479"/>
      <c r="V2" s="479"/>
      <c r="W2" s="479"/>
    </row>
    <row r="3" spans="1:23" ht="13">
      <c r="A3" s="480">
        <v>1</v>
      </c>
      <c r="B3" s="497" t="s">
        <v>533</v>
      </c>
      <c r="C3" s="497"/>
      <c r="D3" s="497"/>
      <c r="E3" s="498"/>
      <c r="G3" s="480">
        <v>1</v>
      </c>
      <c r="H3" s="497" t="s">
        <v>533</v>
      </c>
      <c r="I3" s="497"/>
      <c r="J3" s="497"/>
      <c r="K3" s="498"/>
      <c r="M3" s="480">
        <v>1</v>
      </c>
      <c r="N3" s="497" t="s">
        <v>533</v>
      </c>
      <c r="O3" s="497"/>
      <c r="P3" s="497"/>
      <c r="Q3" s="498"/>
      <c r="S3" s="480">
        <v>1</v>
      </c>
      <c r="T3" s="497" t="s">
        <v>533</v>
      </c>
      <c r="U3" s="497"/>
      <c r="V3" s="497"/>
      <c r="W3" s="498"/>
    </row>
    <row r="4" spans="1:23">
      <c r="A4" s="483"/>
      <c r="B4" s="586" t="s">
        <v>534</v>
      </c>
      <c r="C4" s="587">
        <f>SUMIF(Equipos!$Q$6:$Q$55,A3,Equipos!$O$6:$O$55)</f>
        <v>0</v>
      </c>
      <c r="D4" s="586" t="s">
        <v>535</v>
      </c>
      <c r="E4" s="487">
        <v>0.11</v>
      </c>
      <c r="G4" s="483"/>
      <c r="H4" s="586" t="s">
        <v>534</v>
      </c>
      <c r="I4" s="587">
        <f>SUMIF('Productos 2'!$P$6:$P$15,G3,'Productos 2'!$N$6:$N$15)</f>
        <v>0</v>
      </c>
      <c r="J4" s="586" t="s">
        <v>535</v>
      </c>
      <c r="K4" s="487">
        <v>0.11</v>
      </c>
      <c r="M4" s="483"/>
      <c r="N4" s="586" t="s">
        <v>534</v>
      </c>
      <c r="O4" s="587">
        <f>SUMIF(MATERIALES!$P$6:$P$44,M3,MATERIALES!$N$6:$N$44)</f>
        <v>0</v>
      </c>
      <c r="P4" s="586" t="s">
        <v>535</v>
      </c>
      <c r="Q4" s="487">
        <v>0.11</v>
      </c>
      <c r="S4" s="483"/>
      <c r="T4" s="586" t="s">
        <v>534</v>
      </c>
      <c r="U4" s="587">
        <f>SUMIF('OPEX GV'!$P$6:$P$15,S3,'OPEX GV'!$N$6:$N$15)</f>
        <v>0</v>
      </c>
      <c r="V4" s="586" t="s">
        <v>535</v>
      </c>
      <c r="W4" s="487">
        <v>0.11</v>
      </c>
    </row>
    <row r="5" spans="1:23">
      <c r="A5" s="483"/>
      <c r="B5" s="586" t="s">
        <v>536</v>
      </c>
      <c r="C5" s="588">
        <v>0</v>
      </c>
      <c r="D5" s="586" t="s">
        <v>537</v>
      </c>
      <c r="E5" s="487">
        <v>0</v>
      </c>
      <c r="G5" s="483"/>
      <c r="H5" s="586" t="s">
        <v>536</v>
      </c>
      <c r="I5" s="588">
        <v>0</v>
      </c>
      <c r="J5" s="586" t="s">
        <v>537</v>
      </c>
      <c r="K5" s="487">
        <v>0</v>
      </c>
      <c r="M5" s="483"/>
      <c r="N5" s="586" t="s">
        <v>536</v>
      </c>
      <c r="O5" s="588">
        <v>0</v>
      </c>
      <c r="P5" s="586" t="s">
        <v>537</v>
      </c>
      <c r="Q5" s="487">
        <v>0</v>
      </c>
      <c r="S5" s="483"/>
      <c r="T5" s="586" t="s">
        <v>536</v>
      </c>
      <c r="U5" s="588">
        <v>0</v>
      </c>
      <c r="V5" s="586" t="s">
        <v>537</v>
      </c>
      <c r="W5" s="487">
        <v>0</v>
      </c>
    </row>
    <row r="6" spans="1:23">
      <c r="A6" s="483"/>
      <c r="B6" s="586" t="s">
        <v>538</v>
      </c>
      <c r="C6" s="588">
        <v>0</v>
      </c>
      <c r="D6" s="586"/>
      <c r="E6" s="40"/>
      <c r="G6" s="483"/>
      <c r="H6" s="586" t="s">
        <v>538</v>
      </c>
      <c r="I6" s="588">
        <v>0</v>
      </c>
      <c r="J6" s="586"/>
      <c r="K6" s="40"/>
      <c r="M6" s="483"/>
      <c r="N6" s="586" t="s">
        <v>538</v>
      </c>
      <c r="O6" s="588">
        <v>0</v>
      </c>
      <c r="P6" s="586"/>
      <c r="Q6" s="40"/>
      <c r="S6" s="483"/>
      <c r="T6" s="586" t="s">
        <v>538</v>
      </c>
      <c r="U6" s="588">
        <v>0</v>
      </c>
      <c r="V6" s="586"/>
      <c r="W6" s="40"/>
    </row>
    <row r="7" spans="1:23">
      <c r="A7" s="483"/>
      <c r="B7" s="586"/>
      <c r="C7" s="586"/>
      <c r="D7" s="586"/>
      <c r="E7" s="40"/>
      <c r="G7" s="483"/>
      <c r="H7" s="586"/>
      <c r="I7" s="586"/>
      <c r="J7" s="586"/>
      <c r="K7" s="40"/>
      <c r="M7" s="483"/>
      <c r="N7" s="586"/>
      <c r="O7" s="586"/>
      <c r="P7" s="586"/>
      <c r="Q7" s="40"/>
      <c r="S7" s="483"/>
      <c r="T7" s="586"/>
      <c r="U7" s="586"/>
      <c r="V7" s="586"/>
      <c r="W7" s="40"/>
    </row>
    <row r="8" spans="1:23" ht="13">
      <c r="A8" s="483"/>
      <c r="B8" s="589" t="s">
        <v>539</v>
      </c>
      <c r="C8" s="590">
        <f>C4-C5-C6</f>
        <v>0</v>
      </c>
      <c r="D8" s="586"/>
      <c r="E8" s="40"/>
      <c r="G8" s="483"/>
      <c r="H8" s="589" t="s">
        <v>539</v>
      </c>
      <c r="I8" s="590">
        <f>I4-I5-I6</f>
        <v>0</v>
      </c>
      <c r="J8" s="586"/>
      <c r="K8" s="40"/>
      <c r="M8" s="483"/>
      <c r="N8" s="589" t="s">
        <v>539</v>
      </c>
      <c r="O8" s="590">
        <f>O4-O5-O6</f>
        <v>0</v>
      </c>
      <c r="P8" s="586"/>
      <c r="Q8" s="40"/>
      <c r="S8" s="483"/>
      <c r="T8" s="589" t="s">
        <v>539</v>
      </c>
      <c r="U8" s="590">
        <f>U4-U5-U6</f>
        <v>0</v>
      </c>
      <c r="V8" s="586"/>
      <c r="W8" s="40"/>
    </row>
    <row r="9" spans="1:23">
      <c r="A9" s="483"/>
      <c r="B9" s="586" t="s">
        <v>540</v>
      </c>
      <c r="C9" s="591">
        <v>4</v>
      </c>
      <c r="D9" s="586"/>
      <c r="E9" s="40"/>
      <c r="G9" s="483"/>
      <c r="H9" s="586" t="s">
        <v>540</v>
      </c>
      <c r="I9" s="591">
        <v>4</v>
      </c>
      <c r="J9" s="586"/>
      <c r="K9" s="40"/>
      <c r="M9" s="483"/>
      <c r="N9" s="586" t="s">
        <v>540</v>
      </c>
      <c r="O9" s="591">
        <v>4</v>
      </c>
      <c r="P9" s="586"/>
      <c r="Q9" s="40"/>
      <c r="S9" s="483"/>
      <c r="T9" s="586" t="s">
        <v>540</v>
      </c>
      <c r="U9" s="591">
        <v>4</v>
      </c>
      <c r="V9" s="586"/>
      <c r="W9" s="40"/>
    </row>
    <row r="10" spans="1:23">
      <c r="A10" s="483"/>
      <c r="B10" s="586" t="s">
        <v>541</v>
      </c>
      <c r="C10" s="592">
        <f>C9*12</f>
        <v>48</v>
      </c>
      <c r="D10" s="586"/>
      <c r="E10" s="40"/>
      <c r="G10" s="483"/>
      <c r="H10" s="586" t="s">
        <v>541</v>
      </c>
      <c r="I10" s="592">
        <f>I9*12</f>
        <v>48</v>
      </c>
      <c r="J10" s="586"/>
      <c r="K10" s="40"/>
      <c r="M10" s="483"/>
      <c r="N10" s="586" t="s">
        <v>541</v>
      </c>
      <c r="O10" s="592">
        <f>O9*12</f>
        <v>48</v>
      </c>
      <c r="P10" s="586"/>
      <c r="Q10" s="40"/>
      <c r="S10" s="483"/>
      <c r="T10" s="586" t="s">
        <v>541</v>
      </c>
      <c r="U10" s="592">
        <f>U9*12</f>
        <v>48</v>
      </c>
      <c r="V10" s="586"/>
      <c r="W10" s="40"/>
    </row>
    <row r="11" spans="1:23">
      <c r="A11" s="483"/>
      <c r="B11" s="586"/>
      <c r="C11" s="586"/>
      <c r="D11" s="586"/>
      <c r="E11" s="40"/>
      <c r="G11" s="483"/>
      <c r="H11" s="586"/>
      <c r="I11" s="586"/>
      <c r="J11" s="586"/>
      <c r="K11" s="40"/>
      <c r="M11" s="483"/>
      <c r="N11" s="586"/>
      <c r="O11" s="586"/>
      <c r="P11" s="586"/>
      <c r="Q11" s="40"/>
      <c r="S11" s="483"/>
      <c r="T11" s="586"/>
      <c r="U11" s="586"/>
      <c r="V11" s="586"/>
      <c r="W11" s="40"/>
    </row>
    <row r="12" spans="1:23" ht="13">
      <c r="A12" s="483"/>
      <c r="B12" s="589" t="s">
        <v>542</v>
      </c>
      <c r="C12" s="590">
        <f>-PMT(E4/12,C10,C8)</f>
        <v>0</v>
      </c>
      <c r="D12" s="589" t="s">
        <v>543</v>
      </c>
      <c r="E12" s="488">
        <f>C12*12</f>
        <v>0</v>
      </c>
      <c r="G12" s="483"/>
      <c r="H12" s="589" t="s">
        <v>542</v>
      </c>
      <c r="I12" s="590">
        <f>-PMT(K4/12,I10,I8)</f>
        <v>0</v>
      </c>
      <c r="J12" s="589" t="s">
        <v>543</v>
      </c>
      <c r="K12" s="488">
        <f>I12*12</f>
        <v>0</v>
      </c>
      <c r="M12" s="483"/>
      <c r="N12" s="589" t="s">
        <v>542</v>
      </c>
      <c r="O12" s="590">
        <f>-PMT(Q4/12,O10,O8)</f>
        <v>0</v>
      </c>
      <c r="P12" s="589" t="s">
        <v>543</v>
      </c>
      <c r="Q12" s="488">
        <f>O12*12</f>
        <v>0</v>
      </c>
      <c r="S12" s="483"/>
      <c r="T12" s="589" t="s">
        <v>542</v>
      </c>
      <c r="U12" s="590">
        <f>-PMT(W4/12,U10,U8)</f>
        <v>0</v>
      </c>
      <c r="V12" s="589" t="s">
        <v>543</v>
      </c>
      <c r="W12" s="488">
        <f>U12*12</f>
        <v>0</v>
      </c>
    </row>
    <row r="13" spans="1:23">
      <c r="A13" s="483"/>
      <c r="B13" s="586"/>
      <c r="C13" s="586"/>
      <c r="D13" s="586"/>
      <c r="E13" s="40"/>
      <c r="G13" s="483"/>
      <c r="H13" s="586"/>
      <c r="I13" s="586"/>
      <c r="J13" s="586"/>
      <c r="K13" s="40"/>
      <c r="M13" s="483"/>
      <c r="N13" s="586"/>
      <c r="O13" s="586"/>
      <c r="P13" s="586"/>
      <c r="Q13" s="40"/>
      <c r="S13" s="483"/>
      <c r="T13" s="586"/>
      <c r="U13" s="586"/>
      <c r="V13" s="586"/>
      <c r="W13" s="40"/>
    </row>
    <row r="14" spans="1:23">
      <c r="A14" s="483"/>
      <c r="B14" s="586"/>
      <c r="C14" s="586"/>
      <c r="D14" s="586"/>
      <c r="E14" s="40"/>
      <c r="G14" s="483"/>
      <c r="H14" s="586"/>
      <c r="I14" s="586"/>
      <c r="J14" s="586"/>
      <c r="K14" s="40"/>
      <c r="M14" s="483"/>
      <c r="N14" s="586"/>
      <c r="O14" s="586"/>
      <c r="P14" s="586"/>
      <c r="Q14" s="40"/>
      <c r="S14" s="483"/>
      <c r="T14" s="586"/>
      <c r="U14" s="586"/>
      <c r="V14" s="586"/>
      <c r="W14" s="40"/>
    </row>
    <row r="15" spans="1:23">
      <c r="A15" s="483"/>
      <c r="B15" s="586" t="s">
        <v>241</v>
      </c>
      <c r="C15" s="586"/>
      <c r="D15" s="586"/>
      <c r="E15" s="40"/>
      <c r="G15" s="483"/>
      <c r="H15" s="586" t="s">
        <v>241</v>
      </c>
      <c r="I15" s="586"/>
      <c r="J15" s="586"/>
      <c r="K15" s="40"/>
      <c r="M15" s="483"/>
      <c r="N15" s="586" t="s">
        <v>241</v>
      </c>
      <c r="O15" s="586"/>
      <c r="P15" s="586"/>
      <c r="Q15" s="40"/>
      <c r="S15" s="483"/>
      <c r="T15" s="586" t="s">
        <v>241</v>
      </c>
      <c r="U15" s="586"/>
      <c r="V15" s="586"/>
      <c r="W15" s="40"/>
    </row>
    <row r="16" spans="1:23">
      <c r="A16" s="483"/>
      <c r="B16" s="586" t="s">
        <v>544</v>
      </c>
      <c r="C16" s="587">
        <f>C12*C10</f>
        <v>0</v>
      </c>
      <c r="D16" s="586"/>
      <c r="E16" s="40"/>
      <c r="G16" s="483"/>
      <c r="H16" s="586" t="s">
        <v>544</v>
      </c>
      <c r="I16" s="587">
        <f>I12*I10</f>
        <v>0</v>
      </c>
      <c r="J16" s="586"/>
      <c r="K16" s="40"/>
      <c r="M16" s="483"/>
      <c r="N16" s="586" t="s">
        <v>544</v>
      </c>
      <c r="O16" s="587">
        <f>O12*O10</f>
        <v>0</v>
      </c>
      <c r="P16" s="586"/>
      <c r="Q16" s="40"/>
      <c r="S16" s="483"/>
      <c r="T16" s="586" t="s">
        <v>544</v>
      </c>
      <c r="U16" s="587">
        <f>U12*U10</f>
        <v>0</v>
      </c>
      <c r="V16" s="586"/>
      <c r="W16" s="40"/>
    </row>
    <row r="17" spans="1:23">
      <c r="A17" s="483"/>
      <c r="B17" s="586"/>
      <c r="C17" s="586"/>
      <c r="D17" s="586"/>
      <c r="E17" s="40"/>
      <c r="G17" s="483"/>
      <c r="H17" s="586"/>
      <c r="I17" s="586"/>
      <c r="J17" s="586"/>
      <c r="K17" s="40"/>
      <c r="M17" s="483"/>
      <c r="N17" s="586"/>
      <c r="O17" s="586"/>
      <c r="P17" s="586"/>
      <c r="Q17" s="40"/>
      <c r="S17" s="483"/>
      <c r="T17" s="586"/>
      <c r="U17" s="586"/>
      <c r="V17" s="586"/>
      <c r="W17" s="40"/>
    </row>
    <row r="18" spans="1:23" ht="13.5" thickBot="1">
      <c r="A18" s="484"/>
      <c r="B18" s="489" t="s">
        <v>299</v>
      </c>
      <c r="C18" s="490">
        <f>C16-C8</f>
        <v>0</v>
      </c>
      <c r="D18" s="99"/>
      <c r="E18" s="157"/>
      <c r="G18" s="484"/>
      <c r="H18" s="489" t="s">
        <v>299</v>
      </c>
      <c r="I18" s="490">
        <f>I16-I8</f>
        <v>0</v>
      </c>
      <c r="J18" s="99"/>
      <c r="K18" s="157"/>
      <c r="M18" s="484"/>
      <c r="N18" s="489" t="s">
        <v>299</v>
      </c>
      <c r="O18" s="490">
        <f>O16-O8</f>
        <v>0</v>
      </c>
      <c r="P18" s="99"/>
      <c r="Q18" s="157"/>
      <c r="S18" s="484"/>
      <c r="T18" s="489" t="s">
        <v>299</v>
      </c>
      <c r="U18" s="490">
        <f>U16-U8</f>
        <v>0</v>
      </c>
      <c r="V18" s="99"/>
      <c r="W18" s="157"/>
    </row>
    <row r="19" spans="1:23" ht="13" thickBot="1"/>
    <row r="20" spans="1:23" ht="13">
      <c r="A20" s="480">
        <v>2</v>
      </c>
      <c r="B20" s="497" t="s">
        <v>533</v>
      </c>
      <c r="C20" s="497"/>
      <c r="D20" s="497"/>
      <c r="E20" s="498"/>
      <c r="G20" s="480">
        <v>2</v>
      </c>
      <c r="H20" s="497" t="s">
        <v>533</v>
      </c>
      <c r="I20" s="497"/>
      <c r="J20" s="497"/>
      <c r="K20" s="498"/>
      <c r="M20" s="480">
        <v>2</v>
      </c>
      <c r="N20" s="497" t="s">
        <v>533</v>
      </c>
      <c r="O20" s="497"/>
      <c r="P20" s="497"/>
      <c r="Q20" s="498"/>
      <c r="S20" s="480">
        <v>2</v>
      </c>
      <c r="T20" s="497" t="s">
        <v>533</v>
      </c>
      <c r="U20" s="497"/>
      <c r="V20" s="497"/>
      <c r="W20" s="498"/>
    </row>
    <row r="21" spans="1:23">
      <c r="A21" s="483"/>
      <c r="B21" s="586" t="s">
        <v>534</v>
      </c>
      <c r="C21" s="587">
        <f>SUMIF(Equipos!$Q$6:$Q$55,A20,Equipos!$O$6:$O$55)</f>
        <v>0</v>
      </c>
      <c r="D21" s="586" t="s">
        <v>535</v>
      </c>
      <c r="E21" s="487">
        <v>0.11</v>
      </c>
      <c r="G21" s="483"/>
      <c r="H21" s="586" t="s">
        <v>534</v>
      </c>
      <c r="I21" s="587">
        <f>SUMIF('Productos 2'!$P$6:$P$15,G20,'Productos 2'!$N$6:$N$15)</f>
        <v>0</v>
      </c>
      <c r="J21" s="586" t="s">
        <v>535</v>
      </c>
      <c r="K21" s="487">
        <v>0.11</v>
      </c>
      <c r="M21" s="483"/>
      <c r="N21" s="586" t="s">
        <v>534</v>
      </c>
      <c r="O21" s="587">
        <f>SUMIF(MATERIALES!$P$6:$P$44,M20,MATERIALES!$N$6:$N$44)</f>
        <v>0</v>
      </c>
      <c r="P21" s="586" t="s">
        <v>535</v>
      </c>
      <c r="Q21" s="487">
        <v>0.11</v>
      </c>
      <c r="S21" s="483"/>
      <c r="T21" s="586" t="s">
        <v>534</v>
      </c>
      <c r="U21" s="587">
        <f>SUMIF('OPEX GV'!$P$6:$P$15,S20,'OPEX GV'!$N$6:$N$15)</f>
        <v>0</v>
      </c>
      <c r="V21" s="586" t="s">
        <v>535</v>
      </c>
      <c r="W21" s="487">
        <v>0.11</v>
      </c>
    </row>
    <row r="22" spans="1:23">
      <c r="A22" s="483"/>
      <c r="B22" s="586" t="s">
        <v>536</v>
      </c>
      <c r="C22" s="588">
        <v>0</v>
      </c>
      <c r="D22" s="586" t="s">
        <v>537</v>
      </c>
      <c r="E22" s="487">
        <v>0</v>
      </c>
      <c r="G22" s="483"/>
      <c r="H22" s="586" t="s">
        <v>536</v>
      </c>
      <c r="I22" s="588">
        <v>0</v>
      </c>
      <c r="J22" s="586" t="s">
        <v>537</v>
      </c>
      <c r="K22" s="487">
        <v>0</v>
      </c>
      <c r="M22" s="483"/>
      <c r="N22" s="586" t="s">
        <v>536</v>
      </c>
      <c r="O22" s="588">
        <v>0</v>
      </c>
      <c r="P22" s="586" t="s">
        <v>537</v>
      </c>
      <c r="Q22" s="487">
        <v>0</v>
      </c>
      <c r="S22" s="483"/>
      <c r="T22" s="586" t="s">
        <v>536</v>
      </c>
      <c r="U22" s="588">
        <v>0</v>
      </c>
      <c r="V22" s="586" t="s">
        <v>537</v>
      </c>
      <c r="W22" s="487">
        <v>0</v>
      </c>
    </row>
    <row r="23" spans="1:23">
      <c r="A23" s="483"/>
      <c r="B23" s="586" t="s">
        <v>538</v>
      </c>
      <c r="C23" s="588">
        <v>0</v>
      </c>
      <c r="D23" s="586"/>
      <c r="E23" s="40"/>
      <c r="G23" s="483"/>
      <c r="H23" s="586" t="s">
        <v>538</v>
      </c>
      <c r="I23" s="588">
        <v>0</v>
      </c>
      <c r="J23" s="586"/>
      <c r="K23" s="40"/>
      <c r="M23" s="483"/>
      <c r="N23" s="586" t="s">
        <v>538</v>
      </c>
      <c r="O23" s="588">
        <v>0</v>
      </c>
      <c r="P23" s="586"/>
      <c r="Q23" s="40"/>
      <c r="S23" s="483"/>
      <c r="T23" s="586" t="s">
        <v>538</v>
      </c>
      <c r="U23" s="588">
        <v>0</v>
      </c>
      <c r="V23" s="586"/>
      <c r="W23" s="40"/>
    </row>
    <row r="24" spans="1:23">
      <c r="A24" s="483"/>
      <c r="B24" s="586"/>
      <c r="C24" s="586"/>
      <c r="D24" s="586"/>
      <c r="E24" s="40"/>
      <c r="G24" s="483"/>
      <c r="H24" s="586"/>
      <c r="I24" s="586"/>
      <c r="J24" s="586"/>
      <c r="K24" s="40"/>
      <c r="M24" s="483"/>
      <c r="N24" s="586"/>
      <c r="O24" s="586"/>
      <c r="P24" s="586"/>
      <c r="Q24" s="40"/>
      <c r="S24" s="483"/>
      <c r="T24" s="586"/>
      <c r="U24" s="586"/>
      <c r="V24" s="586"/>
      <c r="W24" s="40"/>
    </row>
    <row r="25" spans="1:23" ht="13">
      <c r="A25" s="483"/>
      <c r="B25" s="589" t="s">
        <v>539</v>
      </c>
      <c r="C25" s="590">
        <f>C21-C22-C23</f>
        <v>0</v>
      </c>
      <c r="D25" s="586"/>
      <c r="E25" s="40"/>
      <c r="G25" s="483"/>
      <c r="H25" s="589" t="s">
        <v>539</v>
      </c>
      <c r="I25" s="590">
        <f>I21-I22-I23</f>
        <v>0</v>
      </c>
      <c r="J25" s="586"/>
      <c r="K25" s="40"/>
      <c r="M25" s="483"/>
      <c r="N25" s="589" t="s">
        <v>539</v>
      </c>
      <c r="O25" s="590">
        <f>O21-O22-O23</f>
        <v>0</v>
      </c>
      <c r="P25" s="586"/>
      <c r="Q25" s="40"/>
      <c r="S25" s="483"/>
      <c r="T25" s="589" t="s">
        <v>539</v>
      </c>
      <c r="U25" s="590">
        <f>U21-U22-U23</f>
        <v>0</v>
      </c>
      <c r="V25" s="586"/>
      <c r="W25" s="40"/>
    </row>
    <row r="26" spans="1:23">
      <c r="A26" s="483"/>
      <c r="B26" s="586" t="s">
        <v>540</v>
      </c>
      <c r="C26" s="591">
        <v>4</v>
      </c>
      <c r="D26" s="586"/>
      <c r="E26" s="40"/>
      <c r="G26" s="483"/>
      <c r="H26" s="586" t="s">
        <v>540</v>
      </c>
      <c r="I26" s="591">
        <v>4</v>
      </c>
      <c r="J26" s="586"/>
      <c r="K26" s="40"/>
      <c r="M26" s="483"/>
      <c r="N26" s="586" t="s">
        <v>540</v>
      </c>
      <c r="O26" s="591">
        <v>4</v>
      </c>
      <c r="P26" s="586"/>
      <c r="Q26" s="40"/>
      <c r="S26" s="483"/>
      <c r="T26" s="586" t="s">
        <v>540</v>
      </c>
      <c r="U26" s="591">
        <v>4</v>
      </c>
      <c r="V26" s="586"/>
      <c r="W26" s="40"/>
    </row>
    <row r="27" spans="1:23">
      <c r="A27" s="483"/>
      <c r="B27" s="586" t="s">
        <v>541</v>
      </c>
      <c r="C27" s="592">
        <f>C26*12</f>
        <v>48</v>
      </c>
      <c r="D27" s="586"/>
      <c r="E27" s="40"/>
      <c r="G27" s="483"/>
      <c r="H27" s="586" t="s">
        <v>541</v>
      </c>
      <c r="I27" s="592">
        <f>I26*12</f>
        <v>48</v>
      </c>
      <c r="J27" s="586"/>
      <c r="K27" s="40"/>
      <c r="M27" s="483"/>
      <c r="N27" s="586" t="s">
        <v>541</v>
      </c>
      <c r="O27" s="592">
        <f>O26*12</f>
        <v>48</v>
      </c>
      <c r="P27" s="586"/>
      <c r="Q27" s="40"/>
      <c r="S27" s="483"/>
      <c r="T27" s="586" t="s">
        <v>541</v>
      </c>
      <c r="U27" s="592">
        <f>U26*12</f>
        <v>48</v>
      </c>
      <c r="V27" s="586"/>
      <c r="W27" s="40"/>
    </row>
    <row r="28" spans="1:23">
      <c r="A28" s="483"/>
      <c r="B28" s="586"/>
      <c r="C28" s="586"/>
      <c r="D28" s="586"/>
      <c r="E28" s="40"/>
      <c r="G28" s="483"/>
      <c r="H28" s="586"/>
      <c r="I28" s="586"/>
      <c r="J28" s="586"/>
      <c r="K28" s="40"/>
      <c r="M28" s="483"/>
      <c r="N28" s="586"/>
      <c r="O28" s="586"/>
      <c r="P28" s="586"/>
      <c r="Q28" s="40"/>
      <c r="S28" s="483"/>
      <c r="T28" s="586"/>
      <c r="U28" s="586"/>
      <c r="V28" s="586"/>
      <c r="W28" s="40"/>
    </row>
    <row r="29" spans="1:23" ht="13">
      <c r="A29" s="483"/>
      <c r="B29" s="589" t="s">
        <v>542</v>
      </c>
      <c r="C29" s="590">
        <f>-PMT(E21/12,C27,C25)</f>
        <v>0</v>
      </c>
      <c r="D29" s="589" t="s">
        <v>543</v>
      </c>
      <c r="E29" s="488">
        <f>C29*12</f>
        <v>0</v>
      </c>
      <c r="G29" s="483"/>
      <c r="H29" s="589" t="s">
        <v>542</v>
      </c>
      <c r="I29" s="590">
        <f>-PMT(K21/12,I27,I25)</f>
        <v>0</v>
      </c>
      <c r="J29" s="589" t="s">
        <v>543</v>
      </c>
      <c r="K29" s="488">
        <f>I29*12</f>
        <v>0</v>
      </c>
      <c r="M29" s="483"/>
      <c r="N29" s="589" t="s">
        <v>542</v>
      </c>
      <c r="O29" s="590">
        <f>-PMT(Q21/12,O27,O25)</f>
        <v>0</v>
      </c>
      <c r="P29" s="589" t="s">
        <v>543</v>
      </c>
      <c r="Q29" s="488">
        <f>O29*12</f>
        <v>0</v>
      </c>
      <c r="S29" s="483"/>
      <c r="T29" s="589" t="s">
        <v>542</v>
      </c>
      <c r="U29" s="590">
        <f>-PMT(W21/12,U27,U25)</f>
        <v>0</v>
      </c>
      <c r="V29" s="589" t="s">
        <v>543</v>
      </c>
      <c r="W29" s="488">
        <f>U29*12</f>
        <v>0</v>
      </c>
    </row>
    <row r="30" spans="1:23">
      <c r="A30" s="483"/>
      <c r="B30" s="586"/>
      <c r="C30" s="586"/>
      <c r="D30" s="586"/>
      <c r="E30" s="40"/>
      <c r="G30" s="483"/>
      <c r="H30" s="586"/>
      <c r="I30" s="586"/>
      <c r="J30" s="586"/>
      <c r="K30" s="40"/>
      <c r="M30" s="483"/>
      <c r="N30" s="586"/>
      <c r="O30" s="586"/>
      <c r="P30" s="586"/>
      <c r="Q30" s="40"/>
      <c r="S30" s="483"/>
      <c r="T30" s="586"/>
      <c r="U30" s="586"/>
      <c r="V30" s="586"/>
      <c r="W30" s="40"/>
    </row>
    <row r="31" spans="1:23">
      <c r="A31" s="483"/>
      <c r="B31" s="586"/>
      <c r="C31" s="586"/>
      <c r="D31" s="586"/>
      <c r="E31" s="40"/>
      <c r="G31" s="483"/>
      <c r="H31" s="586"/>
      <c r="I31" s="586"/>
      <c r="J31" s="586"/>
      <c r="K31" s="40"/>
      <c r="M31" s="483"/>
      <c r="N31" s="586"/>
      <c r="O31" s="586"/>
      <c r="P31" s="586"/>
      <c r="Q31" s="40"/>
      <c r="S31" s="483"/>
      <c r="T31" s="586"/>
      <c r="U31" s="586"/>
      <c r="V31" s="586"/>
      <c r="W31" s="40"/>
    </row>
    <row r="32" spans="1:23">
      <c r="A32" s="483"/>
      <c r="B32" s="586" t="s">
        <v>241</v>
      </c>
      <c r="C32" s="586"/>
      <c r="D32" s="586"/>
      <c r="E32" s="40"/>
      <c r="G32" s="483"/>
      <c r="H32" s="586" t="s">
        <v>241</v>
      </c>
      <c r="I32" s="586"/>
      <c r="J32" s="586"/>
      <c r="K32" s="40"/>
      <c r="M32" s="483"/>
      <c r="N32" s="586" t="s">
        <v>241</v>
      </c>
      <c r="O32" s="586"/>
      <c r="P32" s="586"/>
      <c r="Q32" s="40"/>
      <c r="S32" s="483"/>
      <c r="T32" s="586" t="s">
        <v>241</v>
      </c>
      <c r="U32" s="586"/>
      <c r="V32" s="586"/>
      <c r="W32" s="40"/>
    </row>
    <row r="33" spans="1:23">
      <c r="A33" s="483"/>
      <c r="B33" s="586" t="s">
        <v>544</v>
      </c>
      <c r="C33" s="587">
        <f>C29*C27</f>
        <v>0</v>
      </c>
      <c r="D33" s="586"/>
      <c r="E33" s="40"/>
      <c r="G33" s="483"/>
      <c r="H33" s="586" t="s">
        <v>544</v>
      </c>
      <c r="I33" s="587">
        <f>I29*I27</f>
        <v>0</v>
      </c>
      <c r="J33" s="586"/>
      <c r="K33" s="40"/>
      <c r="M33" s="483"/>
      <c r="N33" s="586" t="s">
        <v>544</v>
      </c>
      <c r="O33" s="587">
        <f>O29*O27</f>
        <v>0</v>
      </c>
      <c r="P33" s="586"/>
      <c r="Q33" s="40"/>
      <c r="S33" s="483"/>
      <c r="T33" s="586" t="s">
        <v>544</v>
      </c>
      <c r="U33" s="587">
        <f>U29*U27</f>
        <v>0</v>
      </c>
      <c r="V33" s="586"/>
      <c r="W33" s="40"/>
    </row>
    <row r="34" spans="1:23">
      <c r="A34" s="483"/>
      <c r="B34" s="586"/>
      <c r="C34" s="586"/>
      <c r="D34" s="586"/>
      <c r="E34" s="40"/>
      <c r="G34" s="483"/>
      <c r="H34" s="586"/>
      <c r="I34" s="586"/>
      <c r="J34" s="586"/>
      <c r="K34" s="40"/>
      <c r="M34" s="483"/>
      <c r="N34" s="586"/>
      <c r="O34" s="586"/>
      <c r="P34" s="586"/>
      <c r="Q34" s="40"/>
      <c r="S34" s="483"/>
      <c r="T34" s="586"/>
      <c r="U34" s="586"/>
      <c r="V34" s="586"/>
      <c r="W34" s="40"/>
    </row>
    <row r="35" spans="1:23" ht="13.5" thickBot="1">
      <c r="A35" s="484"/>
      <c r="B35" s="489" t="s">
        <v>299</v>
      </c>
      <c r="C35" s="490">
        <f>C33-C25</f>
        <v>0</v>
      </c>
      <c r="D35" s="99"/>
      <c r="E35" s="157"/>
      <c r="G35" s="484"/>
      <c r="H35" s="489" t="s">
        <v>299</v>
      </c>
      <c r="I35" s="490">
        <f>I33-I25</f>
        <v>0</v>
      </c>
      <c r="J35" s="99"/>
      <c r="K35" s="157"/>
      <c r="M35" s="484"/>
      <c r="N35" s="489" t="s">
        <v>299</v>
      </c>
      <c r="O35" s="490">
        <f>O33-O25</f>
        <v>0</v>
      </c>
      <c r="P35" s="99"/>
      <c r="Q35" s="157"/>
      <c r="S35" s="484"/>
      <c r="T35" s="489" t="s">
        <v>299</v>
      </c>
      <c r="U35" s="490">
        <f>U33-U25</f>
        <v>0</v>
      </c>
      <c r="V35" s="99"/>
      <c r="W35" s="157"/>
    </row>
    <row r="36" spans="1:23" ht="13" thickBot="1"/>
    <row r="37" spans="1:23" ht="13">
      <c r="A37" s="480">
        <v>3</v>
      </c>
      <c r="B37" s="497" t="s">
        <v>533</v>
      </c>
      <c r="C37" s="497"/>
      <c r="D37" s="497"/>
      <c r="E37" s="498"/>
      <c r="G37" s="480">
        <v>3</v>
      </c>
      <c r="H37" s="497" t="s">
        <v>533</v>
      </c>
      <c r="I37" s="497"/>
      <c r="J37" s="497"/>
      <c r="K37" s="498"/>
      <c r="M37" s="480">
        <v>3</v>
      </c>
      <c r="N37" s="497" t="s">
        <v>533</v>
      </c>
      <c r="O37" s="497"/>
      <c r="P37" s="497"/>
      <c r="Q37" s="498"/>
      <c r="S37" s="480">
        <v>3</v>
      </c>
      <c r="T37" s="497" t="s">
        <v>533</v>
      </c>
      <c r="U37" s="497"/>
      <c r="V37" s="497"/>
      <c r="W37" s="498"/>
    </row>
    <row r="38" spans="1:23">
      <c r="A38" s="483"/>
      <c r="B38" s="586" t="s">
        <v>534</v>
      </c>
      <c r="C38" s="587">
        <f>SUMIF(Equipos!$Q$6:$Q$55,A37,Equipos!$O$6:$O$55)</f>
        <v>0</v>
      </c>
      <c r="D38" s="586" t="s">
        <v>535</v>
      </c>
      <c r="E38" s="487">
        <v>0.11</v>
      </c>
      <c r="G38" s="483"/>
      <c r="H38" s="586" t="s">
        <v>534</v>
      </c>
      <c r="I38" s="587">
        <f>SUMIF('Productos 2'!$P$6:$P$15,G37,'Productos 2'!$N$6:$N$15)</f>
        <v>0</v>
      </c>
      <c r="J38" s="586" t="s">
        <v>535</v>
      </c>
      <c r="K38" s="487">
        <v>0.11</v>
      </c>
      <c r="M38" s="483"/>
      <c r="N38" s="586" t="s">
        <v>534</v>
      </c>
      <c r="O38" s="587">
        <f>SUMIF(MATERIALES!$P$6:$P$44,M37,MATERIALES!$N$6:$N$44)</f>
        <v>0</v>
      </c>
      <c r="P38" s="586" t="s">
        <v>535</v>
      </c>
      <c r="Q38" s="487">
        <v>0.11</v>
      </c>
      <c r="S38" s="483"/>
      <c r="T38" s="586" t="s">
        <v>534</v>
      </c>
      <c r="U38" s="587">
        <f>SUMIF('OPEX GV'!$P$6:$P$15,S37,'OPEX GV'!$N$6:$N$15)</f>
        <v>0</v>
      </c>
      <c r="V38" s="586" t="s">
        <v>535</v>
      </c>
      <c r="W38" s="487">
        <v>0.11</v>
      </c>
    </row>
    <row r="39" spans="1:23">
      <c r="A39" s="483"/>
      <c r="B39" s="586" t="s">
        <v>536</v>
      </c>
      <c r="C39" s="588">
        <v>0</v>
      </c>
      <c r="D39" s="586" t="s">
        <v>537</v>
      </c>
      <c r="E39" s="487">
        <v>0</v>
      </c>
      <c r="G39" s="483"/>
      <c r="H39" s="586" t="s">
        <v>536</v>
      </c>
      <c r="I39" s="588">
        <v>0</v>
      </c>
      <c r="J39" s="586" t="s">
        <v>537</v>
      </c>
      <c r="K39" s="487">
        <v>0</v>
      </c>
      <c r="M39" s="483"/>
      <c r="N39" s="586" t="s">
        <v>536</v>
      </c>
      <c r="O39" s="588">
        <v>0</v>
      </c>
      <c r="P39" s="586" t="s">
        <v>537</v>
      </c>
      <c r="Q39" s="487">
        <v>0</v>
      </c>
      <c r="S39" s="483"/>
      <c r="T39" s="586" t="s">
        <v>536</v>
      </c>
      <c r="U39" s="588">
        <v>0</v>
      </c>
      <c r="V39" s="586" t="s">
        <v>537</v>
      </c>
      <c r="W39" s="487">
        <v>0</v>
      </c>
    </row>
    <row r="40" spans="1:23">
      <c r="A40" s="483"/>
      <c r="B40" s="586" t="s">
        <v>538</v>
      </c>
      <c r="C40" s="588">
        <v>0</v>
      </c>
      <c r="D40" s="586"/>
      <c r="E40" s="40"/>
      <c r="G40" s="483"/>
      <c r="H40" s="586" t="s">
        <v>538</v>
      </c>
      <c r="I40" s="588">
        <v>0</v>
      </c>
      <c r="J40" s="586"/>
      <c r="K40" s="40"/>
      <c r="M40" s="483"/>
      <c r="N40" s="586" t="s">
        <v>538</v>
      </c>
      <c r="O40" s="588">
        <v>0</v>
      </c>
      <c r="P40" s="586"/>
      <c r="Q40" s="40"/>
      <c r="S40" s="483"/>
      <c r="T40" s="586" t="s">
        <v>538</v>
      </c>
      <c r="U40" s="588">
        <v>0</v>
      </c>
      <c r="V40" s="586"/>
      <c r="W40" s="40"/>
    </row>
    <row r="41" spans="1:23">
      <c r="A41" s="483"/>
      <c r="B41" s="586"/>
      <c r="C41" s="586"/>
      <c r="D41" s="586"/>
      <c r="E41" s="40"/>
      <c r="G41" s="483"/>
      <c r="H41" s="586"/>
      <c r="I41" s="586"/>
      <c r="J41" s="586"/>
      <c r="K41" s="40"/>
      <c r="M41" s="483"/>
      <c r="N41" s="586"/>
      <c r="O41" s="586"/>
      <c r="P41" s="586"/>
      <c r="Q41" s="40"/>
      <c r="S41" s="483"/>
      <c r="T41" s="586"/>
      <c r="U41" s="586"/>
      <c r="V41" s="586"/>
      <c r="W41" s="40"/>
    </row>
    <row r="42" spans="1:23" ht="13">
      <c r="A42" s="483"/>
      <c r="B42" s="589" t="s">
        <v>539</v>
      </c>
      <c r="C42" s="590">
        <f>C38-C39-C40</f>
        <v>0</v>
      </c>
      <c r="D42" s="586"/>
      <c r="E42" s="40"/>
      <c r="G42" s="483"/>
      <c r="H42" s="589" t="s">
        <v>539</v>
      </c>
      <c r="I42" s="590">
        <f>I38-I39-I40</f>
        <v>0</v>
      </c>
      <c r="J42" s="586"/>
      <c r="K42" s="40"/>
      <c r="M42" s="483"/>
      <c r="N42" s="589" t="s">
        <v>539</v>
      </c>
      <c r="O42" s="590">
        <f>O38-O39-O40</f>
        <v>0</v>
      </c>
      <c r="P42" s="586"/>
      <c r="Q42" s="40"/>
      <c r="S42" s="483"/>
      <c r="T42" s="589" t="s">
        <v>539</v>
      </c>
      <c r="U42" s="590">
        <f>U38-U39-U40</f>
        <v>0</v>
      </c>
      <c r="V42" s="586"/>
      <c r="W42" s="40"/>
    </row>
    <row r="43" spans="1:23">
      <c r="A43" s="483"/>
      <c r="B43" s="586" t="s">
        <v>540</v>
      </c>
      <c r="C43" s="591">
        <v>4</v>
      </c>
      <c r="D43" s="586"/>
      <c r="E43" s="40"/>
      <c r="G43" s="483"/>
      <c r="H43" s="586" t="s">
        <v>540</v>
      </c>
      <c r="I43" s="591">
        <v>4</v>
      </c>
      <c r="J43" s="586"/>
      <c r="K43" s="40"/>
      <c r="M43" s="483"/>
      <c r="N43" s="586" t="s">
        <v>540</v>
      </c>
      <c r="O43" s="591">
        <v>4</v>
      </c>
      <c r="P43" s="586"/>
      <c r="Q43" s="40"/>
      <c r="S43" s="483"/>
      <c r="T43" s="586" t="s">
        <v>540</v>
      </c>
      <c r="U43" s="591">
        <v>4</v>
      </c>
      <c r="V43" s="586"/>
      <c r="W43" s="40"/>
    </row>
    <row r="44" spans="1:23">
      <c r="A44" s="483"/>
      <c r="B44" s="586" t="s">
        <v>541</v>
      </c>
      <c r="C44" s="592">
        <f>C43*12</f>
        <v>48</v>
      </c>
      <c r="D44" s="586"/>
      <c r="E44" s="40"/>
      <c r="G44" s="483"/>
      <c r="H44" s="586" t="s">
        <v>541</v>
      </c>
      <c r="I44" s="592">
        <f>I43*12</f>
        <v>48</v>
      </c>
      <c r="J44" s="586"/>
      <c r="K44" s="40"/>
      <c r="M44" s="483"/>
      <c r="N44" s="586" t="s">
        <v>541</v>
      </c>
      <c r="O44" s="592">
        <f>O43*12</f>
        <v>48</v>
      </c>
      <c r="P44" s="586"/>
      <c r="Q44" s="40"/>
      <c r="S44" s="483"/>
      <c r="T44" s="586" t="s">
        <v>541</v>
      </c>
      <c r="U44" s="592">
        <f>U43*12</f>
        <v>48</v>
      </c>
      <c r="V44" s="586"/>
      <c r="W44" s="40"/>
    </row>
    <row r="45" spans="1:23">
      <c r="A45" s="483"/>
      <c r="B45" s="586"/>
      <c r="C45" s="586"/>
      <c r="D45" s="586"/>
      <c r="E45" s="40"/>
      <c r="G45" s="483"/>
      <c r="H45" s="586"/>
      <c r="I45" s="586"/>
      <c r="J45" s="586"/>
      <c r="K45" s="40"/>
      <c r="M45" s="483"/>
      <c r="N45" s="586"/>
      <c r="O45" s="586"/>
      <c r="P45" s="586"/>
      <c r="Q45" s="40"/>
      <c r="S45" s="483"/>
      <c r="T45" s="586"/>
      <c r="U45" s="586"/>
      <c r="V45" s="586"/>
      <c r="W45" s="40"/>
    </row>
    <row r="46" spans="1:23" ht="13">
      <c r="A46" s="483"/>
      <c r="B46" s="589" t="s">
        <v>542</v>
      </c>
      <c r="C46" s="590">
        <f>-PMT(E38/12,C44,C42)</f>
        <v>0</v>
      </c>
      <c r="D46" s="589" t="s">
        <v>543</v>
      </c>
      <c r="E46" s="488">
        <f>C46*12</f>
        <v>0</v>
      </c>
      <c r="G46" s="483"/>
      <c r="H46" s="589" t="s">
        <v>542</v>
      </c>
      <c r="I46" s="590">
        <f>-PMT(K38/12,I44,I42)</f>
        <v>0</v>
      </c>
      <c r="J46" s="589" t="s">
        <v>543</v>
      </c>
      <c r="K46" s="488">
        <f>I46*12</f>
        <v>0</v>
      </c>
      <c r="M46" s="483"/>
      <c r="N46" s="589" t="s">
        <v>542</v>
      </c>
      <c r="O46" s="590">
        <f>-PMT(Q38/12,O44,O42)</f>
        <v>0</v>
      </c>
      <c r="P46" s="589" t="s">
        <v>543</v>
      </c>
      <c r="Q46" s="488">
        <f>O46*12</f>
        <v>0</v>
      </c>
      <c r="S46" s="483"/>
      <c r="T46" s="589" t="s">
        <v>542</v>
      </c>
      <c r="U46" s="590">
        <f>-PMT(W38/12,U44,U42)</f>
        <v>0</v>
      </c>
      <c r="V46" s="589" t="s">
        <v>543</v>
      </c>
      <c r="W46" s="488">
        <f>U46*12</f>
        <v>0</v>
      </c>
    </row>
    <row r="47" spans="1:23">
      <c r="A47" s="483"/>
      <c r="B47" s="586"/>
      <c r="C47" s="586"/>
      <c r="D47" s="586"/>
      <c r="E47" s="40"/>
      <c r="G47" s="483"/>
      <c r="H47" s="586"/>
      <c r="I47" s="586"/>
      <c r="J47" s="586"/>
      <c r="K47" s="40"/>
      <c r="M47" s="483"/>
      <c r="N47" s="586"/>
      <c r="O47" s="586"/>
      <c r="P47" s="586"/>
      <c r="Q47" s="40"/>
      <c r="S47" s="483"/>
      <c r="T47" s="586"/>
      <c r="U47" s="586"/>
      <c r="V47" s="586"/>
      <c r="W47" s="40"/>
    </row>
    <row r="48" spans="1:23">
      <c r="A48" s="483"/>
      <c r="B48" s="586"/>
      <c r="C48" s="586"/>
      <c r="D48" s="586"/>
      <c r="E48" s="40"/>
      <c r="G48" s="483"/>
      <c r="H48" s="586"/>
      <c r="I48" s="586"/>
      <c r="J48" s="586"/>
      <c r="K48" s="40"/>
      <c r="M48" s="483"/>
      <c r="N48" s="586"/>
      <c r="O48" s="586"/>
      <c r="P48" s="586"/>
      <c r="Q48" s="40"/>
      <c r="S48" s="483"/>
      <c r="T48" s="586"/>
      <c r="U48" s="586"/>
      <c r="V48" s="586"/>
      <c r="W48" s="40"/>
    </row>
    <row r="49" spans="1:23">
      <c r="A49" s="483"/>
      <c r="B49" s="586" t="s">
        <v>241</v>
      </c>
      <c r="C49" s="586"/>
      <c r="D49" s="586"/>
      <c r="E49" s="40"/>
      <c r="G49" s="483"/>
      <c r="H49" s="586" t="s">
        <v>241</v>
      </c>
      <c r="I49" s="586"/>
      <c r="J49" s="586"/>
      <c r="K49" s="40"/>
      <c r="M49" s="483"/>
      <c r="N49" s="586" t="s">
        <v>241</v>
      </c>
      <c r="O49" s="586"/>
      <c r="P49" s="586"/>
      <c r="Q49" s="40"/>
      <c r="S49" s="483"/>
      <c r="T49" s="586" t="s">
        <v>241</v>
      </c>
      <c r="U49" s="586"/>
      <c r="V49" s="586"/>
      <c r="W49" s="40"/>
    </row>
    <row r="50" spans="1:23">
      <c r="A50" s="483"/>
      <c r="B50" s="586" t="s">
        <v>544</v>
      </c>
      <c r="C50" s="587">
        <f>C46*C44</f>
        <v>0</v>
      </c>
      <c r="D50" s="586"/>
      <c r="E50" s="40"/>
      <c r="G50" s="483"/>
      <c r="H50" s="586" t="s">
        <v>544</v>
      </c>
      <c r="I50" s="587">
        <f>I46*I44</f>
        <v>0</v>
      </c>
      <c r="J50" s="586"/>
      <c r="K50" s="40"/>
      <c r="M50" s="483"/>
      <c r="N50" s="586" t="s">
        <v>544</v>
      </c>
      <c r="O50" s="587">
        <f>O46*O44</f>
        <v>0</v>
      </c>
      <c r="P50" s="586"/>
      <c r="Q50" s="40"/>
      <c r="S50" s="483"/>
      <c r="T50" s="586" t="s">
        <v>544</v>
      </c>
      <c r="U50" s="587">
        <f>U46*U44</f>
        <v>0</v>
      </c>
      <c r="V50" s="586"/>
      <c r="W50" s="40"/>
    </row>
    <row r="51" spans="1:23">
      <c r="A51" s="483"/>
      <c r="B51" s="586"/>
      <c r="C51" s="586"/>
      <c r="D51" s="586"/>
      <c r="E51" s="40"/>
      <c r="G51" s="483"/>
      <c r="H51" s="586"/>
      <c r="I51" s="586"/>
      <c r="J51" s="586"/>
      <c r="K51" s="40"/>
      <c r="M51" s="483"/>
      <c r="N51" s="586"/>
      <c r="O51" s="586"/>
      <c r="P51" s="586"/>
      <c r="Q51" s="40"/>
      <c r="S51" s="483"/>
      <c r="T51" s="586"/>
      <c r="U51" s="586"/>
      <c r="V51" s="586"/>
      <c r="W51" s="40"/>
    </row>
    <row r="52" spans="1:23" ht="13.5" thickBot="1">
      <c r="A52" s="484"/>
      <c r="B52" s="489" t="s">
        <v>299</v>
      </c>
      <c r="C52" s="490">
        <f>C50-C42</f>
        <v>0</v>
      </c>
      <c r="D52" s="99"/>
      <c r="E52" s="157"/>
      <c r="G52" s="484"/>
      <c r="H52" s="489" t="s">
        <v>299</v>
      </c>
      <c r="I52" s="490">
        <f>I50-I42</f>
        <v>0</v>
      </c>
      <c r="J52" s="99"/>
      <c r="K52" s="157"/>
      <c r="M52" s="484"/>
      <c r="N52" s="489" t="s">
        <v>299</v>
      </c>
      <c r="O52" s="490">
        <f>O50-O42</f>
        <v>0</v>
      </c>
      <c r="P52" s="99"/>
      <c r="Q52" s="157"/>
      <c r="S52" s="484"/>
      <c r="T52" s="489" t="s">
        <v>299</v>
      </c>
      <c r="U52" s="490">
        <f>U50-U42</f>
        <v>0</v>
      </c>
      <c r="V52" s="99"/>
      <c r="W52" s="157"/>
    </row>
    <row r="53" spans="1:23" ht="13" thickBot="1"/>
    <row r="54" spans="1:23" ht="13">
      <c r="A54" s="480">
        <v>4</v>
      </c>
      <c r="B54" s="497" t="s">
        <v>533</v>
      </c>
      <c r="C54" s="497"/>
      <c r="D54" s="497"/>
      <c r="E54" s="498"/>
      <c r="G54" s="480">
        <v>4</v>
      </c>
      <c r="H54" s="497" t="s">
        <v>533</v>
      </c>
      <c r="I54" s="497"/>
      <c r="J54" s="497"/>
      <c r="K54" s="498"/>
      <c r="M54" s="480">
        <v>4</v>
      </c>
      <c r="N54" s="497" t="s">
        <v>533</v>
      </c>
      <c r="O54" s="497"/>
      <c r="P54" s="497"/>
      <c r="Q54" s="498"/>
      <c r="S54" s="480">
        <v>4</v>
      </c>
      <c r="T54" s="497" t="s">
        <v>533</v>
      </c>
      <c r="U54" s="497"/>
      <c r="V54" s="497"/>
      <c r="W54" s="498"/>
    </row>
    <row r="55" spans="1:23">
      <c r="A55" s="483"/>
      <c r="B55" s="586" t="s">
        <v>534</v>
      </c>
      <c r="C55" s="587">
        <f>SUMIF(Equipos!$Q$6:$Q$55,A54,Equipos!$O$6:$O$55)</f>
        <v>0</v>
      </c>
      <c r="D55" s="586" t="s">
        <v>535</v>
      </c>
      <c r="E55" s="487">
        <v>0.11</v>
      </c>
      <c r="G55" s="483"/>
      <c r="H55" s="586" t="s">
        <v>534</v>
      </c>
      <c r="I55" s="587">
        <f>SUMIF('Productos 2'!$P$6:$P$15,G54,'Productos 2'!$N$6:$N$15)</f>
        <v>0</v>
      </c>
      <c r="J55" s="586" t="s">
        <v>535</v>
      </c>
      <c r="K55" s="487">
        <v>0.11</v>
      </c>
      <c r="M55" s="483"/>
      <c r="N55" s="586" t="s">
        <v>534</v>
      </c>
      <c r="O55" s="587">
        <f>SUMIF(MATERIALES!$P$6:$P$44,M54,MATERIALES!$N$6:$N$44)</f>
        <v>0</v>
      </c>
      <c r="P55" s="586" t="s">
        <v>535</v>
      </c>
      <c r="Q55" s="487">
        <v>0.11</v>
      </c>
      <c r="S55" s="483"/>
      <c r="T55" s="586" t="s">
        <v>534</v>
      </c>
      <c r="U55" s="587">
        <f>SUMIF('OPEX GV'!$P$6:$P$15,S54,'OPEX GV'!$N$6:$N$15)</f>
        <v>0</v>
      </c>
      <c r="V55" s="586" t="s">
        <v>535</v>
      </c>
      <c r="W55" s="487">
        <v>0.11</v>
      </c>
    </row>
    <row r="56" spans="1:23">
      <c r="A56" s="483"/>
      <c r="B56" s="586" t="s">
        <v>536</v>
      </c>
      <c r="C56" s="588">
        <v>0</v>
      </c>
      <c r="D56" s="586" t="s">
        <v>537</v>
      </c>
      <c r="E56" s="487">
        <v>0</v>
      </c>
      <c r="G56" s="483"/>
      <c r="H56" s="586" t="s">
        <v>536</v>
      </c>
      <c r="I56" s="588">
        <v>0</v>
      </c>
      <c r="J56" s="586" t="s">
        <v>537</v>
      </c>
      <c r="K56" s="487">
        <v>0</v>
      </c>
      <c r="M56" s="483"/>
      <c r="N56" s="586" t="s">
        <v>536</v>
      </c>
      <c r="O56" s="588">
        <v>0</v>
      </c>
      <c r="P56" s="586" t="s">
        <v>537</v>
      </c>
      <c r="Q56" s="487">
        <v>0</v>
      </c>
      <c r="S56" s="483"/>
      <c r="T56" s="586" t="s">
        <v>536</v>
      </c>
      <c r="U56" s="588">
        <v>0</v>
      </c>
      <c r="V56" s="586" t="s">
        <v>537</v>
      </c>
      <c r="W56" s="487">
        <v>0</v>
      </c>
    </row>
    <row r="57" spans="1:23">
      <c r="A57" s="483"/>
      <c r="B57" s="586" t="s">
        <v>538</v>
      </c>
      <c r="C57" s="588">
        <v>0</v>
      </c>
      <c r="D57" s="586"/>
      <c r="E57" s="40"/>
      <c r="G57" s="483"/>
      <c r="H57" s="586" t="s">
        <v>538</v>
      </c>
      <c r="I57" s="588">
        <v>0</v>
      </c>
      <c r="J57" s="586"/>
      <c r="K57" s="40"/>
      <c r="M57" s="483"/>
      <c r="N57" s="586" t="s">
        <v>538</v>
      </c>
      <c r="O57" s="588">
        <v>0</v>
      </c>
      <c r="P57" s="586"/>
      <c r="Q57" s="40"/>
      <c r="S57" s="483"/>
      <c r="T57" s="586" t="s">
        <v>538</v>
      </c>
      <c r="U57" s="588">
        <v>0</v>
      </c>
      <c r="V57" s="586"/>
      <c r="W57" s="40"/>
    </row>
    <row r="58" spans="1:23">
      <c r="A58" s="483"/>
      <c r="B58" s="586"/>
      <c r="C58" s="586"/>
      <c r="D58" s="586"/>
      <c r="E58" s="40"/>
      <c r="G58" s="483"/>
      <c r="H58" s="586"/>
      <c r="I58" s="586"/>
      <c r="J58" s="586"/>
      <c r="K58" s="40"/>
      <c r="M58" s="483"/>
      <c r="N58" s="586"/>
      <c r="O58" s="586"/>
      <c r="P58" s="586"/>
      <c r="Q58" s="40"/>
      <c r="S58" s="483"/>
      <c r="T58" s="586"/>
      <c r="U58" s="586"/>
      <c r="V58" s="586"/>
      <c r="W58" s="40"/>
    </row>
    <row r="59" spans="1:23" ht="13">
      <c r="A59" s="483"/>
      <c r="B59" s="589" t="s">
        <v>539</v>
      </c>
      <c r="C59" s="590">
        <f>C55-C56-C57</f>
        <v>0</v>
      </c>
      <c r="D59" s="586"/>
      <c r="E59" s="40"/>
      <c r="G59" s="483"/>
      <c r="H59" s="589" t="s">
        <v>539</v>
      </c>
      <c r="I59" s="590">
        <f>I55-I56-I57</f>
        <v>0</v>
      </c>
      <c r="J59" s="586"/>
      <c r="K59" s="40"/>
      <c r="M59" s="483"/>
      <c r="N59" s="589" t="s">
        <v>539</v>
      </c>
      <c r="O59" s="590">
        <f>O55-O56-O57</f>
        <v>0</v>
      </c>
      <c r="P59" s="586"/>
      <c r="Q59" s="40"/>
      <c r="S59" s="483"/>
      <c r="T59" s="589" t="s">
        <v>539</v>
      </c>
      <c r="U59" s="590">
        <f>U55-U56-U57</f>
        <v>0</v>
      </c>
      <c r="V59" s="586"/>
      <c r="W59" s="40"/>
    </row>
    <row r="60" spans="1:23">
      <c r="A60" s="483"/>
      <c r="B60" s="586" t="s">
        <v>540</v>
      </c>
      <c r="C60" s="591">
        <v>4</v>
      </c>
      <c r="D60" s="586"/>
      <c r="E60" s="40"/>
      <c r="G60" s="483"/>
      <c r="H60" s="586" t="s">
        <v>540</v>
      </c>
      <c r="I60" s="591">
        <v>4</v>
      </c>
      <c r="J60" s="586"/>
      <c r="K60" s="40"/>
      <c r="M60" s="483"/>
      <c r="N60" s="586" t="s">
        <v>540</v>
      </c>
      <c r="O60" s="591">
        <v>4</v>
      </c>
      <c r="P60" s="586"/>
      <c r="Q60" s="40"/>
      <c r="S60" s="483"/>
      <c r="T60" s="586" t="s">
        <v>540</v>
      </c>
      <c r="U60" s="591">
        <v>4</v>
      </c>
      <c r="V60" s="586"/>
      <c r="W60" s="40"/>
    </row>
    <row r="61" spans="1:23">
      <c r="A61" s="483"/>
      <c r="B61" s="586" t="s">
        <v>541</v>
      </c>
      <c r="C61" s="592">
        <f>C60*12</f>
        <v>48</v>
      </c>
      <c r="D61" s="586"/>
      <c r="E61" s="40"/>
      <c r="G61" s="483"/>
      <c r="H61" s="586" t="s">
        <v>541</v>
      </c>
      <c r="I61" s="592">
        <f>I60*12</f>
        <v>48</v>
      </c>
      <c r="J61" s="586"/>
      <c r="K61" s="40"/>
      <c r="M61" s="483"/>
      <c r="N61" s="586" t="s">
        <v>541</v>
      </c>
      <c r="O61" s="592">
        <f>O60*12</f>
        <v>48</v>
      </c>
      <c r="P61" s="586"/>
      <c r="Q61" s="40"/>
      <c r="S61" s="483"/>
      <c r="T61" s="586" t="s">
        <v>541</v>
      </c>
      <c r="U61" s="592">
        <f>U60*12</f>
        <v>48</v>
      </c>
      <c r="V61" s="586"/>
      <c r="W61" s="40"/>
    </row>
    <row r="62" spans="1:23">
      <c r="A62" s="483"/>
      <c r="B62" s="586"/>
      <c r="C62" s="586"/>
      <c r="D62" s="586"/>
      <c r="E62" s="40"/>
      <c r="G62" s="483"/>
      <c r="H62" s="586"/>
      <c r="I62" s="586"/>
      <c r="J62" s="586"/>
      <c r="K62" s="40"/>
      <c r="M62" s="483"/>
      <c r="N62" s="586"/>
      <c r="O62" s="586"/>
      <c r="P62" s="586"/>
      <c r="Q62" s="40"/>
      <c r="S62" s="483"/>
      <c r="T62" s="586"/>
      <c r="U62" s="586"/>
      <c r="V62" s="586"/>
      <c r="W62" s="40"/>
    </row>
    <row r="63" spans="1:23" ht="13">
      <c r="A63" s="483"/>
      <c r="B63" s="589" t="s">
        <v>542</v>
      </c>
      <c r="C63" s="590">
        <f>-PMT(E55/12,C61,C59)</f>
        <v>0</v>
      </c>
      <c r="D63" s="589" t="s">
        <v>543</v>
      </c>
      <c r="E63" s="488">
        <f>C63*12</f>
        <v>0</v>
      </c>
      <c r="G63" s="483"/>
      <c r="H63" s="589" t="s">
        <v>542</v>
      </c>
      <c r="I63" s="590">
        <f>-PMT(K55/12,I61,I59)</f>
        <v>0</v>
      </c>
      <c r="J63" s="589" t="s">
        <v>543</v>
      </c>
      <c r="K63" s="488">
        <f>I63*12</f>
        <v>0</v>
      </c>
      <c r="M63" s="483"/>
      <c r="N63" s="589" t="s">
        <v>542</v>
      </c>
      <c r="O63" s="590">
        <f>-PMT(Q55/12,O61,O59)</f>
        <v>0</v>
      </c>
      <c r="P63" s="589" t="s">
        <v>543</v>
      </c>
      <c r="Q63" s="488">
        <f>O63*12</f>
        <v>0</v>
      </c>
      <c r="S63" s="483"/>
      <c r="T63" s="589" t="s">
        <v>542</v>
      </c>
      <c r="U63" s="590">
        <f>-PMT(W55/12,U61,U59)</f>
        <v>0</v>
      </c>
      <c r="V63" s="589" t="s">
        <v>543</v>
      </c>
      <c r="W63" s="488">
        <f>U63*12</f>
        <v>0</v>
      </c>
    </row>
    <row r="64" spans="1:23">
      <c r="A64" s="483"/>
      <c r="B64" s="586"/>
      <c r="C64" s="586"/>
      <c r="D64" s="586"/>
      <c r="E64" s="40"/>
      <c r="G64" s="483"/>
      <c r="H64" s="586"/>
      <c r="I64" s="586"/>
      <c r="J64" s="586"/>
      <c r="K64" s="40"/>
      <c r="M64" s="483"/>
      <c r="N64" s="586"/>
      <c r="O64" s="586"/>
      <c r="P64" s="586"/>
      <c r="Q64" s="40"/>
      <c r="S64" s="483"/>
      <c r="T64" s="586"/>
      <c r="U64" s="586"/>
      <c r="V64" s="586"/>
      <c r="W64" s="40"/>
    </row>
    <row r="65" spans="1:23">
      <c r="A65" s="483"/>
      <c r="B65" s="586"/>
      <c r="C65" s="586"/>
      <c r="D65" s="586"/>
      <c r="E65" s="40"/>
      <c r="G65" s="483"/>
      <c r="H65" s="586"/>
      <c r="I65" s="586"/>
      <c r="J65" s="586"/>
      <c r="K65" s="40"/>
      <c r="M65" s="483"/>
      <c r="N65" s="586"/>
      <c r="O65" s="586"/>
      <c r="P65" s="586"/>
      <c r="Q65" s="40"/>
      <c r="S65" s="483"/>
      <c r="T65" s="586"/>
      <c r="U65" s="586"/>
      <c r="V65" s="586"/>
      <c r="W65" s="40"/>
    </row>
    <row r="66" spans="1:23">
      <c r="A66" s="483"/>
      <c r="B66" s="586" t="s">
        <v>241</v>
      </c>
      <c r="C66" s="586"/>
      <c r="D66" s="586"/>
      <c r="E66" s="40"/>
      <c r="G66" s="483"/>
      <c r="H66" s="586" t="s">
        <v>241</v>
      </c>
      <c r="I66" s="586"/>
      <c r="J66" s="586"/>
      <c r="K66" s="40"/>
      <c r="M66" s="483"/>
      <c r="N66" s="586" t="s">
        <v>241</v>
      </c>
      <c r="O66" s="586"/>
      <c r="P66" s="586"/>
      <c r="Q66" s="40"/>
      <c r="S66" s="483"/>
      <c r="T66" s="586" t="s">
        <v>241</v>
      </c>
      <c r="U66" s="586"/>
      <c r="V66" s="586"/>
      <c r="W66" s="40"/>
    </row>
    <row r="67" spans="1:23">
      <c r="A67" s="483"/>
      <c r="B67" s="586" t="s">
        <v>544</v>
      </c>
      <c r="C67" s="587">
        <f>C63*C61</f>
        <v>0</v>
      </c>
      <c r="D67" s="586"/>
      <c r="E67" s="40"/>
      <c r="G67" s="483"/>
      <c r="H67" s="586" t="s">
        <v>544</v>
      </c>
      <c r="I67" s="587">
        <f>I63*I61</f>
        <v>0</v>
      </c>
      <c r="J67" s="586"/>
      <c r="K67" s="40"/>
      <c r="M67" s="483"/>
      <c r="N67" s="586" t="s">
        <v>544</v>
      </c>
      <c r="O67" s="587">
        <f>O63*O61</f>
        <v>0</v>
      </c>
      <c r="P67" s="586"/>
      <c r="Q67" s="40"/>
      <c r="S67" s="483"/>
      <c r="T67" s="586" t="s">
        <v>544</v>
      </c>
      <c r="U67" s="587">
        <f>U63*U61</f>
        <v>0</v>
      </c>
      <c r="V67" s="586"/>
      <c r="W67" s="40"/>
    </row>
    <row r="68" spans="1:23">
      <c r="A68" s="483"/>
      <c r="B68" s="586"/>
      <c r="C68" s="586"/>
      <c r="D68" s="586"/>
      <c r="E68" s="40"/>
      <c r="G68" s="483"/>
      <c r="H68" s="586"/>
      <c r="I68" s="586"/>
      <c r="J68" s="586"/>
      <c r="K68" s="40"/>
      <c r="M68" s="483"/>
      <c r="N68" s="586"/>
      <c r="O68" s="586"/>
      <c r="P68" s="586"/>
      <c r="Q68" s="40"/>
      <c r="S68" s="483"/>
      <c r="T68" s="586"/>
      <c r="U68" s="586"/>
      <c r="V68" s="586"/>
      <c r="W68" s="40"/>
    </row>
    <row r="69" spans="1:23" ht="13.5" thickBot="1">
      <c r="A69" s="484"/>
      <c r="B69" s="489" t="s">
        <v>299</v>
      </c>
      <c r="C69" s="490">
        <f>C67-C59</f>
        <v>0</v>
      </c>
      <c r="D69" s="99"/>
      <c r="E69" s="157"/>
      <c r="G69" s="484"/>
      <c r="H69" s="489" t="s">
        <v>299</v>
      </c>
      <c r="I69" s="490">
        <f>I67-I59</f>
        <v>0</v>
      </c>
      <c r="J69" s="99"/>
      <c r="K69" s="157"/>
      <c r="M69" s="484"/>
      <c r="N69" s="489" t="s">
        <v>299</v>
      </c>
      <c r="O69" s="490">
        <f>O67-O59</f>
        <v>0</v>
      </c>
      <c r="P69" s="99"/>
      <c r="Q69" s="157"/>
      <c r="S69" s="484"/>
      <c r="T69" s="489" t="s">
        <v>299</v>
      </c>
      <c r="U69" s="490">
        <f>U67-U59</f>
        <v>0</v>
      </c>
      <c r="V69" s="99"/>
      <c r="W69" s="157"/>
    </row>
    <row r="70" spans="1:23" ht="13" thickBot="1"/>
    <row r="71" spans="1:23" ht="13">
      <c r="A71" s="480">
        <v>5</v>
      </c>
      <c r="B71" s="497" t="s">
        <v>533</v>
      </c>
      <c r="C71" s="497"/>
      <c r="D71" s="497"/>
      <c r="E71" s="498"/>
      <c r="G71" s="480">
        <v>5</v>
      </c>
      <c r="H71" s="497" t="s">
        <v>533</v>
      </c>
      <c r="I71" s="497"/>
      <c r="J71" s="497"/>
      <c r="K71" s="498"/>
      <c r="M71" s="480">
        <v>5</v>
      </c>
      <c r="N71" s="497" t="s">
        <v>533</v>
      </c>
      <c r="O71" s="497"/>
      <c r="P71" s="497"/>
      <c r="Q71" s="498"/>
      <c r="S71" s="480">
        <v>5</v>
      </c>
      <c r="T71" s="497" t="s">
        <v>533</v>
      </c>
      <c r="U71" s="497"/>
      <c r="V71" s="497"/>
      <c r="W71" s="498"/>
    </row>
    <row r="72" spans="1:23">
      <c r="A72" s="483"/>
      <c r="B72" s="586" t="s">
        <v>534</v>
      </c>
      <c r="C72" s="587">
        <f>SUMIF(Equipos!$Q$6:$Q$55,A71,Equipos!$O$6:$O$55)</f>
        <v>0</v>
      </c>
      <c r="D72" s="586" t="s">
        <v>535</v>
      </c>
      <c r="E72" s="487">
        <v>0.11</v>
      </c>
      <c r="G72" s="483"/>
      <c r="H72" s="586" t="s">
        <v>534</v>
      </c>
      <c r="I72" s="587">
        <f>SUMIF('Productos 2'!$P$6:$P$15,G71,'Productos 2'!$N$6:$N$15)</f>
        <v>0</v>
      </c>
      <c r="J72" s="586" t="s">
        <v>535</v>
      </c>
      <c r="K72" s="487">
        <v>0.11</v>
      </c>
      <c r="M72" s="483"/>
      <c r="N72" s="586" t="s">
        <v>534</v>
      </c>
      <c r="O72" s="587">
        <f>SUMIF(MATERIALES!$P$6:$P$44,M71,MATERIALES!$N$6:$N$44)</f>
        <v>0</v>
      </c>
      <c r="P72" s="586" t="s">
        <v>535</v>
      </c>
      <c r="Q72" s="487">
        <v>0.11</v>
      </c>
      <c r="S72" s="483"/>
      <c r="T72" s="586" t="s">
        <v>534</v>
      </c>
      <c r="U72" s="587">
        <f>SUMIF('OPEX GV'!$P$6:$P$15,S71,'OPEX GV'!$N$6:$N$15)</f>
        <v>0</v>
      </c>
      <c r="V72" s="586" t="s">
        <v>535</v>
      </c>
      <c r="W72" s="487">
        <v>0.11</v>
      </c>
    </row>
    <row r="73" spans="1:23">
      <c r="A73" s="483"/>
      <c r="B73" s="586" t="s">
        <v>536</v>
      </c>
      <c r="C73" s="588">
        <v>0</v>
      </c>
      <c r="D73" s="586" t="s">
        <v>537</v>
      </c>
      <c r="E73" s="487">
        <v>0</v>
      </c>
      <c r="G73" s="483"/>
      <c r="H73" s="586" t="s">
        <v>536</v>
      </c>
      <c r="I73" s="588">
        <v>0</v>
      </c>
      <c r="J73" s="586" t="s">
        <v>537</v>
      </c>
      <c r="K73" s="487">
        <v>0</v>
      </c>
      <c r="M73" s="483"/>
      <c r="N73" s="586" t="s">
        <v>536</v>
      </c>
      <c r="O73" s="588">
        <v>0</v>
      </c>
      <c r="P73" s="586" t="s">
        <v>537</v>
      </c>
      <c r="Q73" s="487">
        <v>0</v>
      </c>
      <c r="S73" s="483"/>
      <c r="T73" s="586" t="s">
        <v>536</v>
      </c>
      <c r="U73" s="588">
        <v>0</v>
      </c>
      <c r="V73" s="586" t="s">
        <v>537</v>
      </c>
      <c r="W73" s="487">
        <v>0</v>
      </c>
    </row>
    <row r="74" spans="1:23">
      <c r="A74" s="483"/>
      <c r="B74" s="586" t="s">
        <v>538</v>
      </c>
      <c r="C74" s="588">
        <v>0</v>
      </c>
      <c r="D74" s="586"/>
      <c r="E74" s="40"/>
      <c r="G74" s="483"/>
      <c r="H74" s="586" t="s">
        <v>538</v>
      </c>
      <c r="I74" s="588">
        <v>0</v>
      </c>
      <c r="J74" s="586"/>
      <c r="K74" s="40"/>
      <c r="M74" s="483"/>
      <c r="N74" s="586" t="s">
        <v>538</v>
      </c>
      <c r="O74" s="588">
        <v>0</v>
      </c>
      <c r="P74" s="586"/>
      <c r="Q74" s="40"/>
      <c r="S74" s="483"/>
      <c r="T74" s="586" t="s">
        <v>538</v>
      </c>
      <c r="U74" s="588">
        <v>0</v>
      </c>
      <c r="V74" s="586"/>
      <c r="W74" s="40"/>
    </row>
    <row r="75" spans="1:23">
      <c r="A75" s="483"/>
      <c r="B75" s="586"/>
      <c r="C75" s="586"/>
      <c r="D75" s="586"/>
      <c r="E75" s="40"/>
      <c r="G75" s="483"/>
      <c r="H75" s="586"/>
      <c r="I75" s="586"/>
      <c r="J75" s="586"/>
      <c r="K75" s="40"/>
      <c r="M75" s="483"/>
      <c r="N75" s="586"/>
      <c r="O75" s="586"/>
      <c r="P75" s="586"/>
      <c r="Q75" s="40"/>
      <c r="S75" s="483"/>
      <c r="T75" s="586"/>
      <c r="U75" s="586"/>
      <c r="V75" s="586"/>
      <c r="W75" s="40"/>
    </row>
    <row r="76" spans="1:23" ht="13">
      <c r="A76" s="483"/>
      <c r="B76" s="589" t="s">
        <v>539</v>
      </c>
      <c r="C76" s="590">
        <f>C72-C73-C74</f>
        <v>0</v>
      </c>
      <c r="D76" s="586"/>
      <c r="E76" s="40"/>
      <c r="G76" s="483"/>
      <c r="H76" s="589" t="s">
        <v>539</v>
      </c>
      <c r="I76" s="590">
        <f>I72-I73-I74</f>
        <v>0</v>
      </c>
      <c r="J76" s="586"/>
      <c r="K76" s="40"/>
      <c r="M76" s="483"/>
      <c r="N76" s="589" t="s">
        <v>539</v>
      </c>
      <c r="O76" s="590">
        <f>O72-O73-O74</f>
        <v>0</v>
      </c>
      <c r="P76" s="586"/>
      <c r="Q76" s="40"/>
      <c r="S76" s="483"/>
      <c r="T76" s="589" t="s">
        <v>539</v>
      </c>
      <c r="U76" s="590">
        <f>U72-U73-U74</f>
        <v>0</v>
      </c>
      <c r="V76" s="586"/>
      <c r="W76" s="40"/>
    </row>
    <row r="77" spans="1:23">
      <c r="A77" s="483"/>
      <c r="B77" s="586" t="s">
        <v>540</v>
      </c>
      <c r="C77" s="591">
        <v>4</v>
      </c>
      <c r="D77" s="586"/>
      <c r="E77" s="40"/>
      <c r="G77" s="483"/>
      <c r="H77" s="586" t="s">
        <v>540</v>
      </c>
      <c r="I77" s="591">
        <v>4</v>
      </c>
      <c r="J77" s="586"/>
      <c r="K77" s="40"/>
      <c r="M77" s="483"/>
      <c r="N77" s="586" t="s">
        <v>540</v>
      </c>
      <c r="O77" s="591">
        <v>4</v>
      </c>
      <c r="P77" s="586"/>
      <c r="Q77" s="40"/>
      <c r="S77" s="483"/>
      <c r="T77" s="586" t="s">
        <v>540</v>
      </c>
      <c r="U77" s="591">
        <v>4</v>
      </c>
      <c r="V77" s="586"/>
      <c r="W77" s="40"/>
    </row>
    <row r="78" spans="1:23">
      <c r="A78" s="483"/>
      <c r="B78" s="586" t="s">
        <v>541</v>
      </c>
      <c r="C78" s="592">
        <f>C77*12</f>
        <v>48</v>
      </c>
      <c r="D78" s="586"/>
      <c r="E78" s="40"/>
      <c r="G78" s="483"/>
      <c r="H78" s="586" t="s">
        <v>541</v>
      </c>
      <c r="I78" s="592">
        <f>I77*12</f>
        <v>48</v>
      </c>
      <c r="J78" s="586"/>
      <c r="K78" s="40"/>
      <c r="M78" s="483"/>
      <c r="N78" s="586" t="s">
        <v>541</v>
      </c>
      <c r="O78" s="592">
        <f>O77*12</f>
        <v>48</v>
      </c>
      <c r="P78" s="586"/>
      <c r="Q78" s="40"/>
      <c r="S78" s="483"/>
      <c r="T78" s="586" t="s">
        <v>541</v>
      </c>
      <c r="U78" s="592">
        <f>U77*12</f>
        <v>48</v>
      </c>
      <c r="V78" s="586"/>
      <c r="W78" s="40"/>
    </row>
    <row r="79" spans="1:23">
      <c r="A79" s="483"/>
      <c r="B79" s="586"/>
      <c r="C79" s="586"/>
      <c r="D79" s="586"/>
      <c r="E79" s="40"/>
      <c r="G79" s="483"/>
      <c r="H79" s="586"/>
      <c r="I79" s="586"/>
      <c r="J79" s="586"/>
      <c r="K79" s="40"/>
      <c r="M79" s="483"/>
      <c r="N79" s="586"/>
      <c r="O79" s="586"/>
      <c r="P79" s="586"/>
      <c r="Q79" s="40"/>
      <c r="S79" s="483"/>
      <c r="T79" s="586"/>
      <c r="U79" s="586"/>
      <c r="V79" s="586"/>
      <c r="W79" s="40"/>
    </row>
    <row r="80" spans="1:23" ht="13">
      <c r="A80" s="483"/>
      <c r="B80" s="589" t="s">
        <v>542</v>
      </c>
      <c r="C80" s="590">
        <f>-PMT(E72/12,C78,C76)</f>
        <v>0</v>
      </c>
      <c r="D80" s="589" t="s">
        <v>543</v>
      </c>
      <c r="E80" s="488">
        <f>C80*12</f>
        <v>0</v>
      </c>
      <c r="G80" s="483"/>
      <c r="H80" s="589" t="s">
        <v>542</v>
      </c>
      <c r="I80" s="590">
        <f>-PMT(K72/12,I78,I76)</f>
        <v>0</v>
      </c>
      <c r="J80" s="589" t="s">
        <v>543</v>
      </c>
      <c r="K80" s="488">
        <f>I80*12</f>
        <v>0</v>
      </c>
      <c r="M80" s="483"/>
      <c r="N80" s="589" t="s">
        <v>542</v>
      </c>
      <c r="O80" s="590">
        <f>-PMT(Q72/12,O78,O76)</f>
        <v>0</v>
      </c>
      <c r="P80" s="589" t="s">
        <v>543</v>
      </c>
      <c r="Q80" s="488">
        <f>O80*12</f>
        <v>0</v>
      </c>
      <c r="S80" s="483"/>
      <c r="T80" s="589" t="s">
        <v>542</v>
      </c>
      <c r="U80" s="590">
        <f>-PMT(W72/12,U78,U76)</f>
        <v>0</v>
      </c>
      <c r="V80" s="589" t="s">
        <v>543</v>
      </c>
      <c r="W80" s="488">
        <f>U80*12</f>
        <v>0</v>
      </c>
    </row>
    <row r="81" spans="1:23">
      <c r="A81" s="483"/>
      <c r="B81" s="586"/>
      <c r="C81" s="586"/>
      <c r="D81" s="586"/>
      <c r="E81" s="40"/>
      <c r="G81" s="483"/>
      <c r="H81" s="586"/>
      <c r="I81" s="586"/>
      <c r="J81" s="586"/>
      <c r="K81" s="40"/>
      <c r="M81" s="483"/>
      <c r="N81" s="586"/>
      <c r="O81" s="586"/>
      <c r="P81" s="586"/>
      <c r="Q81" s="40"/>
      <c r="S81" s="483"/>
      <c r="T81" s="586"/>
      <c r="U81" s="586"/>
      <c r="V81" s="586"/>
      <c r="W81" s="40"/>
    </row>
    <row r="82" spans="1:23">
      <c r="A82" s="483"/>
      <c r="B82" s="586"/>
      <c r="C82" s="586"/>
      <c r="D82" s="586"/>
      <c r="E82" s="40"/>
      <c r="G82" s="483"/>
      <c r="H82" s="586"/>
      <c r="I82" s="586"/>
      <c r="J82" s="586"/>
      <c r="K82" s="40"/>
      <c r="M82" s="483"/>
      <c r="N82" s="586"/>
      <c r="O82" s="586"/>
      <c r="P82" s="586"/>
      <c r="Q82" s="40"/>
      <c r="S82" s="483"/>
      <c r="T82" s="586"/>
      <c r="U82" s="586"/>
      <c r="V82" s="586"/>
      <c r="W82" s="40"/>
    </row>
    <row r="83" spans="1:23">
      <c r="A83" s="483"/>
      <c r="B83" s="586" t="s">
        <v>241</v>
      </c>
      <c r="C83" s="586"/>
      <c r="D83" s="586"/>
      <c r="E83" s="40"/>
      <c r="G83" s="483"/>
      <c r="H83" s="586" t="s">
        <v>241</v>
      </c>
      <c r="I83" s="586"/>
      <c r="J83" s="586"/>
      <c r="K83" s="40"/>
      <c r="M83" s="483"/>
      <c r="N83" s="586" t="s">
        <v>241</v>
      </c>
      <c r="O83" s="586"/>
      <c r="P83" s="586"/>
      <c r="Q83" s="40"/>
      <c r="S83" s="483"/>
      <c r="T83" s="586" t="s">
        <v>241</v>
      </c>
      <c r="U83" s="586"/>
      <c r="V83" s="586"/>
      <c r="W83" s="40"/>
    </row>
    <row r="84" spans="1:23">
      <c r="A84" s="483"/>
      <c r="B84" s="586" t="s">
        <v>544</v>
      </c>
      <c r="C84" s="587">
        <f>C80*C78</f>
        <v>0</v>
      </c>
      <c r="D84" s="586"/>
      <c r="E84" s="40"/>
      <c r="G84" s="483"/>
      <c r="H84" s="586" t="s">
        <v>544</v>
      </c>
      <c r="I84" s="587">
        <f>I80*I78</f>
        <v>0</v>
      </c>
      <c r="J84" s="586"/>
      <c r="K84" s="40"/>
      <c r="M84" s="483"/>
      <c r="N84" s="586" t="s">
        <v>544</v>
      </c>
      <c r="O84" s="587">
        <f>O80*O78</f>
        <v>0</v>
      </c>
      <c r="P84" s="586"/>
      <c r="Q84" s="40"/>
      <c r="S84" s="483"/>
      <c r="T84" s="586" t="s">
        <v>544</v>
      </c>
      <c r="U84" s="587">
        <f>U80*U78</f>
        <v>0</v>
      </c>
      <c r="V84" s="586"/>
      <c r="W84" s="40"/>
    </row>
    <row r="85" spans="1:23">
      <c r="A85" s="483"/>
      <c r="B85" s="586"/>
      <c r="C85" s="586"/>
      <c r="D85" s="586"/>
      <c r="E85" s="40"/>
      <c r="G85" s="483"/>
      <c r="H85" s="586"/>
      <c r="I85" s="586"/>
      <c r="J85" s="586"/>
      <c r="K85" s="40"/>
      <c r="M85" s="483"/>
      <c r="N85" s="586"/>
      <c r="O85" s="586"/>
      <c r="P85" s="586"/>
      <c r="Q85" s="40"/>
      <c r="S85" s="483"/>
      <c r="T85" s="586"/>
      <c r="U85" s="586"/>
      <c r="V85" s="586"/>
      <c r="W85" s="40"/>
    </row>
    <row r="86" spans="1:23" ht="13.5" thickBot="1">
      <c r="A86" s="484"/>
      <c r="B86" s="489" t="s">
        <v>299</v>
      </c>
      <c r="C86" s="490">
        <f>C84-C76</f>
        <v>0</v>
      </c>
      <c r="D86" s="99"/>
      <c r="E86" s="157"/>
      <c r="G86" s="484"/>
      <c r="H86" s="489" t="s">
        <v>299</v>
      </c>
      <c r="I86" s="490">
        <f>I84-I76</f>
        <v>0</v>
      </c>
      <c r="J86" s="99"/>
      <c r="K86" s="157"/>
      <c r="M86" s="484"/>
      <c r="N86" s="489" t="s">
        <v>299</v>
      </c>
      <c r="O86" s="490">
        <f>O84-O76</f>
        <v>0</v>
      </c>
      <c r="P86" s="99"/>
      <c r="Q86" s="157"/>
      <c r="S86" s="484"/>
      <c r="T86" s="489" t="s">
        <v>299</v>
      </c>
      <c r="U86" s="490">
        <f>U84-U76</f>
        <v>0</v>
      </c>
      <c r="V86" s="99"/>
      <c r="W86" s="157"/>
    </row>
    <row r="87" spans="1:23" ht="13" thickBot="1"/>
    <row r="88" spans="1:23" ht="13">
      <c r="A88" s="480">
        <v>6</v>
      </c>
      <c r="B88" s="497" t="s">
        <v>533</v>
      </c>
      <c r="C88" s="497"/>
      <c r="D88" s="497"/>
      <c r="E88" s="498"/>
      <c r="G88" s="480">
        <v>6</v>
      </c>
      <c r="H88" s="497" t="s">
        <v>533</v>
      </c>
      <c r="I88" s="497"/>
      <c r="J88" s="497"/>
      <c r="K88" s="498"/>
      <c r="M88" s="480">
        <v>6</v>
      </c>
      <c r="N88" s="497" t="s">
        <v>533</v>
      </c>
      <c r="O88" s="497"/>
      <c r="P88" s="497"/>
      <c r="Q88" s="498"/>
      <c r="S88" s="480">
        <v>6</v>
      </c>
      <c r="T88" s="497" t="s">
        <v>533</v>
      </c>
      <c r="U88" s="497"/>
      <c r="V88" s="497"/>
      <c r="W88" s="498"/>
    </row>
    <row r="89" spans="1:23">
      <c r="A89" s="483"/>
      <c r="B89" s="586" t="s">
        <v>534</v>
      </c>
      <c r="C89" s="587">
        <f>SUMIF(Equipos!$Q$6:$Q$55,A88,Equipos!$O$6:$O$55)</f>
        <v>0</v>
      </c>
      <c r="D89" s="586" t="s">
        <v>535</v>
      </c>
      <c r="E89" s="487">
        <v>0.11</v>
      </c>
      <c r="G89" s="483"/>
      <c r="H89" s="586" t="s">
        <v>534</v>
      </c>
      <c r="I89" s="587">
        <f>SUMIF('Productos 2'!$P$6:$P$15,G88,'Productos 2'!$N$6:$N$15)</f>
        <v>0</v>
      </c>
      <c r="J89" s="586" t="s">
        <v>535</v>
      </c>
      <c r="K89" s="487">
        <v>0.11</v>
      </c>
      <c r="M89" s="483"/>
      <c r="N89" s="586" t="s">
        <v>534</v>
      </c>
      <c r="O89" s="587">
        <f>SUMIF(MATERIALES!$P$6:$P$44,M88,MATERIALES!$N$6:$N$44)</f>
        <v>0</v>
      </c>
      <c r="P89" s="586" t="s">
        <v>535</v>
      </c>
      <c r="Q89" s="487">
        <v>0.11</v>
      </c>
      <c r="S89" s="483"/>
      <c r="T89" s="586" t="s">
        <v>534</v>
      </c>
      <c r="U89" s="587">
        <f>SUMIF('OPEX GV'!$P$6:$P$15,S88,'OPEX GV'!$N$6:$N$15)</f>
        <v>0</v>
      </c>
      <c r="V89" s="586" t="s">
        <v>535</v>
      </c>
      <c r="W89" s="487">
        <v>0.11</v>
      </c>
    </row>
    <row r="90" spans="1:23">
      <c r="A90" s="483"/>
      <c r="B90" s="586" t="s">
        <v>536</v>
      </c>
      <c r="C90" s="588">
        <v>0</v>
      </c>
      <c r="D90" s="586" t="s">
        <v>537</v>
      </c>
      <c r="E90" s="487">
        <v>0</v>
      </c>
      <c r="G90" s="483"/>
      <c r="H90" s="586" t="s">
        <v>536</v>
      </c>
      <c r="I90" s="588">
        <v>0</v>
      </c>
      <c r="J90" s="586" t="s">
        <v>537</v>
      </c>
      <c r="K90" s="487">
        <v>0</v>
      </c>
      <c r="M90" s="483"/>
      <c r="N90" s="586" t="s">
        <v>536</v>
      </c>
      <c r="O90" s="588">
        <v>0</v>
      </c>
      <c r="P90" s="586" t="s">
        <v>537</v>
      </c>
      <c r="Q90" s="487">
        <v>0</v>
      </c>
      <c r="S90" s="483"/>
      <c r="T90" s="586" t="s">
        <v>536</v>
      </c>
      <c r="U90" s="588">
        <v>0</v>
      </c>
      <c r="V90" s="586" t="s">
        <v>537</v>
      </c>
      <c r="W90" s="487">
        <v>0</v>
      </c>
    </row>
    <row r="91" spans="1:23">
      <c r="A91" s="483"/>
      <c r="B91" s="586" t="s">
        <v>538</v>
      </c>
      <c r="C91" s="588">
        <v>0</v>
      </c>
      <c r="D91" s="586"/>
      <c r="E91" s="40"/>
      <c r="G91" s="483"/>
      <c r="H91" s="586" t="s">
        <v>538</v>
      </c>
      <c r="I91" s="588">
        <v>0</v>
      </c>
      <c r="J91" s="586"/>
      <c r="K91" s="40"/>
      <c r="M91" s="483"/>
      <c r="N91" s="586" t="s">
        <v>538</v>
      </c>
      <c r="O91" s="588">
        <v>0</v>
      </c>
      <c r="P91" s="586"/>
      <c r="Q91" s="40"/>
      <c r="S91" s="483"/>
      <c r="T91" s="586" t="s">
        <v>538</v>
      </c>
      <c r="U91" s="588">
        <v>0</v>
      </c>
      <c r="V91" s="586"/>
      <c r="W91" s="40"/>
    </row>
    <row r="92" spans="1:23">
      <c r="A92" s="483"/>
      <c r="B92" s="586"/>
      <c r="C92" s="586"/>
      <c r="D92" s="586"/>
      <c r="E92" s="40"/>
      <c r="G92" s="483"/>
      <c r="H92" s="586"/>
      <c r="I92" s="586"/>
      <c r="J92" s="586"/>
      <c r="K92" s="40"/>
      <c r="M92" s="483"/>
      <c r="N92" s="586"/>
      <c r="O92" s="586"/>
      <c r="P92" s="586"/>
      <c r="Q92" s="40"/>
      <c r="S92" s="483"/>
      <c r="T92" s="586"/>
      <c r="U92" s="586"/>
      <c r="V92" s="586"/>
      <c r="W92" s="40"/>
    </row>
    <row r="93" spans="1:23" ht="13">
      <c r="A93" s="483"/>
      <c r="B93" s="589" t="s">
        <v>539</v>
      </c>
      <c r="C93" s="590">
        <f>C89-C90-C91</f>
        <v>0</v>
      </c>
      <c r="D93" s="586"/>
      <c r="E93" s="40"/>
      <c r="G93" s="483"/>
      <c r="H93" s="589" t="s">
        <v>539</v>
      </c>
      <c r="I93" s="590">
        <f>I89-I90-I91</f>
        <v>0</v>
      </c>
      <c r="J93" s="586"/>
      <c r="K93" s="40"/>
      <c r="M93" s="483"/>
      <c r="N93" s="589" t="s">
        <v>539</v>
      </c>
      <c r="O93" s="590">
        <f>O89-O90-O91</f>
        <v>0</v>
      </c>
      <c r="P93" s="586"/>
      <c r="Q93" s="40"/>
      <c r="S93" s="483"/>
      <c r="T93" s="589" t="s">
        <v>539</v>
      </c>
      <c r="U93" s="590">
        <f>U89-U90-U91</f>
        <v>0</v>
      </c>
      <c r="V93" s="586"/>
      <c r="W93" s="40"/>
    </row>
    <row r="94" spans="1:23">
      <c r="A94" s="483"/>
      <c r="B94" s="586" t="s">
        <v>540</v>
      </c>
      <c r="C94" s="591">
        <v>4</v>
      </c>
      <c r="D94" s="586"/>
      <c r="E94" s="40"/>
      <c r="G94" s="483"/>
      <c r="H94" s="586" t="s">
        <v>540</v>
      </c>
      <c r="I94" s="591">
        <v>4</v>
      </c>
      <c r="J94" s="586"/>
      <c r="K94" s="40"/>
      <c r="M94" s="483"/>
      <c r="N94" s="586" t="s">
        <v>540</v>
      </c>
      <c r="O94" s="591">
        <v>4</v>
      </c>
      <c r="P94" s="586"/>
      <c r="Q94" s="40"/>
      <c r="S94" s="483"/>
      <c r="T94" s="586" t="s">
        <v>540</v>
      </c>
      <c r="U94" s="591">
        <v>4</v>
      </c>
      <c r="V94" s="586"/>
      <c r="W94" s="40"/>
    </row>
    <row r="95" spans="1:23">
      <c r="A95" s="483"/>
      <c r="B95" s="586" t="s">
        <v>541</v>
      </c>
      <c r="C95" s="592">
        <f>C94*12</f>
        <v>48</v>
      </c>
      <c r="D95" s="586"/>
      <c r="E95" s="40"/>
      <c r="G95" s="483"/>
      <c r="H95" s="586" t="s">
        <v>541</v>
      </c>
      <c r="I95" s="592">
        <f>I94*12</f>
        <v>48</v>
      </c>
      <c r="J95" s="586"/>
      <c r="K95" s="40"/>
      <c r="M95" s="483"/>
      <c r="N95" s="586" t="s">
        <v>541</v>
      </c>
      <c r="O95" s="592">
        <f>O94*12</f>
        <v>48</v>
      </c>
      <c r="P95" s="586"/>
      <c r="Q95" s="40"/>
      <c r="S95" s="483"/>
      <c r="T95" s="586" t="s">
        <v>541</v>
      </c>
      <c r="U95" s="592">
        <f>U94*12</f>
        <v>48</v>
      </c>
      <c r="V95" s="586"/>
      <c r="W95" s="40"/>
    </row>
    <row r="96" spans="1:23">
      <c r="A96" s="483"/>
      <c r="B96" s="586"/>
      <c r="C96" s="586"/>
      <c r="D96" s="586"/>
      <c r="E96" s="40"/>
      <c r="G96" s="483"/>
      <c r="H96" s="586"/>
      <c r="I96" s="586"/>
      <c r="J96" s="586"/>
      <c r="K96" s="40"/>
      <c r="M96" s="483"/>
      <c r="N96" s="586"/>
      <c r="O96" s="586"/>
      <c r="P96" s="586"/>
      <c r="Q96" s="40"/>
      <c r="S96" s="483"/>
      <c r="T96" s="586"/>
      <c r="U96" s="586"/>
      <c r="V96" s="586"/>
      <c r="W96" s="40"/>
    </row>
    <row r="97" spans="1:23" ht="13">
      <c r="A97" s="483"/>
      <c r="B97" s="589" t="s">
        <v>542</v>
      </c>
      <c r="C97" s="590">
        <f>-PMT(E89/12,C95,C93)</f>
        <v>0</v>
      </c>
      <c r="D97" s="589" t="s">
        <v>543</v>
      </c>
      <c r="E97" s="488">
        <f>C97*12</f>
        <v>0</v>
      </c>
      <c r="G97" s="483"/>
      <c r="H97" s="589" t="s">
        <v>542</v>
      </c>
      <c r="I97" s="590">
        <f>-PMT(K89/12,I95,I93)</f>
        <v>0</v>
      </c>
      <c r="J97" s="589" t="s">
        <v>543</v>
      </c>
      <c r="K97" s="488">
        <f>I97*12</f>
        <v>0</v>
      </c>
      <c r="M97" s="483"/>
      <c r="N97" s="589" t="s">
        <v>542</v>
      </c>
      <c r="O97" s="590">
        <f>-PMT(Q89/12,O95,O93)</f>
        <v>0</v>
      </c>
      <c r="P97" s="589" t="s">
        <v>543</v>
      </c>
      <c r="Q97" s="488">
        <f>O97*12</f>
        <v>0</v>
      </c>
      <c r="S97" s="483"/>
      <c r="T97" s="589" t="s">
        <v>542</v>
      </c>
      <c r="U97" s="590">
        <f>-PMT(W89/12,U95,U93)</f>
        <v>0</v>
      </c>
      <c r="V97" s="589" t="s">
        <v>543</v>
      </c>
      <c r="W97" s="488">
        <f>U97*12</f>
        <v>0</v>
      </c>
    </row>
    <row r="98" spans="1:23">
      <c r="A98" s="483"/>
      <c r="B98" s="586"/>
      <c r="C98" s="586"/>
      <c r="D98" s="586"/>
      <c r="E98" s="40"/>
      <c r="G98" s="483"/>
      <c r="H98" s="586"/>
      <c r="I98" s="586"/>
      <c r="J98" s="586"/>
      <c r="K98" s="40"/>
      <c r="M98" s="483"/>
      <c r="N98" s="586"/>
      <c r="O98" s="586"/>
      <c r="P98" s="586"/>
      <c r="Q98" s="40"/>
      <c r="S98" s="483"/>
      <c r="T98" s="586"/>
      <c r="U98" s="586"/>
      <c r="V98" s="586"/>
      <c r="W98" s="40"/>
    </row>
    <row r="99" spans="1:23">
      <c r="A99" s="483"/>
      <c r="B99" s="586"/>
      <c r="C99" s="586"/>
      <c r="D99" s="586"/>
      <c r="E99" s="40"/>
      <c r="G99" s="483"/>
      <c r="H99" s="586"/>
      <c r="I99" s="586"/>
      <c r="J99" s="586"/>
      <c r="K99" s="40"/>
      <c r="M99" s="483"/>
      <c r="N99" s="586"/>
      <c r="O99" s="586"/>
      <c r="P99" s="586"/>
      <c r="Q99" s="40"/>
      <c r="S99" s="483"/>
      <c r="T99" s="586"/>
      <c r="U99" s="586"/>
      <c r="V99" s="586"/>
      <c r="W99" s="40"/>
    </row>
    <row r="100" spans="1:23">
      <c r="A100" s="483"/>
      <c r="B100" s="586" t="s">
        <v>241</v>
      </c>
      <c r="C100" s="586"/>
      <c r="D100" s="586"/>
      <c r="E100" s="40"/>
      <c r="G100" s="483"/>
      <c r="H100" s="586" t="s">
        <v>241</v>
      </c>
      <c r="I100" s="586"/>
      <c r="J100" s="586"/>
      <c r="K100" s="40"/>
      <c r="M100" s="483"/>
      <c r="N100" s="586" t="s">
        <v>241</v>
      </c>
      <c r="O100" s="586"/>
      <c r="P100" s="586"/>
      <c r="Q100" s="40"/>
      <c r="S100" s="483"/>
      <c r="T100" s="586" t="s">
        <v>241</v>
      </c>
      <c r="U100" s="586"/>
      <c r="V100" s="586"/>
      <c r="W100" s="40"/>
    </row>
    <row r="101" spans="1:23">
      <c r="A101" s="483"/>
      <c r="B101" s="586" t="s">
        <v>544</v>
      </c>
      <c r="C101" s="587">
        <f>C97*C95</f>
        <v>0</v>
      </c>
      <c r="D101" s="586"/>
      <c r="E101" s="40"/>
      <c r="G101" s="483"/>
      <c r="H101" s="586" t="s">
        <v>544</v>
      </c>
      <c r="I101" s="587">
        <f>I97*I95</f>
        <v>0</v>
      </c>
      <c r="J101" s="586"/>
      <c r="K101" s="40"/>
      <c r="M101" s="483"/>
      <c r="N101" s="586" t="s">
        <v>544</v>
      </c>
      <c r="O101" s="587">
        <f>O97*O95</f>
        <v>0</v>
      </c>
      <c r="P101" s="586"/>
      <c r="Q101" s="40"/>
      <c r="S101" s="483"/>
      <c r="T101" s="586" t="s">
        <v>544</v>
      </c>
      <c r="U101" s="587">
        <f>U97*U95</f>
        <v>0</v>
      </c>
      <c r="V101" s="586"/>
      <c r="W101" s="40"/>
    </row>
    <row r="102" spans="1:23">
      <c r="A102" s="483"/>
      <c r="B102" s="586"/>
      <c r="C102" s="586"/>
      <c r="D102" s="586"/>
      <c r="E102" s="40"/>
      <c r="G102" s="483"/>
      <c r="H102" s="586"/>
      <c r="I102" s="586"/>
      <c r="J102" s="586"/>
      <c r="K102" s="40"/>
      <c r="M102" s="483"/>
      <c r="N102" s="586"/>
      <c r="O102" s="586"/>
      <c r="P102" s="586"/>
      <c r="Q102" s="40"/>
      <c r="S102" s="483"/>
      <c r="T102" s="586"/>
      <c r="U102" s="586"/>
      <c r="V102" s="586"/>
      <c r="W102" s="40"/>
    </row>
    <row r="103" spans="1:23" ht="13.5" thickBot="1">
      <c r="A103" s="484"/>
      <c r="B103" s="489" t="s">
        <v>299</v>
      </c>
      <c r="C103" s="490">
        <f>C101-C93</f>
        <v>0</v>
      </c>
      <c r="D103" s="99"/>
      <c r="E103" s="157"/>
      <c r="G103" s="484"/>
      <c r="H103" s="489" t="s">
        <v>299</v>
      </c>
      <c r="I103" s="490">
        <f>I101-I93</f>
        <v>0</v>
      </c>
      <c r="J103" s="99"/>
      <c r="K103" s="157"/>
      <c r="M103" s="484"/>
      <c r="N103" s="489" t="s">
        <v>299</v>
      </c>
      <c r="O103" s="490">
        <f>O101-O93</f>
        <v>0</v>
      </c>
      <c r="P103" s="99"/>
      <c r="Q103" s="157"/>
      <c r="S103" s="484"/>
      <c r="T103" s="489" t="s">
        <v>299</v>
      </c>
      <c r="U103" s="490">
        <f>U101-U93</f>
        <v>0</v>
      </c>
      <c r="V103" s="99"/>
      <c r="W103" s="157"/>
    </row>
    <row r="104" spans="1:23" ht="13" thickBot="1"/>
    <row r="105" spans="1:23" ht="13">
      <c r="A105" s="480">
        <v>7</v>
      </c>
      <c r="B105" s="497" t="s">
        <v>533</v>
      </c>
      <c r="C105" s="497"/>
      <c r="D105" s="497"/>
      <c r="E105" s="498"/>
      <c r="G105" s="480">
        <v>7</v>
      </c>
      <c r="H105" s="497" t="s">
        <v>533</v>
      </c>
      <c r="I105" s="497"/>
      <c r="J105" s="497"/>
      <c r="K105" s="498"/>
      <c r="M105" s="480">
        <v>7</v>
      </c>
      <c r="N105" s="497" t="s">
        <v>533</v>
      </c>
      <c r="O105" s="497"/>
      <c r="P105" s="497"/>
      <c r="Q105" s="498"/>
      <c r="S105" s="480">
        <v>7</v>
      </c>
      <c r="T105" s="497" t="s">
        <v>533</v>
      </c>
      <c r="U105" s="497"/>
      <c r="V105" s="497"/>
      <c r="W105" s="498"/>
    </row>
    <row r="106" spans="1:23">
      <c r="A106" s="483"/>
      <c r="B106" s="586" t="s">
        <v>534</v>
      </c>
      <c r="C106" s="587">
        <f>SUMIF(Equipos!$Q$6:$Q$55,A105,Equipos!$O$6:$O$55)</f>
        <v>0</v>
      </c>
      <c r="D106" s="586" t="s">
        <v>535</v>
      </c>
      <c r="E106" s="487">
        <v>0.11</v>
      </c>
      <c r="G106" s="483"/>
      <c r="H106" s="586" t="s">
        <v>534</v>
      </c>
      <c r="I106" s="587">
        <f>SUMIF('Productos 2'!$P$6:$P$15,G105,'Productos 2'!$N$6:$N$15)</f>
        <v>0</v>
      </c>
      <c r="J106" s="586" t="s">
        <v>535</v>
      </c>
      <c r="K106" s="487">
        <v>0.11</v>
      </c>
      <c r="M106" s="483"/>
      <c r="N106" s="586" t="s">
        <v>534</v>
      </c>
      <c r="O106" s="587">
        <f>SUMIF(MATERIALES!$P$6:$P$44,M105,MATERIALES!$N$6:$N$44)</f>
        <v>0</v>
      </c>
      <c r="P106" s="586" t="s">
        <v>535</v>
      </c>
      <c r="Q106" s="487">
        <v>0.11</v>
      </c>
      <c r="S106" s="483"/>
      <c r="T106" s="586" t="s">
        <v>534</v>
      </c>
      <c r="U106" s="587">
        <f>SUMIF('OPEX GV'!$P$6:$P$15,S105,'OPEX GV'!$N$6:$N$15)</f>
        <v>0</v>
      </c>
      <c r="V106" s="586" t="s">
        <v>535</v>
      </c>
      <c r="W106" s="487">
        <v>0.11</v>
      </c>
    </row>
    <row r="107" spans="1:23">
      <c r="A107" s="483"/>
      <c r="B107" s="586" t="s">
        <v>536</v>
      </c>
      <c r="C107" s="588">
        <v>0</v>
      </c>
      <c r="D107" s="586" t="s">
        <v>537</v>
      </c>
      <c r="E107" s="487">
        <v>0</v>
      </c>
      <c r="G107" s="483"/>
      <c r="H107" s="586" t="s">
        <v>536</v>
      </c>
      <c r="I107" s="588">
        <v>0</v>
      </c>
      <c r="J107" s="586" t="s">
        <v>537</v>
      </c>
      <c r="K107" s="487">
        <v>0</v>
      </c>
      <c r="M107" s="483"/>
      <c r="N107" s="586" t="s">
        <v>536</v>
      </c>
      <c r="O107" s="588">
        <v>0</v>
      </c>
      <c r="P107" s="586" t="s">
        <v>537</v>
      </c>
      <c r="Q107" s="487">
        <v>0</v>
      </c>
      <c r="S107" s="483"/>
      <c r="T107" s="586" t="s">
        <v>536</v>
      </c>
      <c r="U107" s="588">
        <v>0</v>
      </c>
      <c r="V107" s="586" t="s">
        <v>537</v>
      </c>
      <c r="W107" s="487">
        <v>0</v>
      </c>
    </row>
    <row r="108" spans="1:23">
      <c r="A108" s="483"/>
      <c r="B108" s="586" t="s">
        <v>538</v>
      </c>
      <c r="C108" s="588">
        <v>0</v>
      </c>
      <c r="D108" s="586"/>
      <c r="E108" s="40"/>
      <c r="G108" s="483"/>
      <c r="H108" s="586" t="s">
        <v>538</v>
      </c>
      <c r="I108" s="588">
        <v>0</v>
      </c>
      <c r="J108" s="586"/>
      <c r="K108" s="40"/>
      <c r="M108" s="483"/>
      <c r="N108" s="586" t="s">
        <v>538</v>
      </c>
      <c r="O108" s="588">
        <v>0</v>
      </c>
      <c r="P108" s="586"/>
      <c r="Q108" s="40"/>
      <c r="S108" s="483"/>
      <c r="T108" s="586" t="s">
        <v>538</v>
      </c>
      <c r="U108" s="588">
        <v>0</v>
      </c>
      <c r="V108" s="586"/>
      <c r="W108" s="40"/>
    </row>
    <row r="109" spans="1:23">
      <c r="A109" s="483"/>
      <c r="B109" s="586"/>
      <c r="C109" s="586"/>
      <c r="D109" s="586"/>
      <c r="E109" s="40"/>
      <c r="G109" s="483"/>
      <c r="H109" s="586"/>
      <c r="I109" s="586"/>
      <c r="J109" s="586"/>
      <c r="K109" s="40"/>
      <c r="M109" s="483"/>
      <c r="N109" s="586"/>
      <c r="O109" s="586"/>
      <c r="P109" s="586"/>
      <c r="Q109" s="40"/>
      <c r="S109" s="483"/>
      <c r="T109" s="586"/>
      <c r="U109" s="586"/>
      <c r="V109" s="586"/>
      <c r="W109" s="40"/>
    </row>
    <row r="110" spans="1:23" ht="13">
      <c r="A110" s="483"/>
      <c r="B110" s="589" t="s">
        <v>539</v>
      </c>
      <c r="C110" s="590">
        <f>C106-C107-C108</f>
        <v>0</v>
      </c>
      <c r="D110" s="586"/>
      <c r="E110" s="40"/>
      <c r="G110" s="483"/>
      <c r="H110" s="589" t="s">
        <v>539</v>
      </c>
      <c r="I110" s="590">
        <f>I106-I107-I108</f>
        <v>0</v>
      </c>
      <c r="J110" s="586"/>
      <c r="K110" s="40"/>
      <c r="M110" s="483"/>
      <c r="N110" s="589" t="s">
        <v>539</v>
      </c>
      <c r="O110" s="590">
        <f>O106-O107-O108</f>
        <v>0</v>
      </c>
      <c r="P110" s="586"/>
      <c r="Q110" s="40"/>
      <c r="S110" s="483"/>
      <c r="T110" s="589" t="s">
        <v>539</v>
      </c>
      <c r="U110" s="590">
        <f>U106-U107-U108</f>
        <v>0</v>
      </c>
      <c r="V110" s="586"/>
      <c r="W110" s="40"/>
    </row>
    <row r="111" spans="1:23">
      <c r="A111" s="483"/>
      <c r="B111" s="586" t="s">
        <v>540</v>
      </c>
      <c r="C111" s="591">
        <v>4</v>
      </c>
      <c r="D111" s="586"/>
      <c r="E111" s="40"/>
      <c r="G111" s="483"/>
      <c r="H111" s="586" t="s">
        <v>540</v>
      </c>
      <c r="I111" s="591">
        <v>4</v>
      </c>
      <c r="J111" s="586"/>
      <c r="K111" s="40"/>
      <c r="M111" s="483"/>
      <c r="N111" s="586" t="s">
        <v>540</v>
      </c>
      <c r="O111" s="591">
        <v>4</v>
      </c>
      <c r="P111" s="586"/>
      <c r="Q111" s="40"/>
      <c r="S111" s="483"/>
      <c r="T111" s="586" t="s">
        <v>540</v>
      </c>
      <c r="U111" s="591">
        <v>4</v>
      </c>
      <c r="V111" s="586"/>
      <c r="W111" s="40"/>
    </row>
    <row r="112" spans="1:23">
      <c r="A112" s="483"/>
      <c r="B112" s="586" t="s">
        <v>541</v>
      </c>
      <c r="C112" s="592">
        <f>C111*12</f>
        <v>48</v>
      </c>
      <c r="D112" s="586"/>
      <c r="E112" s="40"/>
      <c r="G112" s="483"/>
      <c r="H112" s="586" t="s">
        <v>541</v>
      </c>
      <c r="I112" s="592">
        <f>I111*12</f>
        <v>48</v>
      </c>
      <c r="J112" s="586"/>
      <c r="K112" s="40"/>
      <c r="M112" s="483"/>
      <c r="N112" s="586" t="s">
        <v>541</v>
      </c>
      <c r="O112" s="592">
        <f>O111*12</f>
        <v>48</v>
      </c>
      <c r="P112" s="586"/>
      <c r="Q112" s="40"/>
      <c r="S112" s="483"/>
      <c r="T112" s="586" t="s">
        <v>541</v>
      </c>
      <c r="U112" s="592">
        <f>U111*12</f>
        <v>48</v>
      </c>
      <c r="V112" s="586"/>
      <c r="W112" s="40"/>
    </row>
    <row r="113" spans="1:23">
      <c r="A113" s="483"/>
      <c r="B113" s="586"/>
      <c r="C113" s="586"/>
      <c r="D113" s="586"/>
      <c r="E113" s="40"/>
      <c r="G113" s="483"/>
      <c r="H113" s="586"/>
      <c r="I113" s="586"/>
      <c r="J113" s="586"/>
      <c r="K113" s="40"/>
      <c r="M113" s="483"/>
      <c r="N113" s="586"/>
      <c r="O113" s="586"/>
      <c r="P113" s="586"/>
      <c r="Q113" s="40"/>
      <c r="S113" s="483"/>
      <c r="T113" s="586"/>
      <c r="U113" s="586"/>
      <c r="V113" s="586"/>
      <c r="W113" s="40"/>
    </row>
    <row r="114" spans="1:23" ht="13">
      <c r="A114" s="483"/>
      <c r="B114" s="589" t="s">
        <v>542</v>
      </c>
      <c r="C114" s="590">
        <f>-PMT(E106/12,C112,C110)</f>
        <v>0</v>
      </c>
      <c r="D114" s="589" t="s">
        <v>543</v>
      </c>
      <c r="E114" s="488">
        <f>C114*12</f>
        <v>0</v>
      </c>
      <c r="G114" s="483"/>
      <c r="H114" s="589" t="s">
        <v>542</v>
      </c>
      <c r="I114" s="590">
        <f>-PMT(K106/12,I112,I110)</f>
        <v>0</v>
      </c>
      <c r="J114" s="589" t="s">
        <v>543</v>
      </c>
      <c r="K114" s="488">
        <f>I114*12</f>
        <v>0</v>
      </c>
      <c r="M114" s="483"/>
      <c r="N114" s="589" t="s">
        <v>542</v>
      </c>
      <c r="O114" s="590">
        <f>-PMT(Q106/12,O112,O110)</f>
        <v>0</v>
      </c>
      <c r="P114" s="589" t="s">
        <v>543</v>
      </c>
      <c r="Q114" s="488">
        <f>O114*12</f>
        <v>0</v>
      </c>
      <c r="S114" s="483"/>
      <c r="T114" s="589" t="s">
        <v>542</v>
      </c>
      <c r="U114" s="590">
        <f>-PMT(W106/12,U112,U110)</f>
        <v>0</v>
      </c>
      <c r="V114" s="589" t="s">
        <v>543</v>
      </c>
      <c r="W114" s="488">
        <f>U114*12</f>
        <v>0</v>
      </c>
    </row>
    <row r="115" spans="1:23">
      <c r="A115" s="483"/>
      <c r="B115" s="586"/>
      <c r="C115" s="586"/>
      <c r="D115" s="586"/>
      <c r="E115" s="40"/>
      <c r="G115" s="483"/>
      <c r="H115" s="586"/>
      <c r="I115" s="586"/>
      <c r="J115" s="586"/>
      <c r="K115" s="40"/>
      <c r="M115" s="483"/>
      <c r="N115" s="586"/>
      <c r="O115" s="586"/>
      <c r="P115" s="586"/>
      <c r="Q115" s="40"/>
      <c r="S115" s="483"/>
      <c r="T115" s="586"/>
      <c r="U115" s="586"/>
      <c r="V115" s="586"/>
      <c r="W115" s="40"/>
    </row>
    <row r="116" spans="1:23">
      <c r="A116" s="483"/>
      <c r="B116" s="586"/>
      <c r="C116" s="586"/>
      <c r="D116" s="586"/>
      <c r="E116" s="40"/>
      <c r="G116" s="483"/>
      <c r="H116" s="586"/>
      <c r="I116" s="586"/>
      <c r="J116" s="586"/>
      <c r="K116" s="40"/>
      <c r="M116" s="483"/>
      <c r="N116" s="586"/>
      <c r="O116" s="586"/>
      <c r="P116" s="586"/>
      <c r="Q116" s="40"/>
      <c r="S116" s="483"/>
      <c r="T116" s="586"/>
      <c r="U116" s="586"/>
      <c r="V116" s="586"/>
      <c r="W116" s="40"/>
    </row>
    <row r="117" spans="1:23">
      <c r="A117" s="483"/>
      <c r="B117" s="586" t="s">
        <v>241</v>
      </c>
      <c r="C117" s="586"/>
      <c r="D117" s="586"/>
      <c r="E117" s="40"/>
      <c r="G117" s="483"/>
      <c r="H117" s="586" t="s">
        <v>241</v>
      </c>
      <c r="I117" s="586"/>
      <c r="J117" s="586"/>
      <c r="K117" s="40"/>
      <c r="M117" s="483"/>
      <c r="N117" s="586" t="s">
        <v>241</v>
      </c>
      <c r="O117" s="586"/>
      <c r="P117" s="586"/>
      <c r="Q117" s="40"/>
      <c r="S117" s="483"/>
      <c r="T117" s="586" t="s">
        <v>241</v>
      </c>
      <c r="U117" s="586"/>
      <c r="V117" s="586"/>
      <c r="W117" s="40"/>
    </row>
    <row r="118" spans="1:23">
      <c r="A118" s="483"/>
      <c r="B118" s="586" t="s">
        <v>544</v>
      </c>
      <c r="C118" s="587">
        <f>C114*C112</f>
        <v>0</v>
      </c>
      <c r="D118" s="586"/>
      <c r="E118" s="40"/>
      <c r="G118" s="483"/>
      <c r="H118" s="586" t="s">
        <v>544</v>
      </c>
      <c r="I118" s="587">
        <f>I114*I112</f>
        <v>0</v>
      </c>
      <c r="J118" s="586"/>
      <c r="K118" s="40"/>
      <c r="M118" s="483"/>
      <c r="N118" s="586" t="s">
        <v>544</v>
      </c>
      <c r="O118" s="587">
        <f>O114*O112</f>
        <v>0</v>
      </c>
      <c r="P118" s="586"/>
      <c r="Q118" s="40"/>
      <c r="S118" s="483"/>
      <c r="T118" s="586" t="s">
        <v>544</v>
      </c>
      <c r="U118" s="587">
        <f>U114*U112</f>
        <v>0</v>
      </c>
      <c r="V118" s="586"/>
      <c r="W118" s="40"/>
    </row>
    <row r="119" spans="1:23">
      <c r="A119" s="483"/>
      <c r="B119" s="586"/>
      <c r="C119" s="586"/>
      <c r="D119" s="586"/>
      <c r="E119" s="40"/>
      <c r="G119" s="483"/>
      <c r="H119" s="586"/>
      <c r="I119" s="586"/>
      <c r="J119" s="586"/>
      <c r="K119" s="40"/>
      <c r="M119" s="483"/>
      <c r="N119" s="586"/>
      <c r="O119" s="586"/>
      <c r="P119" s="586"/>
      <c r="Q119" s="40"/>
      <c r="S119" s="483"/>
      <c r="T119" s="586"/>
      <c r="U119" s="586"/>
      <c r="V119" s="586"/>
      <c r="W119" s="40"/>
    </row>
    <row r="120" spans="1:23" ht="13.5" thickBot="1">
      <c r="A120" s="484"/>
      <c r="B120" s="489" t="s">
        <v>299</v>
      </c>
      <c r="C120" s="490">
        <f>C118-C110</f>
        <v>0</v>
      </c>
      <c r="D120" s="99"/>
      <c r="E120" s="157"/>
      <c r="G120" s="484"/>
      <c r="H120" s="489" t="s">
        <v>299</v>
      </c>
      <c r="I120" s="490">
        <f>I118-I110</f>
        <v>0</v>
      </c>
      <c r="J120" s="99"/>
      <c r="K120" s="157"/>
      <c r="M120" s="484"/>
      <c r="N120" s="489" t="s">
        <v>299</v>
      </c>
      <c r="O120" s="490">
        <f>O118-O110</f>
        <v>0</v>
      </c>
      <c r="P120" s="99"/>
      <c r="Q120" s="157"/>
      <c r="S120" s="484"/>
      <c r="T120" s="489" t="s">
        <v>299</v>
      </c>
      <c r="U120" s="490">
        <f>U118-U110</f>
        <v>0</v>
      </c>
      <c r="V120" s="99"/>
      <c r="W120" s="157"/>
    </row>
    <row r="121" spans="1:23" ht="13" thickBot="1"/>
    <row r="122" spans="1:23" ht="13">
      <c r="A122" s="480">
        <v>8</v>
      </c>
      <c r="B122" s="497" t="s">
        <v>533</v>
      </c>
      <c r="C122" s="497"/>
      <c r="D122" s="497"/>
      <c r="E122" s="498"/>
      <c r="G122" s="480">
        <v>8</v>
      </c>
      <c r="H122" s="497" t="s">
        <v>533</v>
      </c>
      <c r="I122" s="497"/>
      <c r="J122" s="497"/>
      <c r="K122" s="498"/>
      <c r="M122" s="480">
        <v>8</v>
      </c>
      <c r="N122" s="497" t="s">
        <v>533</v>
      </c>
      <c r="O122" s="497"/>
      <c r="P122" s="497"/>
      <c r="Q122" s="498"/>
      <c r="S122" s="480">
        <v>8</v>
      </c>
      <c r="T122" s="497" t="s">
        <v>533</v>
      </c>
      <c r="U122" s="497"/>
      <c r="V122" s="497"/>
      <c r="W122" s="498"/>
    </row>
    <row r="123" spans="1:23">
      <c r="A123" s="483"/>
      <c r="B123" s="586" t="s">
        <v>534</v>
      </c>
      <c r="C123" s="587">
        <f>SUMIF(Equipos!$Q$6:$Q$55,A122,Equipos!$O$6:$O$55)</f>
        <v>0</v>
      </c>
      <c r="D123" s="586" t="s">
        <v>535</v>
      </c>
      <c r="E123" s="487">
        <v>0.11</v>
      </c>
      <c r="G123" s="483"/>
      <c r="H123" s="586" t="s">
        <v>534</v>
      </c>
      <c r="I123" s="587">
        <f>SUMIF('Productos 2'!$P$6:$P$15,G122,'Productos 2'!$N$6:$N$15)</f>
        <v>0</v>
      </c>
      <c r="J123" s="586" t="s">
        <v>535</v>
      </c>
      <c r="K123" s="487">
        <v>0.11</v>
      </c>
      <c r="M123" s="483"/>
      <c r="N123" s="586" t="s">
        <v>534</v>
      </c>
      <c r="O123" s="587">
        <f>SUMIF(MATERIALES!$P$6:$P$44,M122,MATERIALES!$N$6:$N$44)</f>
        <v>0</v>
      </c>
      <c r="P123" s="586" t="s">
        <v>535</v>
      </c>
      <c r="Q123" s="487">
        <v>0.11</v>
      </c>
      <c r="S123" s="483"/>
      <c r="T123" s="586" t="s">
        <v>534</v>
      </c>
      <c r="U123" s="587">
        <f>SUMIF('OPEX GV'!$P$6:$P$15,S122,'OPEX GV'!$N$6:$N$15)</f>
        <v>0</v>
      </c>
      <c r="V123" s="586" t="s">
        <v>535</v>
      </c>
      <c r="W123" s="487">
        <v>0.11</v>
      </c>
    </row>
    <row r="124" spans="1:23">
      <c r="A124" s="483"/>
      <c r="B124" s="586" t="s">
        <v>536</v>
      </c>
      <c r="C124" s="588">
        <v>0</v>
      </c>
      <c r="D124" s="586" t="s">
        <v>537</v>
      </c>
      <c r="E124" s="487">
        <v>0</v>
      </c>
      <c r="G124" s="483"/>
      <c r="H124" s="586" t="s">
        <v>536</v>
      </c>
      <c r="I124" s="588">
        <v>0</v>
      </c>
      <c r="J124" s="586" t="s">
        <v>537</v>
      </c>
      <c r="K124" s="487">
        <v>0</v>
      </c>
      <c r="M124" s="483"/>
      <c r="N124" s="586" t="s">
        <v>536</v>
      </c>
      <c r="O124" s="588">
        <v>0</v>
      </c>
      <c r="P124" s="586" t="s">
        <v>537</v>
      </c>
      <c r="Q124" s="487">
        <v>0</v>
      </c>
      <c r="S124" s="483"/>
      <c r="T124" s="586" t="s">
        <v>536</v>
      </c>
      <c r="U124" s="588">
        <v>0</v>
      </c>
      <c r="V124" s="586" t="s">
        <v>537</v>
      </c>
      <c r="W124" s="487">
        <v>0</v>
      </c>
    </row>
    <row r="125" spans="1:23">
      <c r="A125" s="483"/>
      <c r="B125" s="586" t="s">
        <v>538</v>
      </c>
      <c r="C125" s="588">
        <v>0</v>
      </c>
      <c r="D125" s="586"/>
      <c r="E125" s="40"/>
      <c r="G125" s="483"/>
      <c r="H125" s="586" t="s">
        <v>538</v>
      </c>
      <c r="I125" s="588">
        <v>0</v>
      </c>
      <c r="J125" s="586"/>
      <c r="K125" s="40"/>
      <c r="M125" s="483"/>
      <c r="N125" s="586" t="s">
        <v>538</v>
      </c>
      <c r="O125" s="588">
        <v>0</v>
      </c>
      <c r="P125" s="586"/>
      <c r="Q125" s="40"/>
      <c r="S125" s="483"/>
      <c r="T125" s="586" t="s">
        <v>538</v>
      </c>
      <c r="U125" s="588">
        <v>0</v>
      </c>
      <c r="V125" s="586"/>
      <c r="W125" s="40"/>
    </row>
    <row r="126" spans="1:23">
      <c r="A126" s="483"/>
      <c r="B126" s="586"/>
      <c r="C126" s="586"/>
      <c r="D126" s="586"/>
      <c r="E126" s="40"/>
      <c r="G126" s="483"/>
      <c r="H126" s="586"/>
      <c r="I126" s="586"/>
      <c r="J126" s="586"/>
      <c r="K126" s="40"/>
      <c r="M126" s="483"/>
      <c r="N126" s="586"/>
      <c r="O126" s="586"/>
      <c r="P126" s="586"/>
      <c r="Q126" s="40"/>
      <c r="S126" s="483"/>
      <c r="T126" s="586"/>
      <c r="U126" s="586"/>
      <c r="V126" s="586"/>
      <c r="W126" s="40"/>
    </row>
    <row r="127" spans="1:23" ht="13">
      <c r="A127" s="483"/>
      <c r="B127" s="589" t="s">
        <v>539</v>
      </c>
      <c r="C127" s="590">
        <f>C123-C124-C125</f>
        <v>0</v>
      </c>
      <c r="D127" s="586"/>
      <c r="E127" s="40"/>
      <c r="G127" s="483"/>
      <c r="H127" s="589" t="s">
        <v>539</v>
      </c>
      <c r="I127" s="590">
        <f>I123-I124-I125</f>
        <v>0</v>
      </c>
      <c r="J127" s="586"/>
      <c r="K127" s="40"/>
      <c r="M127" s="483"/>
      <c r="N127" s="589" t="s">
        <v>539</v>
      </c>
      <c r="O127" s="590">
        <f>O123-O124-O125</f>
        <v>0</v>
      </c>
      <c r="P127" s="586"/>
      <c r="Q127" s="40"/>
      <c r="S127" s="483"/>
      <c r="T127" s="589" t="s">
        <v>539</v>
      </c>
      <c r="U127" s="590">
        <f>U123-U124-U125</f>
        <v>0</v>
      </c>
      <c r="V127" s="586"/>
      <c r="W127" s="40"/>
    </row>
    <row r="128" spans="1:23">
      <c r="A128" s="483"/>
      <c r="B128" s="586" t="s">
        <v>540</v>
      </c>
      <c r="C128" s="591">
        <v>4</v>
      </c>
      <c r="D128" s="586"/>
      <c r="E128" s="40"/>
      <c r="G128" s="483"/>
      <c r="H128" s="586" t="s">
        <v>540</v>
      </c>
      <c r="I128" s="591">
        <v>4</v>
      </c>
      <c r="J128" s="586"/>
      <c r="K128" s="40"/>
      <c r="M128" s="483"/>
      <c r="N128" s="586" t="s">
        <v>540</v>
      </c>
      <c r="O128" s="591">
        <v>4</v>
      </c>
      <c r="P128" s="586"/>
      <c r="Q128" s="40"/>
      <c r="S128" s="483"/>
      <c r="T128" s="586" t="s">
        <v>540</v>
      </c>
      <c r="U128" s="591">
        <v>4</v>
      </c>
      <c r="V128" s="586"/>
      <c r="W128" s="40"/>
    </row>
    <row r="129" spans="1:23">
      <c r="A129" s="483"/>
      <c r="B129" s="586" t="s">
        <v>541</v>
      </c>
      <c r="C129" s="592">
        <f>C128*12</f>
        <v>48</v>
      </c>
      <c r="D129" s="586"/>
      <c r="E129" s="40"/>
      <c r="G129" s="483"/>
      <c r="H129" s="586" t="s">
        <v>541</v>
      </c>
      <c r="I129" s="592">
        <f>I128*12</f>
        <v>48</v>
      </c>
      <c r="J129" s="586"/>
      <c r="K129" s="40"/>
      <c r="M129" s="483"/>
      <c r="N129" s="586" t="s">
        <v>541</v>
      </c>
      <c r="O129" s="592">
        <f>O128*12</f>
        <v>48</v>
      </c>
      <c r="P129" s="586"/>
      <c r="Q129" s="40"/>
      <c r="S129" s="483"/>
      <c r="T129" s="586" t="s">
        <v>541</v>
      </c>
      <c r="U129" s="592">
        <f>U128*12</f>
        <v>48</v>
      </c>
      <c r="V129" s="586"/>
      <c r="W129" s="40"/>
    </row>
    <row r="130" spans="1:23">
      <c r="A130" s="483"/>
      <c r="B130" s="586"/>
      <c r="C130" s="586"/>
      <c r="D130" s="586"/>
      <c r="E130" s="40"/>
      <c r="G130" s="483"/>
      <c r="H130" s="586"/>
      <c r="I130" s="586"/>
      <c r="J130" s="586"/>
      <c r="K130" s="40"/>
      <c r="M130" s="483"/>
      <c r="N130" s="586"/>
      <c r="O130" s="586"/>
      <c r="P130" s="586"/>
      <c r="Q130" s="40"/>
      <c r="S130" s="483"/>
      <c r="T130" s="586"/>
      <c r="U130" s="586"/>
      <c r="V130" s="586"/>
      <c r="W130" s="40"/>
    </row>
    <row r="131" spans="1:23" ht="13">
      <c r="A131" s="483"/>
      <c r="B131" s="589" t="s">
        <v>542</v>
      </c>
      <c r="C131" s="590">
        <f>-PMT(E123/12,C129,C127)</f>
        <v>0</v>
      </c>
      <c r="D131" s="589" t="s">
        <v>543</v>
      </c>
      <c r="E131" s="488">
        <f>C131*12</f>
        <v>0</v>
      </c>
      <c r="G131" s="483"/>
      <c r="H131" s="589" t="s">
        <v>542</v>
      </c>
      <c r="I131" s="590">
        <f>-PMT(K123/12,I129,I127)</f>
        <v>0</v>
      </c>
      <c r="J131" s="589" t="s">
        <v>543</v>
      </c>
      <c r="K131" s="488">
        <f>I131*12</f>
        <v>0</v>
      </c>
      <c r="M131" s="483"/>
      <c r="N131" s="589" t="s">
        <v>542</v>
      </c>
      <c r="O131" s="590">
        <f>-PMT(Q123/12,O129,O127)</f>
        <v>0</v>
      </c>
      <c r="P131" s="589" t="s">
        <v>543</v>
      </c>
      <c r="Q131" s="488">
        <f>O131*12</f>
        <v>0</v>
      </c>
      <c r="S131" s="483"/>
      <c r="T131" s="589" t="s">
        <v>542</v>
      </c>
      <c r="U131" s="590">
        <f>-PMT(W123/12,U129,U127)</f>
        <v>0</v>
      </c>
      <c r="V131" s="589" t="s">
        <v>543</v>
      </c>
      <c r="W131" s="488">
        <f>U131*12</f>
        <v>0</v>
      </c>
    </row>
    <row r="132" spans="1:23">
      <c r="A132" s="483"/>
      <c r="B132" s="586"/>
      <c r="C132" s="586"/>
      <c r="D132" s="586"/>
      <c r="E132" s="40"/>
      <c r="G132" s="483"/>
      <c r="H132" s="586"/>
      <c r="I132" s="586"/>
      <c r="J132" s="586"/>
      <c r="K132" s="40"/>
      <c r="M132" s="483"/>
      <c r="N132" s="586"/>
      <c r="O132" s="586"/>
      <c r="P132" s="586"/>
      <c r="Q132" s="40"/>
      <c r="S132" s="483"/>
      <c r="T132" s="586"/>
      <c r="U132" s="586"/>
      <c r="V132" s="586"/>
      <c r="W132" s="40"/>
    </row>
    <row r="133" spans="1:23">
      <c r="A133" s="483"/>
      <c r="B133" s="586"/>
      <c r="C133" s="586"/>
      <c r="D133" s="586"/>
      <c r="E133" s="40"/>
      <c r="G133" s="483"/>
      <c r="H133" s="586"/>
      <c r="I133" s="586"/>
      <c r="J133" s="586"/>
      <c r="K133" s="40"/>
      <c r="M133" s="483"/>
      <c r="N133" s="586"/>
      <c r="O133" s="586"/>
      <c r="P133" s="586"/>
      <c r="Q133" s="40"/>
      <c r="S133" s="483"/>
      <c r="T133" s="586"/>
      <c r="U133" s="586"/>
      <c r="V133" s="586"/>
      <c r="W133" s="40"/>
    </row>
    <row r="134" spans="1:23">
      <c r="A134" s="483"/>
      <c r="B134" s="586" t="s">
        <v>241</v>
      </c>
      <c r="C134" s="586"/>
      <c r="D134" s="586"/>
      <c r="E134" s="40"/>
      <c r="G134" s="483"/>
      <c r="H134" s="586" t="s">
        <v>241</v>
      </c>
      <c r="I134" s="586"/>
      <c r="J134" s="586"/>
      <c r="K134" s="40"/>
      <c r="M134" s="483"/>
      <c r="N134" s="586" t="s">
        <v>241</v>
      </c>
      <c r="O134" s="586"/>
      <c r="P134" s="586"/>
      <c r="Q134" s="40"/>
      <c r="S134" s="483"/>
      <c r="T134" s="586" t="s">
        <v>241</v>
      </c>
      <c r="U134" s="586"/>
      <c r="V134" s="586"/>
      <c r="W134" s="40"/>
    </row>
    <row r="135" spans="1:23">
      <c r="A135" s="483"/>
      <c r="B135" s="586" t="s">
        <v>544</v>
      </c>
      <c r="C135" s="587">
        <f>C131*C129</f>
        <v>0</v>
      </c>
      <c r="D135" s="586"/>
      <c r="E135" s="40"/>
      <c r="G135" s="483"/>
      <c r="H135" s="586" t="s">
        <v>544</v>
      </c>
      <c r="I135" s="587">
        <f>I131*I129</f>
        <v>0</v>
      </c>
      <c r="J135" s="586"/>
      <c r="K135" s="40"/>
      <c r="M135" s="483"/>
      <c r="N135" s="586" t="s">
        <v>544</v>
      </c>
      <c r="O135" s="587">
        <f>O131*O129</f>
        <v>0</v>
      </c>
      <c r="P135" s="586"/>
      <c r="Q135" s="40"/>
      <c r="S135" s="483"/>
      <c r="T135" s="586" t="s">
        <v>544</v>
      </c>
      <c r="U135" s="587">
        <f>U131*U129</f>
        <v>0</v>
      </c>
      <c r="V135" s="586"/>
      <c r="W135" s="40"/>
    </row>
    <row r="136" spans="1:23">
      <c r="A136" s="483"/>
      <c r="B136" s="586"/>
      <c r="C136" s="586"/>
      <c r="D136" s="586"/>
      <c r="E136" s="40"/>
      <c r="G136" s="483"/>
      <c r="H136" s="586"/>
      <c r="I136" s="586"/>
      <c r="J136" s="586"/>
      <c r="K136" s="40"/>
      <c r="M136" s="483"/>
      <c r="N136" s="586"/>
      <c r="O136" s="586"/>
      <c r="P136" s="586"/>
      <c r="Q136" s="40"/>
      <c r="S136" s="483"/>
      <c r="T136" s="586"/>
      <c r="U136" s="586"/>
      <c r="V136" s="586"/>
      <c r="W136" s="40"/>
    </row>
    <row r="137" spans="1:23" ht="13.5" thickBot="1">
      <c r="A137" s="484"/>
      <c r="B137" s="489" t="s">
        <v>299</v>
      </c>
      <c r="C137" s="490">
        <f>C135-C127</f>
        <v>0</v>
      </c>
      <c r="D137" s="99"/>
      <c r="E137" s="157"/>
      <c r="G137" s="484"/>
      <c r="H137" s="489" t="s">
        <v>299</v>
      </c>
      <c r="I137" s="490">
        <f>I135-I127</f>
        <v>0</v>
      </c>
      <c r="J137" s="99"/>
      <c r="K137" s="157"/>
      <c r="M137" s="484"/>
      <c r="N137" s="489" t="s">
        <v>299</v>
      </c>
      <c r="O137" s="490">
        <f>O135-O127</f>
        <v>0</v>
      </c>
      <c r="P137" s="99"/>
      <c r="Q137" s="157"/>
      <c r="S137" s="484"/>
      <c r="T137" s="489" t="s">
        <v>299</v>
      </c>
      <c r="U137" s="490">
        <f>U135-U127</f>
        <v>0</v>
      </c>
      <c r="V137" s="99"/>
      <c r="W137" s="157"/>
    </row>
    <row r="138" spans="1:23" ht="13" thickBot="1"/>
    <row r="139" spans="1:23" ht="13">
      <c r="A139" s="480">
        <v>9</v>
      </c>
      <c r="B139" s="497" t="s">
        <v>533</v>
      </c>
      <c r="C139" s="497"/>
      <c r="D139" s="497"/>
      <c r="E139" s="498"/>
      <c r="G139" s="480">
        <v>9</v>
      </c>
      <c r="H139" s="497" t="s">
        <v>533</v>
      </c>
      <c r="I139" s="497"/>
      <c r="J139" s="497"/>
      <c r="K139" s="498"/>
      <c r="M139" s="480">
        <v>9</v>
      </c>
      <c r="N139" s="497" t="s">
        <v>533</v>
      </c>
      <c r="O139" s="497"/>
      <c r="P139" s="497"/>
      <c r="Q139" s="498"/>
      <c r="S139" s="480">
        <v>9</v>
      </c>
      <c r="T139" s="497" t="s">
        <v>533</v>
      </c>
      <c r="U139" s="497"/>
      <c r="V139" s="497"/>
      <c r="W139" s="498"/>
    </row>
    <row r="140" spans="1:23">
      <c r="A140" s="483"/>
      <c r="B140" s="586" t="s">
        <v>534</v>
      </c>
      <c r="C140" s="587">
        <f>SUMIF(Equipos!$Q$6:$Q$55,A139,Equipos!$O$6:$O$55)</f>
        <v>0</v>
      </c>
      <c r="D140" s="586" t="s">
        <v>535</v>
      </c>
      <c r="E140" s="487">
        <v>0.11</v>
      </c>
      <c r="G140" s="483"/>
      <c r="H140" s="586" t="s">
        <v>534</v>
      </c>
      <c r="I140" s="587">
        <f>SUMIF('Productos 2'!$P$6:$P$15,G139,'Productos 2'!$N$6:$N$15)</f>
        <v>0</v>
      </c>
      <c r="J140" s="586" t="s">
        <v>535</v>
      </c>
      <c r="K140" s="487">
        <v>0.11</v>
      </c>
      <c r="M140" s="483"/>
      <c r="N140" s="586" t="s">
        <v>534</v>
      </c>
      <c r="O140" s="587">
        <f>SUMIF(MATERIALES!$P$6:$P$44,M139,MATERIALES!$N$6:$N$44)</f>
        <v>0</v>
      </c>
      <c r="P140" s="586" t="s">
        <v>535</v>
      </c>
      <c r="Q140" s="487">
        <v>0.11</v>
      </c>
      <c r="S140" s="483"/>
      <c r="T140" s="586" t="s">
        <v>534</v>
      </c>
      <c r="U140" s="587">
        <f>SUMIF('OPEX GV'!$P$6:$P$15,S139,'OPEX GV'!$N$6:$N$15)</f>
        <v>0</v>
      </c>
      <c r="V140" s="586" t="s">
        <v>535</v>
      </c>
      <c r="W140" s="487">
        <v>0.11</v>
      </c>
    </row>
    <row r="141" spans="1:23">
      <c r="A141" s="483"/>
      <c r="B141" s="586" t="s">
        <v>536</v>
      </c>
      <c r="C141" s="588">
        <v>0</v>
      </c>
      <c r="D141" s="586" t="s">
        <v>537</v>
      </c>
      <c r="E141" s="487">
        <v>0</v>
      </c>
      <c r="G141" s="483"/>
      <c r="H141" s="586" t="s">
        <v>536</v>
      </c>
      <c r="I141" s="588">
        <v>0</v>
      </c>
      <c r="J141" s="586" t="s">
        <v>537</v>
      </c>
      <c r="K141" s="487">
        <v>0</v>
      </c>
      <c r="M141" s="483"/>
      <c r="N141" s="586" t="s">
        <v>536</v>
      </c>
      <c r="O141" s="588">
        <v>0</v>
      </c>
      <c r="P141" s="586" t="s">
        <v>537</v>
      </c>
      <c r="Q141" s="487">
        <v>0</v>
      </c>
      <c r="S141" s="483"/>
      <c r="T141" s="586" t="s">
        <v>536</v>
      </c>
      <c r="U141" s="588">
        <v>0</v>
      </c>
      <c r="V141" s="586" t="s">
        <v>537</v>
      </c>
      <c r="W141" s="487">
        <v>0</v>
      </c>
    </row>
    <row r="142" spans="1:23">
      <c r="A142" s="483"/>
      <c r="B142" s="586" t="s">
        <v>538</v>
      </c>
      <c r="C142" s="588">
        <v>0</v>
      </c>
      <c r="D142" s="586"/>
      <c r="E142" s="40"/>
      <c r="G142" s="483"/>
      <c r="H142" s="586" t="s">
        <v>538</v>
      </c>
      <c r="I142" s="588">
        <v>0</v>
      </c>
      <c r="J142" s="586"/>
      <c r="K142" s="40"/>
      <c r="M142" s="483"/>
      <c r="N142" s="586" t="s">
        <v>538</v>
      </c>
      <c r="O142" s="588">
        <v>0</v>
      </c>
      <c r="P142" s="586"/>
      <c r="Q142" s="40"/>
      <c r="S142" s="483"/>
      <c r="T142" s="586" t="s">
        <v>538</v>
      </c>
      <c r="U142" s="588">
        <v>0</v>
      </c>
      <c r="V142" s="586"/>
      <c r="W142" s="40"/>
    </row>
    <row r="143" spans="1:23">
      <c r="A143" s="483"/>
      <c r="B143" s="586"/>
      <c r="C143" s="586"/>
      <c r="D143" s="586"/>
      <c r="E143" s="40"/>
      <c r="G143" s="483"/>
      <c r="H143" s="586"/>
      <c r="I143" s="586"/>
      <c r="J143" s="586"/>
      <c r="K143" s="40"/>
      <c r="M143" s="483"/>
      <c r="N143" s="586"/>
      <c r="O143" s="586"/>
      <c r="P143" s="586"/>
      <c r="Q143" s="40"/>
      <c r="S143" s="483"/>
      <c r="T143" s="586"/>
      <c r="U143" s="586"/>
      <c r="V143" s="586"/>
      <c r="W143" s="40"/>
    </row>
    <row r="144" spans="1:23" ht="13">
      <c r="A144" s="483"/>
      <c r="B144" s="589" t="s">
        <v>539</v>
      </c>
      <c r="C144" s="590">
        <f>C140-C141-C142</f>
        <v>0</v>
      </c>
      <c r="D144" s="586"/>
      <c r="E144" s="40"/>
      <c r="G144" s="483"/>
      <c r="H144" s="589" t="s">
        <v>539</v>
      </c>
      <c r="I144" s="590">
        <f>I140-I141-I142</f>
        <v>0</v>
      </c>
      <c r="J144" s="586"/>
      <c r="K144" s="40"/>
      <c r="M144" s="483"/>
      <c r="N144" s="589" t="s">
        <v>539</v>
      </c>
      <c r="O144" s="590">
        <f>O140-O141-O142</f>
        <v>0</v>
      </c>
      <c r="P144" s="586"/>
      <c r="Q144" s="40"/>
      <c r="S144" s="483"/>
      <c r="T144" s="589" t="s">
        <v>539</v>
      </c>
      <c r="U144" s="590">
        <f>U140-U141-U142</f>
        <v>0</v>
      </c>
      <c r="V144" s="586"/>
      <c r="W144" s="40"/>
    </row>
    <row r="145" spans="1:23">
      <c r="A145" s="483"/>
      <c r="B145" s="586" t="s">
        <v>540</v>
      </c>
      <c r="C145" s="591">
        <v>4</v>
      </c>
      <c r="D145" s="586"/>
      <c r="E145" s="40"/>
      <c r="G145" s="483"/>
      <c r="H145" s="586" t="s">
        <v>540</v>
      </c>
      <c r="I145" s="591">
        <v>4</v>
      </c>
      <c r="J145" s="586"/>
      <c r="K145" s="40"/>
      <c r="M145" s="483"/>
      <c r="N145" s="586" t="s">
        <v>540</v>
      </c>
      <c r="O145" s="591">
        <v>4</v>
      </c>
      <c r="P145" s="586"/>
      <c r="Q145" s="40"/>
      <c r="S145" s="483"/>
      <c r="T145" s="586" t="s">
        <v>540</v>
      </c>
      <c r="U145" s="591">
        <v>4</v>
      </c>
      <c r="V145" s="586"/>
      <c r="W145" s="40"/>
    </row>
    <row r="146" spans="1:23">
      <c r="A146" s="483"/>
      <c r="B146" s="586" t="s">
        <v>541</v>
      </c>
      <c r="C146" s="592">
        <f>C145*12</f>
        <v>48</v>
      </c>
      <c r="D146" s="586"/>
      <c r="E146" s="40"/>
      <c r="G146" s="483"/>
      <c r="H146" s="586" t="s">
        <v>541</v>
      </c>
      <c r="I146" s="592">
        <f>I145*12</f>
        <v>48</v>
      </c>
      <c r="J146" s="586"/>
      <c r="K146" s="40"/>
      <c r="M146" s="483"/>
      <c r="N146" s="586" t="s">
        <v>541</v>
      </c>
      <c r="O146" s="592">
        <f>O145*12</f>
        <v>48</v>
      </c>
      <c r="P146" s="586"/>
      <c r="Q146" s="40"/>
      <c r="S146" s="483"/>
      <c r="T146" s="586" t="s">
        <v>541</v>
      </c>
      <c r="U146" s="592">
        <f>U145*12</f>
        <v>48</v>
      </c>
      <c r="V146" s="586"/>
      <c r="W146" s="40"/>
    </row>
    <row r="147" spans="1:23">
      <c r="A147" s="483"/>
      <c r="B147" s="586"/>
      <c r="C147" s="586"/>
      <c r="D147" s="586"/>
      <c r="E147" s="40"/>
      <c r="G147" s="483"/>
      <c r="H147" s="586"/>
      <c r="I147" s="586"/>
      <c r="J147" s="586"/>
      <c r="K147" s="40"/>
      <c r="M147" s="483"/>
      <c r="N147" s="586"/>
      <c r="O147" s="586"/>
      <c r="P147" s="586"/>
      <c r="Q147" s="40"/>
      <c r="S147" s="483"/>
      <c r="T147" s="586"/>
      <c r="U147" s="586"/>
      <c r="V147" s="586"/>
      <c r="W147" s="40"/>
    </row>
    <row r="148" spans="1:23" ht="13">
      <c r="A148" s="483"/>
      <c r="B148" s="589" t="s">
        <v>542</v>
      </c>
      <c r="C148" s="590">
        <f>-PMT(E140/12,C146,C144)</f>
        <v>0</v>
      </c>
      <c r="D148" s="589" t="s">
        <v>543</v>
      </c>
      <c r="E148" s="488">
        <f>C148*12</f>
        <v>0</v>
      </c>
      <c r="G148" s="483"/>
      <c r="H148" s="589" t="s">
        <v>542</v>
      </c>
      <c r="I148" s="590">
        <f>-PMT(K140/12,I146,I144)</f>
        <v>0</v>
      </c>
      <c r="J148" s="589" t="s">
        <v>543</v>
      </c>
      <c r="K148" s="488">
        <f>I148*12</f>
        <v>0</v>
      </c>
      <c r="M148" s="483"/>
      <c r="N148" s="589" t="s">
        <v>542</v>
      </c>
      <c r="O148" s="590">
        <f>-PMT(Q140/12,O146,O144)</f>
        <v>0</v>
      </c>
      <c r="P148" s="589" t="s">
        <v>543</v>
      </c>
      <c r="Q148" s="488">
        <f>O148*12</f>
        <v>0</v>
      </c>
      <c r="S148" s="483"/>
      <c r="T148" s="589" t="s">
        <v>542</v>
      </c>
      <c r="U148" s="590">
        <f>-PMT(W140/12,U146,U144)</f>
        <v>0</v>
      </c>
      <c r="V148" s="589" t="s">
        <v>543</v>
      </c>
      <c r="W148" s="488">
        <f>U148*12</f>
        <v>0</v>
      </c>
    </row>
    <row r="149" spans="1:23">
      <c r="A149" s="483"/>
      <c r="B149" s="586"/>
      <c r="C149" s="586"/>
      <c r="D149" s="586"/>
      <c r="E149" s="40"/>
      <c r="G149" s="483"/>
      <c r="H149" s="586"/>
      <c r="I149" s="586"/>
      <c r="J149" s="586"/>
      <c r="K149" s="40"/>
      <c r="M149" s="483"/>
      <c r="N149" s="586"/>
      <c r="O149" s="586"/>
      <c r="P149" s="586"/>
      <c r="Q149" s="40"/>
      <c r="S149" s="483"/>
      <c r="T149" s="586"/>
      <c r="U149" s="586"/>
      <c r="V149" s="586"/>
      <c r="W149" s="40"/>
    </row>
    <row r="150" spans="1:23">
      <c r="A150" s="483"/>
      <c r="B150" s="586"/>
      <c r="C150" s="586"/>
      <c r="D150" s="586"/>
      <c r="E150" s="40"/>
      <c r="G150" s="483"/>
      <c r="H150" s="586"/>
      <c r="I150" s="586"/>
      <c r="J150" s="586"/>
      <c r="K150" s="40"/>
      <c r="M150" s="483"/>
      <c r="N150" s="586"/>
      <c r="O150" s="586"/>
      <c r="P150" s="586"/>
      <c r="Q150" s="40"/>
      <c r="S150" s="483"/>
      <c r="T150" s="586"/>
      <c r="U150" s="586"/>
      <c r="V150" s="586"/>
      <c r="W150" s="40"/>
    </row>
    <row r="151" spans="1:23">
      <c r="A151" s="483"/>
      <c r="B151" s="586" t="s">
        <v>241</v>
      </c>
      <c r="C151" s="586"/>
      <c r="D151" s="586"/>
      <c r="E151" s="40"/>
      <c r="G151" s="483"/>
      <c r="H151" s="586" t="s">
        <v>241</v>
      </c>
      <c r="I151" s="586"/>
      <c r="J151" s="586"/>
      <c r="K151" s="40"/>
      <c r="M151" s="483"/>
      <c r="N151" s="586" t="s">
        <v>241</v>
      </c>
      <c r="O151" s="586"/>
      <c r="P151" s="586"/>
      <c r="Q151" s="40"/>
      <c r="S151" s="483"/>
      <c r="T151" s="586" t="s">
        <v>241</v>
      </c>
      <c r="U151" s="586"/>
      <c r="V151" s="586"/>
      <c r="W151" s="40"/>
    </row>
    <row r="152" spans="1:23">
      <c r="A152" s="483"/>
      <c r="B152" s="586" t="s">
        <v>544</v>
      </c>
      <c r="C152" s="587">
        <f>C148*C146</f>
        <v>0</v>
      </c>
      <c r="D152" s="586"/>
      <c r="E152" s="40"/>
      <c r="G152" s="483"/>
      <c r="H152" s="586" t="s">
        <v>544</v>
      </c>
      <c r="I152" s="587">
        <f>I148*I146</f>
        <v>0</v>
      </c>
      <c r="J152" s="586"/>
      <c r="K152" s="40"/>
      <c r="M152" s="483"/>
      <c r="N152" s="586" t="s">
        <v>544</v>
      </c>
      <c r="O152" s="587">
        <f>O148*O146</f>
        <v>0</v>
      </c>
      <c r="P152" s="586"/>
      <c r="Q152" s="40"/>
      <c r="S152" s="483"/>
      <c r="T152" s="586" t="s">
        <v>544</v>
      </c>
      <c r="U152" s="587">
        <f>U148*U146</f>
        <v>0</v>
      </c>
      <c r="V152" s="586"/>
      <c r="W152" s="40"/>
    </row>
    <row r="153" spans="1:23">
      <c r="A153" s="483"/>
      <c r="B153" s="586"/>
      <c r="C153" s="586"/>
      <c r="D153" s="586"/>
      <c r="E153" s="40"/>
      <c r="G153" s="483"/>
      <c r="H153" s="586"/>
      <c r="I153" s="586"/>
      <c r="J153" s="586"/>
      <c r="K153" s="40"/>
      <c r="M153" s="483"/>
      <c r="N153" s="586"/>
      <c r="O153" s="586"/>
      <c r="P153" s="586"/>
      <c r="Q153" s="40"/>
      <c r="S153" s="483"/>
      <c r="T153" s="586"/>
      <c r="U153" s="586"/>
      <c r="V153" s="586"/>
      <c r="W153" s="40"/>
    </row>
    <row r="154" spans="1:23" ht="13.5" thickBot="1">
      <c r="A154" s="484"/>
      <c r="B154" s="489" t="s">
        <v>299</v>
      </c>
      <c r="C154" s="490">
        <f>C152-C144</f>
        <v>0</v>
      </c>
      <c r="D154" s="99"/>
      <c r="E154" s="157"/>
      <c r="G154" s="484"/>
      <c r="H154" s="489" t="s">
        <v>299</v>
      </c>
      <c r="I154" s="490">
        <f>I152-I144</f>
        <v>0</v>
      </c>
      <c r="J154" s="99"/>
      <c r="K154" s="157"/>
      <c r="M154" s="484"/>
      <c r="N154" s="489" t="s">
        <v>299</v>
      </c>
      <c r="O154" s="490">
        <f>O152-O144</f>
        <v>0</v>
      </c>
      <c r="P154" s="99"/>
      <c r="Q154" s="157"/>
      <c r="S154" s="484"/>
      <c r="T154" s="489" t="s">
        <v>299</v>
      </c>
      <c r="U154" s="490">
        <f>U152-U144</f>
        <v>0</v>
      </c>
      <c r="V154" s="99"/>
      <c r="W154" s="157"/>
    </row>
    <row r="155" spans="1:23" ht="13" thickBot="1"/>
    <row r="156" spans="1:23" ht="13">
      <c r="A156" s="480">
        <v>10</v>
      </c>
      <c r="B156" s="497" t="s">
        <v>533</v>
      </c>
      <c r="C156" s="497"/>
      <c r="D156" s="497"/>
      <c r="E156" s="498"/>
      <c r="G156" s="480">
        <v>10</v>
      </c>
      <c r="H156" s="497" t="s">
        <v>533</v>
      </c>
      <c r="I156" s="497"/>
      <c r="J156" s="497"/>
      <c r="K156" s="498"/>
      <c r="M156" s="480">
        <v>10</v>
      </c>
      <c r="N156" s="497" t="s">
        <v>533</v>
      </c>
      <c r="O156" s="497"/>
      <c r="P156" s="497"/>
      <c r="Q156" s="498"/>
      <c r="S156" s="480">
        <v>10</v>
      </c>
      <c r="T156" s="497" t="s">
        <v>533</v>
      </c>
      <c r="U156" s="497"/>
      <c r="V156" s="497"/>
      <c r="W156" s="498"/>
    </row>
    <row r="157" spans="1:23">
      <c r="A157" s="483"/>
      <c r="B157" s="586" t="s">
        <v>534</v>
      </c>
      <c r="C157" s="587">
        <f>SUMIF(Equipos!$Q$6:$Q$55,A156,Equipos!$O$6:$O$55)</f>
        <v>0</v>
      </c>
      <c r="D157" s="586" t="s">
        <v>535</v>
      </c>
      <c r="E157" s="487">
        <v>0.11</v>
      </c>
      <c r="G157" s="483"/>
      <c r="H157" s="586" t="s">
        <v>534</v>
      </c>
      <c r="I157" s="587">
        <f>SUMIF('Productos 2'!$P$6:$P$15,G156,'Productos 2'!$N$6:$N$15)</f>
        <v>0</v>
      </c>
      <c r="J157" s="586" t="s">
        <v>535</v>
      </c>
      <c r="K157" s="487">
        <v>0.11</v>
      </c>
      <c r="M157" s="483"/>
      <c r="N157" s="586" t="s">
        <v>534</v>
      </c>
      <c r="O157" s="587">
        <f>SUMIF(MATERIALES!$P$6:$P$44,M156,MATERIALES!$N$6:$N$44)</f>
        <v>0</v>
      </c>
      <c r="P157" s="586" t="s">
        <v>535</v>
      </c>
      <c r="Q157" s="487">
        <v>0.11</v>
      </c>
      <c r="S157" s="483"/>
      <c r="T157" s="586" t="s">
        <v>534</v>
      </c>
      <c r="U157" s="587">
        <f>SUMIF('OPEX GV'!$P$6:$P$15,S156,'OPEX GV'!$N$6:$N$15)</f>
        <v>0</v>
      </c>
      <c r="V157" s="586" t="s">
        <v>535</v>
      </c>
      <c r="W157" s="487">
        <v>0.11</v>
      </c>
    </row>
    <row r="158" spans="1:23">
      <c r="A158" s="483"/>
      <c r="B158" s="586" t="s">
        <v>536</v>
      </c>
      <c r="C158" s="588">
        <v>0</v>
      </c>
      <c r="D158" s="586" t="s">
        <v>537</v>
      </c>
      <c r="E158" s="487">
        <v>0</v>
      </c>
      <c r="G158" s="483"/>
      <c r="H158" s="586" t="s">
        <v>536</v>
      </c>
      <c r="I158" s="588">
        <v>0</v>
      </c>
      <c r="J158" s="586" t="s">
        <v>537</v>
      </c>
      <c r="K158" s="487">
        <v>0</v>
      </c>
      <c r="M158" s="483"/>
      <c r="N158" s="586" t="s">
        <v>536</v>
      </c>
      <c r="O158" s="588">
        <v>0</v>
      </c>
      <c r="P158" s="586" t="s">
        <v>537</v>
      </c>
      <c r="Q158" s="487">
        <v>0</v>
      </c>
      <c r="S158" s="483"/>
      <c r="T158" s="586" t="s">
        <v>536</v>
      </c>
      <c r="U158" s="588">
        <v>0</v>
      </c>
      <c r="V158" s="586" t="s">
        <v>537</v>
      </c>
      <c r="W158" s="487">
        <v>0</v>
      </c>
    </row>
    <row r="159" spans="1:23">
      <c r="A159" s="483"/>
      <c r="B159" s="586" t="s">
        <v>538</v>
      </c>
      <c r="C159" s="588">
        <v>0</v>
      </c>
      <c r="D159" s="586"/>
      <c r="E159" s="40"/>
      <c r="G159" s="483"/>
      <c r="H159" s="586" t="s">
        <v>538</v>
      </c>
      <c r="I159" s="588">
        <v>0</v>
      </c>
      <c r="J159" s="586"/>
      <c r="K159" s="40"/>
      <c r="M159" s="483"/>
      <c r="N159" s="586" t="s">
        <v>538</v>
      </c>
      <c r="O159" s="588">
        <v>0</v>
      </c>
      <c r="P159" s="586"/>
      <c r="Q159" s="40"/>
      <c r="S159" s="483"/>
      <c r="T159" s="586" t="s">
        <v>538</v>
      </c>
      <c r="U159" s="588">
        <v>0</v>
      </c>
      <c r="V159" s="586"/>
      <c r="W159" s="40"/>
    </row>
    <row r="160" spans="1:23">
      <c r="A160" s="483"/>
      <c r="B160" s="586"/>
      <c r="C160" s="586"/>
      <c r="D160" s="586"/>
      <c r="E160" s="40"/>
      <c r="G160" s="483"/>
      <c r="H160" s="586"/>
      <c r="I160" s="586"/>
      <c r="J160" s="586"/>
      <c r="K160" s="40"/>
      <c r="M160" s="483"/>
      <c r="N160" s="586"/>
      <c r="O160" s="586"/>
      <c r="P160" s="586"/>
      <c r="Q160" s="40"/>
      <c r="S160" s="483"/>
      <c r="T160" s="586"/>
      <c r="U160" s="586"/>
      <c r="V160" s="586"/>
      <c r="W160" s="40"/>
    </row>
    <row r="161" spans="1:23" ht="13">
      <c r="A161" s="483"/>
      <c r="B161" s="589" t="s">
        <v>539</v>
      </c>
      <c r="C161" s="590">
        <f>C157-C158-C159</f>
        <v>0</v>
      </c>
      <c r="D161" s="586"/>
      <c r="E161" s="40"/>
      <c r="G161" s="483"/>
      <c r="H161" s="589" t="s">
        <v>539</v>
      </c>
      <c r="I161" s="590">
        <f>I157-I158-I159</f>
        <v>0</v>
      </c>
      <c r="J161" s="586"/>
      <c r="K161" s="40"/>
      <c r="M161" s="483"/>
      <c r="N161" s="589" t="s">
        <v>539</v>
      </c>
      <c r="O161" s="590">
        <f>O157-O158-O159</f>
        <v>0</v>
      </c>
      <c r="P161" s="586"/>
      <c r="Q161" s="40"/>
      <c r="S161" s="483"/>
      <c r="T161" s="589" t="s">
        <v>539</v>
      </c>
      <c r="U161" s="590">
        <f>U157-U158-U159</f>
        <v>0</v>
      </c>
      <c r="V161" s="586"/>
      <c r="W161" s="40"/>
    </row>
    <row r="162" spans="1:23">
      <c r="A162" s="483"/>
      <c r="B162" s="586" t="s">
        <v>540</v>
      </c>
      <c r="C162" s="591">
        <v>4</v>
      </c>
      <c r="D162" s="586"/>
      <c r="E162" s="40"/>
      <c r="G162" s="483"/>
      <c r="H162" s="586" t="s">
        <v>540</v>
      </c>
      <c r="I162" s="591">
        <v>4</v>
      </c>
      <c r="J162" s="586"/>
      <c r="K162" s="40"/>
      <c r="M162" s="483"/>
      <c r="N162" s="586" t="s">
        <v>540</v>
      </c>
      <c r="O162" s="591">
        <v>4</v>
      </c>
      <c r="P162" s="586"/>
      <c r="Q162" s="40"/>
      <c r="S162" s="483"/>
      <c r="T162" s="586" t="s">
        <v>540</v>
      </c>
      <c r="U162" s="591">
        <v>4</v>
      </c>
      <c r="V162" s="586"/>
      <c r="W162" s="40"/>
    </row>
    <row r="163" spans="1:23">
      <c r="A163" s="483"/>
      <c r="B163" s="586" t="s">
        <v>541</v>
      </c>
      <c r="C163" s="592">
        <f>C162*12</f>
        <v>48</v>
      </c>
      <c r="D163" s="586"/>
      <c r="E163" s="40"/>
      <c r="G163" s="483"/>
      <c r="H163" s="586" t="s">
        <v>541</v>
      </c>
      <c r="I163" s="592">
        <f>I162*12</f>
        <v>48</v>
      </c>
      <c r="J163" s="586"/>
      <c r="K163" s="40"/>
      <c r="M163" s="483"/>
      <c r="N163" s="586" t="s">
        <v>541</v>
      </c>
      <c r="O163" s="592">
        <f>O162*12</f>
        <v>48</v>
      </c>
      <c r="P163" s="586"/>
      <c r="Q163" s="40"/>
      <c r="S163" s="483"/>
      <c r="T163" s="586" t="s">
        <v>541</v>
      </c>
      <c r="U163" s="592">
        <f>U162*12</f>
        <v>48</v>
      </c>
      <c r="V163" s="586"/>
      <c r="W163" s="40"/>
    </row>
    <row r="164" spans="1:23">
      <c r="A164" s="483"/>
      <c r="B164" s="586"/>
      <c r="C164" s="586"/>
      <c r="D164" s="586"/>
      <c r="E164" s="40"/>
      <c r="G164" s="483"/>
      <c r="H164" s="586"/>
      <c r="I164" s="586"/>
      <c r="J164" s="586"/>
      <c r="K164" s="40"/>
      <c r="M164" s="483"/>
      <c r="N164" s="586"/>
      <c r="O164" s="586"/>
      <c r="P164" s="586"/>
      <c r="Q164" s="40"/>
      <c r="S164" s="483"/>
      <c r="T164" s="586"/>
      <c r="U164" s="586"/>
      <c r="V164" s="586"/>
      <c r="W164" s="40"/>
    </row>
    <row r="165" spans="1:23" ht="13">
      <c r="A165" s="483"/>
      <c r="B165" s="589" t="s">
        <v>542</v>
      </c>
      <c r="C165" s="590">
        <f>-PMT(E157/12,C163,C161)</f>
        <v>0</v>
      </c>
      <c r="D165" s="589" t="s">
        <v>543</v>
      </c>
      <c r="E165" s="488">
        <f>C165*12</f>
        <v>0</v>
      </c>
      <c r="G165" s="483"/>
      <c r="H165" s="589" t="s">
        <v>542</v>
      </c>
      <c r="I165" s="590">
        <f>-PMT(K157/12,I163,I161)</f>
        <v>0</v>
      </c>
      <c r="J165" s="589" t="s">
        <v>543</v>
      </c>
      <c r="K165" s="488">
        <f>I165*12</f>
        <v>0</v>
      </c>
      <c r="M165" s="483"/>
      <c r="N165" s="589" t="s">
        <v>542</v>
      </c>
      <c r="O165" s="590">
        <f>-PMT(Q157/12,O163,O161)</f>
        <v>0</v>
      </c>
      <c r="P165" s="589" t="s">
        <v>543</v>
      </c>
      <c r="Q165" s="488">
        <f>O165*12</f>
        <v>0</v>
      </c>
      <c r="S165" s="483"/>
      <c r="T165" s="589" t="s">
        <v>542</v>
      </c>
      <c r="U165" s="590">
        <f>-PMT(W157/12,U163,U161)</f>
        <v>0</v>
      </c>
      <c r="V165" s="589" t="s">
        <v>543</v>
      </c>
      <c r="W165" s="488">
        <f>U165*12</f>
        <v>0</v>
      </c>
    </row>
    <row r="166" spans="1:23">
      <c r="A166" s="483"/>
      <c r="B166" s="586"/>
      <c r="C166" s="586"/>
      <c r="D166" s="586"/>
      <c r="E166" s="40"/>
      <c r="G166" s="483"/>
      <c r="H166" s="586"/>
      <c r="I166" s="586"/>
      <c r="J166" s="586"/>
      <c r="K166" s="40"/>
      <c r="M166" s="483"/>
      <c r="N166" s="586"/>
      <c r="O166" s="586"/>
      <c r="P166" s="586"/>
      <c r="Q166" s="40"/>
      <c r="S166" s="483"/>
      <c r="T166" s="586"/>
      <c r="U166" s="586"/>
      <c r="V166" s="586"/>
      <c r="W166" s="40"/>
    </row>
    <row r="167" spans="1:23">
      <c r="A167" s="483"/>
      <c r="B167" s="586"/>
      <c r="C167" s="586"/>
      <c r="D167" s="586"/>
      <c r="E167" s="40"/>
      <c r="G167" s="483"/>
      <c r="H167" s="586"/>
      <c r="I167" s="586"/>
      <c r="J167" s="586"/>
      <c r="K167" s="40"/>
      <c r="M167" s="483"/>
      <c r="N167" s="586"/>
      <c r="O167" s="586"/>
      <c r="P167" s="586"/>
      <c r="Q167" s="40"/>
      <c r="S167" s="483"/>
      <c r="T167" s="586"/>
      <c r="U167" s="586"/>
      <c r="V167" s="586"/>
      <c r="W167" s="40"/>
    </row>
    <row r="168" spans="1:23">
      <c r="A168" s="483"/>
      <c r="B168" s="586" t="s">
        <v>241</v>
      </c>
      <c r="C168" s="586"/>
      <c r="D168" s="586"/>
      <c r="E168" s="40"/>
      <c r="G168" s="483"/>
      <c r="H168" s="586" t="s">
        <v>241</v>
      </c>
      <c r="I168" s="586"/>
      <c r="J168" s="586"/>
      <c r="K168" s="40"/>
      <c r="M168" s="483"/>
      <c r="N168" s="586" t="s">
        <v>241</v>
      </c>
      <c r="O168" s="586"/>
      <c r="P168" s="586"/>
      <c r="Q168" s="40"/>
      <c r="S168" s="483"/>
      <c r="T168" s="586" t="s">
        <v>241</v>
      </c>
      <c r="U168" s="586"/>
      <c r="V168" s="586"/>
      <c r="W168" s="40"/>
    </row>
    <row r="169" spans="1:23">
      <c r="A169" s="483"/>
      <c r="B169" s="586" t="s">
        <v>544</v>
      </c>
      <c r="C169" s="587">
        <f>C165*C163</f>
        <v>0</v>
      </c>
      <c r="D169" s="586"/>
      <c r="E169" s="40"/>
      <c r="G169" s="483"/>
      <c r="H169" s="586" t="s">
        <v>544</v>
      </c>
      <c r="I169" s="587">
        <f>I165*I163</f>
        <v>0</v>
      </c>
      <c r="J169" s="586"/>
      <c r="K169" s="40"/>
      <c r="M169" s="483"/>
      <c r="N169" s="586" t="s">
        <v>544</v>
      </c>
      <c r="O169" s="587">
        <f>O165*O163</f>
        <v>0</v>
      </c>
      <c r="P169" s="586"/>
      <c r="Q169" s="40"/>
      <c r="S169" s="483"/>
      <c r="T169" s="586" t="s">
        <v>544</v>
      </c>
      <c r="U169" s="587">
        <f>U165*U163</f>
        <v>0</v>
      </c>
      <c r="V169" s="586"/>
      <c r="W169" s="40"/>
    </row>
    <row r="170" spans="1:23">
      <c r="A170" s="483"/>
      <c r="B170" s="586"/>
      <c r="C170" s="586"/>
      <c r="D170" s="586"/>
      <c r="E170" s="40"/>
      <c r="G170" s="483"/>
      <c r="H170" s="586"/>
      <c r="I170" s="586"/>
      <c r="J170" s="586"/>
      <c r="K170" s="40"/>
      <c r="M170" s="483"/>
      <c r="N170" s="586"/>
      <c r="O170" s="586"/>
      <c r="P170" s="586"/>
      <c r="Q170" s="40"/>
      <c r="S170" s="483"/>
      <c r="T170" s="586"/>
      <c r="U170" s="586"/>
      <c r="V170" s="586"/>
      <c r="W170" s="40"/>
    </row>
    <row r="171" spans="1:23" ht="13.5" thickBot="1">
      <c r="A171" s="484"/>
      <c r="B171" s="489" t="s">
        <v>299</v>
      </c>
      <c r="C171" s="490">
        <f>C169-C161</f>
        <v>0</v>
      </c>
      <c r="D171" s="99"/>
      <c r="E171" s="157"/>
      <c r="G171" s="484"/>
      <c r="H171" s="489" t="s">
        <v>299</v>
      </c>
      <c r="I171" s="490">
        <f>I169-I161</f>
        <v>0</v>
      </c>
      <c r="J171" s="99"/>
      <c r="K171" s="157"/>
      <c r="M171" s="484"/>
      <c r="N171" s="489" t="s">
        <v>299</v>
      </c>
      <c r="O171" s="490">
        <f>O169-O161</f>
        <v>0</v>
      </c>
      <c r="P171" s="99"/>
      <c r="Q171" s="157"/>
      <c r="S171" s="484"/>
      <c r="T171" s="489" t="s">
        <v>299</v>
      </c>
      <c r="U171" s="490">
        <f>U169-U161</f>
        <v>0</v>
      </c>
      <c r="V171" s="99"/>
      <c r="W171" s="157"/>
    </row>
    <row r="172" spans="1:23" ht="13" thickBot="1"/>
    <row r="173" spans="1:23" ht="13">
      <c r="A173" s="480">
        <v>11</v>
      </c>
      <c r="B173" s="497" t="s">
        <v>533</v>
      </c>
      <c r="C173" s="497"/>
      <c r="D173" s="497"/>
      <c r="E173" s="498"/>
      <c r="M173" s="480">
        <v>11</v>
      </c>
      <c r="N173" s="497" t="s">
        <v>533</v>
      </c>
      <c r="O173" s="497"/>
      <c r="P173" s="497"/>
      <c r="Q173" s="498"/>
    </row>
    <row r="174" spans="1:23">
      <c r="A174" s="483"/>
      <c r="B174" s="586" t="s">
        <v>534</v>
      </c>
      <c r="C174" s="587">
        <f>SUMIF(Equipos!$Q$6:$Q$55,A173,Equipos!$O$6:$O$55)</f>
        <v>0</v>
      </c>
      <c r="D174" s="586" t="s">
        <v>535</v>
      </c>
      <c r="E174" s="487">
        <v>0.11</v>
      </c>
      <c r="M174" s="483"/>
      <c r="N174" s="586" t="s">
        <v>534</v>
      </c>
      <c r="O174" s="587">
        <f>SUMIF(MATERIALES!$P$6:$P$44,M173,MATERIALES!$N$6:$N$44)</f>
        <v>0</v>
      </c>
      <c r="P174" s="586" t="s">
        <v>535</v>
      </c>
      <c r="Q174" s="487">
        <v>0.11</v>
      </c>
    </row>
    <row r="175" spans="1:23">
      <c r="A175" s="483"/>
      <c r="B175" s="586" t="s">
        <v>536</v>
      </c>
      <c r="C175" s="588">
        <v>0</v>
      </c>
      <c r="D175" s="586" t="s">
        <v>537</v>
      </c>
      <c r="E175" s="487">
        <v>0</v>
      </c>
      <c r="M175" s="483"/>
      <c r="N175" s="586" t="s">
        <v>536</v>
      </c>
      <c r="O175" s="588">
        <v>0</v>
      </c>
      <c r="P175" s="586" t="s">
        <v>537</v>
      </c>
      <c r="Q175" s="487">
        <v>0</v>
      </c>
    </row>
    <row r="176" spans="1:23">
      <c r="A176" s="483"/>
      <c r="B176" s="586" t="s">
        <v>538</v>
      </c>
      <c r="C176" s="588">
        <v>0</v>
      </c>
      <c r="D176" s="586"/>
      <c r="E176" s="40"/>
      <c r="M176" s="483"/>
      <c r="N176" s="586" t="s">
        <v>538</v>
      </c>
      <c r="O176" s="588">
        <v>0</v>
      </c>
      <c r="P176" s="586"/>
      <c r="Q176" s="40"/>
    </row>
    <row r="177" spans="1:17">
      <c r="A177" s="483"/>
      <c r="B177" s="586"/>
      <c r="C177" s="586"/>
      <c r="D177" s="586"/>
      <c r="E177" s="40"/>
      <c r="M177" s="483"/>
      <c r="N177" s="586"/>
      <c r="O177" s="586"/>
      <c r="P177" s="586"/>
      <c r="Q177" s="40"/>
    </row>
    <row r="178" spans="1:17" ht="13">
      <c r="A178" s="483"/>
      <c r="B178" s="589" t="s">
        <v>539</v>
      </c>
      <c r="C178" s="590">
        <f>C174-C175-C176</f>
        <v>0</v>
      </c>
      <c r="D178" s="586"/>
      <c r="E178" s="40"/>
      <c r="M178" s="483"/>
      <c r="N178" s="589" t="s">
        <v>539</v>
      </c>
      <c r="O178" s="590">
        <f>O174-O175-O176</f>
        <v>0</v>
      </c>
      <c r="P178" s="586"/>
      <c r="Q178" s="40"/>
    </row>
    <row r="179" spans="1:17">
      <c r="A179" s="483"/>
      <c r="B179" s="586" t="s">
        <v>540</v>
      </c>
      <c r="C179" s="591">
        <v>4</v>
      </c>
      <c r="D179" s="586"/>
      <c r="E179" s="40"/>
      <c r="M179" s="483"/>
      <c r="N179" s="586" t="s">
        <v>540</v>
      </c>
      <c r="O179" s="591">
        <v>4</v>
      </c>
      <c r="P179" s="586"/>
      <c r="Q179" s="40"/>
    </row>
    <row r="180" spans="1:17">
      <c r="A180" s="483"/>
      <c r="B180" s="586" t="s">
        <v>541</v>
      </c>
      <c r="C180" s="592">
        <f>C179*12</f>
        <v>48</v>
      </c>
      <c r="D180" s="586"/>
      <c r="E180" s="40"/>
      <c r="M180" s="483"/>
      <c r="N180" s="586" t="s">
        <v>541</v>
      </c>
      <c r="O180" s="592">
        <f>O179*12</f>
        <v>48</v>
      </c>
      <c r="P180" s="586"/>
      <c r="Q180" s="40"/>
    </row>
    <row r="181" spans="1:17">
      <c r="A181" s="483"/>
      <c r="B181" s="586"/>
      <c r="C181" s="586"/>
      <c r="D181" s="586"/>
      <c r="E181" s="40"/>
      <c r="M181" s="483"/>
      <c r="N181" s="586"/>
      <c r="O181" s="586"/>
      <c r="P181" s="586"/>
      <c r="Q181" s="40"/>
    </row>
    <row r="182" spans="1:17" ht="13">
      <c r="A182" s="483"/>
      <c r="B182" s="589" t="s">
        <v>542</v>
      </c>
      <c r="C182" s="590">
        <f>-PMT(E174/12,C180,C178)</f>
        <v>0</v>
      </c>
      <c r="D182" s="589" t="s">
        <v>543</v>
      </c>
      <c r="E182" s="488">
        <f>C182*12</f>
        <v>0</v>
      </c>
      <c r="M182" s="483"/>
      <c r="N182" s="589" t="s">
        <v>542</v>
      </c>
      <c r="O182" s="590">
        <f>-PMT(Q174/12,O180,O178)</f>
        <v>0</v>
      </c>
      <c r="P182" s="589" t="s">
        <v>543</v>
      </c>
      <c r="Q182" s="488">
        <f>O182*12</f>
        <v>0</v>
      </c>
    </row>
    <row r="183" spans="1:17">
      <c r="A183" s="483"/>
      <c r="B183" s="586"/>
      <c r="C183" s="586"/>
      <c r="D183" s="586"/>
      <c r="E183" s="40"/>
      <c r="M183" s="483"/>
      <c r="N183" s="586"/>
      <c r="O183" s="586"/>
      <c r="P183" s="586"/>
      <c r="Q183" s="40"/>
    </row>
    <row r="184" spans="1:17">
      <c r="A184" s="483"/>
      <c r="B184" s="586"/>
      <c r="C184" s="586"/>
      <c r="D184" s="586"/>
      <c r="E184" s="40"/>
      <c r="M184" s="483"/>
      <c r="N184" s="586"/>
      <c r="O184" s="586"/>
      <c r="P184" s="586"/>
      <c r="Q184" s="40"/>
    </row>
    <row r="185" spans="1:17">
      <c r="A185" s="483"/>
      <c r="B185" s="586" t="s">
        <v>241</v>
      </c>
      <c r="C185" s="586"/>
      <c r="D185" s="586"/>
      <c r="E185" s="40"/>
      <c r="M185" s="483"/>
      <c r="N185" s="586" t="s">
        <v>241</v>
      </c>
      <c r="O185" s="586"/>
      <c r="P185" s="586"/>
      <c r="Q185" s="40"/>
    </row>
    <row r="186" spans="1:17">
      <c r="A186" s="483"/>
      <c r="B186" s="586" t="s">
        <v>544</v>
      </c>
      <c r="C186" s="587">
        <f>C182*C180</f>
        <v>0</v>
      </c>
      <c r="D186" s="586"/>
      <c r="E186" s="40"/>
      <c r="M186" s="483"/>
      <c r="N186" s="586" t="s">
        <v>544</v>
      </c>
      <c r="O186" s="587">
        <f>O182*O180</f>
        <v>0</v>
      </c>
      <c r="P186" s="586"/>
      <c r="Q186" s="40"/>
    </row>
    <row r="187" spans="1:17">
      <c r="A187" s="483"/>
      <c r="B187" s="586"/>
      <c r="C187" s="586"/>
      <c r="D187" s="586"/>
      <c r="E187" s="40"/>
      <c r="M187" s="483"/>
      <c r="N187" s="586"/>
      <c r="O187" s="586"/>
      <c r="P187" s="586"/>
      <c r="Q187" s="40"/>
    </row>
    <row r="188" spans="1:17" ht="13.5" thickBot="1">
      <c r="A188" s="484"/>
      <c r="B188" s="489" t="s">
        <v>299</v>
      </c>
      <c r="C188" s="490">
        <f>C186-C178</f>
        <v>0</v>
      </c>
      <c r="D188" s="99"/>
      <c r="E188" s="157"/>
      <c r="M188" s="484"/>
      <c r="N188" s="489" t="s">
        <v>299</v>
      </c>
      <c r="O188" s="490">
        <f>O186-O178</f>
        <v>0</v>
      </c>
      <c r="P188" s="99"/>
      <c r="Q188" s="157"/>
    </row>
    <row r="189" spans="1:17" ht="13" thickBot="1"/>
    <row r="190" spans="1:17" ht="13">
      <c r="A190" s="480">
        <v>12</v>
      </c>
      <c r="B190" s="497" t="s">
        <v>533</v>
      </c>
      <c r="C190" s="497"/>
      <c r="D190" s="497"/>
      <c r="E190" s="498"/>
      <c r="M190" s="480">
        <v>12</v>
      </c>
      <c r="N190" s="497" t="s">
        <v>533</v>
      </c>
      <c r="O190" s="497"/>
      <c r="P190" s="497"/>
      <c r="Q190" s="498"/>
    </row>
    <row r="191" spans="1:17">
      <c r="A191" s="483"/>
      <c r="B191" s="586" t="s">
        <v>534</v>
      </c>
      <c r="C191" s="587">
        <f>SUMIF(Equipos!$Q$6:$Q$55,A190,Equipos!$O$6:$O$55)</f>
        <v>0</v>
      </c>
      <c r="D191" s="586" t="s">
        <v>535</v>
      </c>
      <c r="E191" s="487">
        <v>0.11</v>
      </c>
      <c r="M191" s="483"/>
      <c r="N191" s="586" t="s">
        <v>534</v>
      </c>
      <c r="O191" s="587">
        <f>SUMIF(MATERIALES!$P$6:$P$44,M190,MATERIALES!$N$6:$N$44)</f>
        <v>0</v>
      </c>
      <c r="P191" s="586" t="s">
        <v>535</v>
      </c>
      <c r="Q191" s="487">
        <v>0.11</v>
      </c>
    </row>
    <row r="192" spans="1:17">
      <c r="A192" s="483"/>
      <c r="B192" s="586" t="s">
        <v>536</v>
      </c>
      <c r="C192" s="588">
        <v>0</v>
      </c>
      <c r="D192" s="586" t="s">
        <v>537</v>
      </c>
      <c r="E192" s="487">
        <v>0</v>
      </c>
      <c r="M192" s="483"/>
      <c r="N192" s="586" t="s">
        <v>536</v>
      </c>
      <c r="O192" s="588">
        <v>0</v>
      </c>
      <c r="P192" s="586" t="s">
        <v>537</v>
      </c>
      <c r="Q192" s="487">
        <v>0</v>
      </c>
    </row>
    <row r="193" spans="1:17">
      <c r="A193" s="483"/>
      <c r="B193" s="586" t="s">
        <v>538</v>
      </c>
      <c r="C193" s="588">
        <v>0</v>
      </c>
      <c r="D193" s="586"/>
      <c r="E193" s="40"/>
      <c r="M193" s="483"/>
      <c r="N193" s="586" t="s">
        <v>538</v>
      </c>
      <c r="O193" s="588">
        <v>0</v>
      </c>
      <c r="P193" s="586"/>
      <c r="Q193" s="40"/>
    </row>
    <row r="194" spans="1:17">
      <c r="A194" s="483"/>
      <c r="B194" s="586"/>
      <c r="C194" s="586"/>
      <c r="D194" s="586"/>
      <c r="E194" s="40"/>
      <c r="M194" s="483"/>
      <c r="N194" s="586"/>
      <c r="O194" s="586"/>
      <c r="P194" s="586"/>
      <c r="Q194" s="40"/>
    </row>
    <row r="195" spans="1:17" ht="13">
      <c r="A195" s="483"/>
      <c r="B195" s="589" t="s">
        <v>539</v>
      </c>
      <c r="C195" s="590">
        <f>C191-C192-C193</f>
        <v>0</v>
      </c>
      <c r="D195" s="586"/>
      <c r="E195" s="40"/>
      <c r="M195" s="483"/>
      <c r="N195" s="589" t="s">
        <v>539</v>
      </c>
      <c r="O195" s="590">
        <f>O191-O192-O193</f>
        <v>0</v>
      </c>
      <c r="P195" s="586"/>
      <c r="Q195" s="40"/>
    </row>
    <row r="196" spans="1:17">
      <c r="A196" s="483"/>
      <c r="B196" s="586" t="s">
        <v>540</v>
      </c>
      <c r="C196" s="591">
        <v>4</v>
      </c>
      <c r="D196" s="586"/>
      <c r="E196" s="40"/>
      <c r="M196" s="483"/>
      <c r="N196" s="586" t="s">
        <v>540</v>
      </c>
      <c r="O196" s="591">
        <v>4</v>
      </c>
      <c r="P196" s="586"/>
      <c r="Q196" s="40"/>
    </row>
    <row r="197" spans="1:17">
      <c r="A197" s="483"/>
      <c r="B197" s="586" t="s">
        <v>541</v>
      </c>
      <c r="C197" s="592">
        <f>C196*12</f>
        <v>48</v>
      </c>
      <c r="D197" s="586"/>
      <c r="E197" s="40"/>
      <c r="M197" s="483"/>
      <c r="N197" s="586" t="s">
        <v>541</v>
      </c>
      <c r="O197" s="592">
        <f>O196*12</f>
        <v>48</v>
      </c>
      <c r="P197" s="586"/>
      <c r="Q197" s="40"/>
    </row>
    <row r="198" spans="1:17">
      <c r="A198" s="483"/>
      <c r="B198" s="586"/>
      <c r="C198" s="586"/>
      <c r="D198" s="586"/>
      <c r="E198" s="40"/>
      <c r="M198" s="483"/>
      <c r="N198" s="586"/>
      <c r="O198" s="586"/>
      <c r="P198" s="586"/>
      <c r="Q198" s="40"/>
    </row>
    <row r="199" spans="1:17" ht="13">
      <c r="A199" s="483"/>
      <c r="B199" s="589" t="s">
        <v>542</v>
      </c>
      <c r="C199" s="590">
        <f>-PMT(E191/12,C197,C195)</f>
        <v>0</v>
      </c>
      <c r="D199" s="589" t="s">
        <v>543</v>
      </c>
      <c r="E199" s="488">
        <f>C199*12</f>
        <v>0</v>
      </c>
      <c r="M199" s="483"/>
      <c r="N199" s="589" t="s">
        <v>542</v>
      </c>
      <c r="O199" s="590">
        <f>-PMT(Q191/12,O197,O195)</f>
        <v>0</v>
      </c>
      <c r="P199" s="589" t="s">
        <v>543</v>
      </c>
      <c r="Q199" s="488">
        <f>O199*12</f>
        <v>0</v>
      </c>
    </row>
    <row r="200" spans="1:17">
      <c r="A200" s="483"/>
      <c r="B200" s="586"/>
      <c r="C200" s="586"/>
      <c r="D200" s="586"/>
      <c r="E200" s="40"/>
      <c r="M200" s="483"/>
      <c r="N200" s="586"/>
      <c r="O200" s="586"/>
      <c r="P200" s="586"/>
      <c r="Q200" s="40"/>
    </row>
    <row r="201" spans="1:17">
      <c r="A201" s="483"/>
      <c r="B201" s="586"/>
      <c r="C201" s="586"/>
      <c r="D201" s="586"/>
      <c r="E201" s="40"/>
      <c r="M201" s="483"/>
      <c r="N201" s="586"/>
      <c r="O201" s="586"/>
      <c r="P201" s="586"/>
      <c r="Q201" s="40"/>
    </row>
    <row r="202" spans="1:17">
      <c r="A202" s="483"/>
      <c r="B202" s="586" t="s">
        <v>241</v>
      </c>
      <c r="C202" s="586"/>
      <c r="D202" s="586"/>
      <c r="E202" s="40"/>
      <c r="M202" s="483"/>
      <c r="N202" s="586" t="s">
        <v>241</v>
      </c>
      <c r="O202" s="586"/>
      <c r="P202" s="586"/>
      <c r="Q202" s="40"/>
    </row>
    <row r="203" spans="1:17">
      <c r="A203" s="483"/>
      <c r="B203" s="586" t="s">
        <v>544</v>
      </c>
      <c r="C203" s="587">
        <f>C199*C197</f>
        <v>0</v>
      </c>
      <c r="D203" s="586"/>
      <c r="E203" s="40"/>
      <c r="M203" s="483"/>
      <c r="N203" s="586" t="s">
        <v>544</v>
      </c>
      <c r="O203" s="587">
        <f>O199*O197</f>
        <v>0</v>
      </c>
      <c r="P203" s="586"/>
      <c r="Q203" s="40"/>
    </row>
    <row r="204" spans="1:17">
      <c r="A204" s="483"/>
      <c r="B204" s="586"/>
      <c r="C204" s="586"/>
      <c r="D204" s="586"/>
      <c r="E204" s="40"/>
      <c r="M204" s="483"/>
      <c r="N204" s="586"/>
      <c r="O204" s="586"/>
      <c r="P204" s="586"/>
      <c r="Q204" s="40"/>
    </row>
    <row r="205" spans="1:17" ht="13.5" thickBot="1">
      <c r="A205" s="484"/>
      <c r="B205" s="489" t="s">
        <v>299</v>
      </c>
      <c r="C205" s="490">
        <f>C203-C195</f>
        <v>0</v>
      </c>
      <c r="D205" s="99"/>
      <c r="E205" s="157"/>
      <c r="M205" s="484"/>
      <c r="N205" s="489" t="s">
        <v>299</v>
      </c>
      <c r="O205" s="490">
        <f>O203-O195</f>
        <v>0</v>
      </c>
      <c r="P205" s="99"/>
      <c r="Q205" s="157"/>
    </row>
    <row r="206" spans="1:17" ht="13" thickBot="1"/>
    <row r="207" spans="1:17" ht="13">
      <c r="A207" s="480">
        <v>13</v>
      </c>
      <c r="B207" s="497" t="s">
        <v>533</v>
      </c>
      <c r="C207" s="497"/>
      <c r="D207" s="497"/>
      <c r="E207" s="498"/>
      <c r="M207" s="480">
        <v>13</v>
      </c>
      <c r="N207" s="497" t="s">
        <v>533</v>
      </c>
      <c r="O207" s="497"/>
      <c r="P207" s="497"/>
      <c r="Q207" s="498"/>
    </row>
    <row r="208" spans="1:17">
      <c r="A208" s="483"/>
      <c r="B208" s="586" t="s">
        <v>534</v>
      </c>
      <c r="C208" s="587">
        <f>SUMIF(Equipos!$Q$6:$Q$55,A207,Equipos!$O$6:$O$55)</f>
        <v>0</v>
      </c>
      <c r="D208" s="586" t="s">
        <v>535</v>
      </c>
      <c r="E208" s="487">
        <v>0.11</v>
      </c>
      <c r="M208" s="483"/>
      <c r="N208" s="586" t="s">
        <v>534</v>
      </c>
      <c r="O208" s="587">
        <f>SUMIF(MATERIALES!$P$6:$P$44,M207,MATERIALES!$N$6:$N$44)</f>
        <v>0</v>
      </c>
      <c r="P208" s="586" t="s">
        <v>535</v>
      </c>
      <c r="Q208" s="487">
        <v>0.11</v>
      </c>
    </row>
    <row r="209" spans="1:17">
      <c r="A209" s="483"/>
      <c r="B209" s="586" t="s">
        <v>536</v>
      </c>
      <c r="C209" s="588">
        <v>0</v>
      </c>
      <c r="D209" s="586" t="s">
        <v>537</v>
      </c>
      <c r="E209" s="487">
        <v>0</v>
      </c>
      <c r="M209" s="483"/>
      <c r="N209" s="586" t="s">
        <v>536</v>
      </c>
      <c r="O209" s="588">
        <v>0</v>
      </c>
      <c r="P209" s="586" t="s">
        <v>537</v>
      </c>
      <c r="Q209" s="487">
        <v>0</v>
      </c>
    </row>
    <row r="210" spans="1:17">
      <c r="A210" s="483"/>
      <c r="B210" s="586" t="s">
        <v>538</v>
      </c>
      <c r="C210" s="588">
        <v>0</v>
      </c>
      <c r="D210" s="586"/>
      <c r="E210" s="40"/>
      <c r="M210" s="483"/>
      <c r="N210" s="586" t="s">
        <v>538</v>
      </c>
      <c r="O210" s="588">
        <v>0</v>
      </c>
      <c r="P210" s="586"/>
      <c r="Q210" s="40"/>
    </row>
    <row r="211" spans="1:17">
      <c r="A211" s="483"/>
      <c r="B211" s="586"/>
      <c r="C211" s="586"/>
      <c r="D211" s="586"/>
      <c r="E211" s="40"/>
      <c r="M211" s="483"/>
      <c r="N211" s="586"/>
      <c r="O211" s="586"/>
      <c r="P211" s="586"/>
      <c r="Q211" s="40"/>
    </row>
    <row r="212" spans="1:17" ht="13">
      <c r="A212" s="483"/>
      <c r="B212" s="589" t="s">
        <v>539</v>
      </c>
      <c r="C212" s="590">
        <f>C208-C209-C210</f>
        <v>0</v>
      </c>
      <c r="D212" s="586"/>
      <c r="E212" s="40"/>
      <c r="M212" s="483"/>
      <c r="N212" s="589" t="s">
        <v>539</v>
      </c>
      <c r="O212" s="590">
        <f>O208-O209-O210</f>
        <v>0</v>
      </c>
      <c r="P212" s="586"/>
      <c r="Q212" s="40"/>
    </row>
    <row r="213" spans="1:17">
      <c r="A213" s="483"/>
      <c r="B213" s="586" t="s">
        <v>540</v>
      </c>
      <c r="C213" s="591">
        <v>4</v>
      </c>
      <c r="D213" s="586"/>
      <c r="E213" s="40"/>
      <c r="M213" s="483"/>
      <c r="N213" s="586" t="s">
        <v>540</v>
      </c>
      <c r="O213" s="591">
        <v>4</v>
      </c>
      <c r="P213" s="586"/>
      <c r="Q213" s="40"/>
    </row>
    <row r="214" spans="1:17">
      <c r="A214" s="483"/>
      <c r="B214" s="586" t="s">
        <v>541</v>
      </c>
      <c r="C214" s="592">
        <f>C213*12</f>
        <v>48</v>
      </c>
      <c r="D214" s="586"/>
      <c r="E214" s="40"/>
      <c r="M214" s="483"/>
      <c r="N214" s="586" t="s">
        <v>541</v>
      </c>
      <c r="O214" s="592">
        <f>O213*12</f>
        <v>48</v>
      </c>
      <c r="P214" s="586"/>
      <c r="Q214" s="40"/>
    </row>
    <row r="215" spans="1:17">
      <c r="A215" s="483"/>
      <c r="B215" s="586"/>
      <c r="C215" s="586"/>
      <c r="D215" s="586"/>
      <c r="E215" s="40"/>
      <c r="M215" s="483"/>
      <c r="N215" s="586"/>
      <c r="O215" s="586"/>
      <c r="P215" s="586"/>
      <c r="Q215" s="40"/>
    </row>
    <row r="216" spans="1:17" ht="13">
      <c r="A216" s="483"/>
      <c r="B216" s="589" t="s">
        <v>542</v>
      </c>
      <c r="C216" s="590">
        <f>-PMT(E208/12,C214,C212)</f>
        <v>0</v>
      </c>
      <c r="D216" s="589" t="s">
        <v>543</v>
      </c>
      <c r="E216" s="488">
        <f>C216*12</f>
        <v>0</v>
      </c>
      <c r="M216" s="483"/>
      <c r="N216" s="589" t="s">
        <v>542</v>
      </c>
      <c r="O216" s="590">
        <f>-PMT(Q208/12,O214,O212)</f>
        <v>0</v>
      </c>
      <c r="P216" s="589" t="s">
        <v>543</v>
      </c>
      <c r="Q216" s="488">
        <f>O216*12</f>
        <v>0</v>
      </c>
    </row>
    <row r="217" spans="1:17">
      <c r="A217" s="483"/>
      <c r="B217" s="586"/>
      <c r="C217" s="586"/>
      <c r="D217" s="586"/>
      <c r="E217" s="40"/>
      <c r="M217" s="483"/>
      <c r="N217" s="586"/>
      <c r="O217" s="586"/>
      <c r="P217" s="586"/>
      <c r="Q217" s="40"/>
    </row>
    <row r="218" spans="1:17">
      <c r="A218" s="483"/>
      <c r="B218" s="586"/>
      <c r="C218" s="586"/>
      <c r="D218" s="586"/>
      <c r="E218" s="40"/>
      <c r="M218" s="483"/>
      <c r="N218" s="586"/>
      <c r="O218" s="586"/>
      <c r="P218" s="586"/>
      <c r="Q218" s="40"/>
    </row>
    <row r="219" spans="1:17">
      <c r="A219" s="483"/>
      <c r="B219" s="586" t="s">
        <v>241</v>
      </c>
      <c r="C219" s="586"/>
      <c r="D219" s="586"/>
      <c r="E219" s="40"/>
      <c r="M219" s="483"/>
      <c r="N219" s="586" t="s">
        <v>241</v>
      </c>
      <c r="O219" s="586"/>
      <c r="P219" s="586"/>
      <c r="Q219" s="40"/>
    </row>
    <row r="220" spans="1:17">
      <c r="A220" s="483"/>
      <c r="B220" s="586" t="s">
        <v>544</v>
      </c>
      <c r="C220" s="587">
        <f>C216*C214</f>
        <v>0</v>
      </c>
      <c r="D220" s="586"/>
      <c r="E220" s="40"/>
      <c r="M220" s="483"/>
      <c r="N220" s="586" t="s">
        <v>544</v>
      </c>
      <c r="O220" s="587">
        <f>O216*O214</f>
        <v>0</v>
      </c>
      <c r="P220" s="586"/>
      <c r="Q220" s="40"/>
    </row>
    <row r="221" spans="1:17">
      <c r="A221" s="483"/>
      <c r="B221" s="586"/>
      <c r="C221" s="586"/>
      <c r="D221" s="586"/>
      <c r="E221" s="40"/>
      <c r="M221" s="483"/>
      <c r="N221" s="586"/>
      <c r="O221" s="586"/>
      <c r="P221" s="586"/>
      <c r="Q221" s="40"/>
    </row>
    <row r="222" spans="1:17" ht="13.5" thickBot="1">
      <c r="A222" s="484"/>
      <c r="B222" s="489" t="s">
        <v>299</v>
      </c>
      <c r="C222" s="490">
        <f>C220-C212</f>
        <v>0</v>
      </c>
      <c r="D222" s="99"/>
      <c r="E222" s="157"/>
      <c r="M222" s="484"/>
      <c r="N222" s="489" t="s">
        <v>299</v>
      </c>
      <c r="O222" s="490">
        <f>O220-O212</f>
        <v>0</v>
      </c>
      <c r="P222" s="99"/>
      <c r="Q222" s="157"/>
    </row>
    <row r="223" spans="1:17" ht="13" thickBot="1"/>
    <row r="224" spans="1:17" ht="13">
      <c r="A224" s="480">
        <v>14</v>
      </c>
      <c r="B224" s="497" t="s">
        <v>533</v>
      </c>
      <c r="C224" s="497"/>
      <c r="D224" s="497"/>
      <c r="E224" s="498"/>
      <c r="M224" s="480">
        <v>14</v>
      </c>
      <c r="N224" s="497" t="s">
        <v>533</v>
      </c>
      <c r="O224" s="497"/>
      <c r="P224" s="497"/>
      <c r="Q224" s="498"/>
    </row>
    <row r="225" spans="1:17">
      <c r="A225" s="483"/>
      <c r="B225" s="586" t="s">
        <v>534</v>
      </c>
      <c r="C225" s="587">
        <f>SUMIF(Equipos!$Q$6:$Q$55,A224,Equipos!$O$6:$O$55)</f>
        <v>0</v>
      </c>
      <c r="D225" s="586" t="s">
        <v>535</v>
      </c>
      <c r="E225" s="487">
        <v>0.11</v>
      </c>
      <c r="M225" s="483"/>
      <c r="N225" s="586" t="s">
        <v>534</v>
      </c>
      <c r="O225" s="587">
        <f>SUMIF(MATERIALES!$P$6:$P$44,M224,MATERIALES!$N$6:$N$44)</f>
        <v>0</v>
      </c>
      <c r="P225" s="586" t="s">
        <v>535</v>
      </c>
      <c r="Q225" s="487">
        <v>0.11</v>
      </c>
    </row>
    <row r="226" spans="1:17">
      <c r="A226" s="483"/>
      <c r="B226" s="586" t="s">
        <v>536</v>
      </c>
      <c r="C226" s="588">
        <v>0</v>
      </c>
      <c r="D226" s="586" t="s">
        <v>537</v>
      </c>
      <c r="E226" s="487">
        <v>0</v>
      </c>
      <c r="M226" s="483"/>
      <c r="N226" s="586" t="s">
        <v>536</v>
      </c>
      <c r="O226" s="588">
        <v>0</v>
      </c>
      <c r="P226" s="586" t="s">
        <v>537</v>
      </c>
      <c r="Q226" s="487">
        <v>0</v>
      </c>
    </row>
    <row r="227" spans="1:17">
      <c r="A227" s="483"/>
      <c r="B227" s="586" t="s">
        <v>538</v>
      </c>
      <c r="C227" s="588">
        <v>0</v>
      </c>
      <c r="D227" s="586"/>
      <c r="E227" s="40"/>
      <c r="M227" s="483"/>
      <c r="N227" s="586" t="s">
        <v>538</v>
      </c>
      <c r="O227" s="588">
        <v>0</v>
      </c>
      <c r="P227" s="586"/>
      <c r="Q227" s="40"/>
    </row>
    <row r="228" spans="1:17">
      <c r="A228" s="483"/>
      <c r="B228" s="586"/>
      <c r="C228" s="586"/>
      <c r="D228" s="586"/>
      <c r="E228" s="40"/>
      <c r="M228" s="483"/>
      <c r="N228" s="586"/>
      <c r="O228" s="586"/>
      <c r="P228" s="586"/>
      <c r="Q228" s="40"/>
    </row>
    <row r="229" spans="1:17" ht="13">
      <c r="A229" s="483"/>
      <c r="B229" s="589" t="s">
        <v>539</v>
      </c>
      <c r="C229" s="590">
        <f>C225-C226-C227</f>
        <v>0</v>
      </c>
      <c r="D229" s="586"/>
      <c r="E229" s="40"/>
      <c r="M229" s="483"/>
      <c r="N229" s="589" t="s">
        <v>539</v>
      </c>
      <c r="O229" s="590">
        <f>O225-O226-O227</f>
        <v>0</v>
      </c>
      <c r="P229" s="586"/>
      <c r="Q229" s="40"/>
    </row>
    <row r="230" spans="1:17">
      <c r="A230" s="483"/>
      <c r="B230" s="586" t="s">
        <v>540</v>
      </c>
      <c r="C230" s="591">
        <v>4</v>
      </c>
      <c r="D230" s="586"/>
      <c r="E230" s="40"/>
      <c r="M230" s="483"/>
      <c r="N230" s="586" t="s">
        <v>540</v>
      </c>
      <c r="O230" s="591">
        <v>4</v>
      </c>
      <c r="P230" s="586"/>
      <c r="Q230" s="40"/>
    </row>
    <row r="231" spans="1:17">
      <c r="A231" s="483"/>
      <c r="B231" s="586" t="s">
        <v>541</v>
      </c>
      <c r="C231" s="592">
        <f>C230*12</f>
        <v>48</v>
      </c>
      <c r="D231" s="586"/>
      <c r="E231" s="40"/>
      <c r="M231" s="483"/>
      <c r="N231" s="586" t="s">
        <v>541</v>
      </c>
      <c r="O231" s="592">
        <f>O230*12</f>
        <v>48</v>
      </c>
      <c r="P231" s="586"/>
      <c r="Q231" s="40"/>
    </row>
    <row r="232" spans="1:17">
      <c r="A232" s="483"/>
      <c r="B232" s="586"/>
      <c r="C232" s="586"/>
      <c r="D232" s="586"/>
      <c r="E232" s="40"/>
      <c r="M232" s="483"/>
      <c r="N232" s="586"/>
      <c r="O232" s="586"/>
      <c r="P232" s="586"/>
      <c r="Q232" s="40"/>
    </row>
    <row r="233" spans="1:17" ht="13">
      <c r="A233" s="483"/>
      <c r="B233" s="589" t="s">
        <v>542</v>
      </c>
      <c r="C233" s="590">
        <f>-PMT(E225/12,C231,C229)</f>
        <v>0</v>
      </c>
      <c r="D233" s="589" t="s">
        <v>543</v>
      </c>
      <c r="E233" s="488">
        <f>C233*12</f>
        <v>0</v>
      </c>
      <c r="M233" s="483"/>
      <c r="N233" s="589" t="s">
        <v>542</v>
      </c>
      <c r="O233" s="590">
        <f>-PMT(Q225/12,O231,O229)</f>
        <v>0</v>
      </c>
      <c r="P233" s="589" t="s">
        <v>543</v>
      </c>
      <c r="Q233" s="488">
        <f>O233*12</f>
        <v>0</v>
      </c>
    </row>
    <row r="234" spans="1:17">
      <c r="A234" s="483"/>
      <c r="B234" s="586"/>
      <c r="C234" s="586"/>
      <c r="D234" s="586"/>
      <c r="E234" s="40"/>
      <c r="M234" s="483"/>
      <c r="N234" s="586"/>
      <c r="O234" s="586"/>
      <c r="P234" s="586"/>
      <c r="Q234" s="40"/>
    </row>
    <row r="235" spans="1:17">
      <c r="A235" s="483"/>
      <c r="B235" s="586"/>
      <c r="C235" s="586"/>
      <c r="D235" s="586"/>
      <c r="E235" s="40"/>
      <c r="M235" s="483"/>
      <c r="N235" s="586"/>
      <c r="O235" s="586"/>
      <c r="P235" s="586"/>
      <c r="Q235" s="40"/>
    </row>
    <row r="236" spans="1:17">
      <c r="A236" s="483"/>
      <c r="B236" s="586" t="s">
        <v>241</v>
      </c>
      <c r="C236" s="586"/>
      <c r="D236" s="586"/>
      <c r="E236" s="40"/>
      <c r="M236" s="483"/>
      <c r="N236" s="586" t="s">
        <v>241</v>
      </c>
      <c r="O236" s="586"/>
      <c r="P236" s="586"/>
      <c r="Q236" s="40"/>
    </row>
    <row r="237" spans="1:17">
      <c r="A237" s="483"/>
      <c r="B237" s="586" t="s">
        <v>544</v>
      </c>
      <c r="C237" s="587">
        <f>C233*C231</f>
        <v>0</v>
      </c>
      <c r="D237" s="586"/>
      <c r="E237" s="40"/>
      <c r="M237" s="483"/>
      <c r="N237" s="586" t="s">
        <v>544</v>
      </c>
      <c r="O237" s="587">
        <f>O233*O231</f>
        <v>0</v>
      </c>
      <c r="P237" s="586"/>
      <c r="Q237" s="40"/>
    </row>
    <row r="238" spans="1:17">
      <c r="A238" s="483"/>
      <c r="B238" s="586"/>
      <c r="C238" s="586"/>
      <c r="D238" s="586"/>
      <c r="E238" s="40"/>
      <c r="M238" s="483"/>
      <c r="N238" s="586"/>
      <c r="O238" s="586"/>
      <c r="P238" s="586"/>
      <c r="Q238" s="40"/>
    </row>
    <row r="239" spans="1:17" ht="13.5" thickBot="1">
      <c r="A239" s="484"/>
      <c r="B239" s="489" t="s">
        <v>299</v>
      </c>
      <c r="C239" s="490">
        <f>C237-C229</f>
        <v>0</v>
      </c>
      <c r="D239" s="99"/>
      <c r="E239" s="157"/>
      <c r="M239" s="484"/>
      <c r="N239" s="489" t="s">
        <v>299</v>
      </c>
      <c r="O239" s="490">
        <f>O237-O229</f>
        <v>0</v>
      </c>
      <c r="P239" s="99"/>
      <c r="Q239" s="157"/>
    </row>
    <row r="240" spans="1:17" ht="13" thickBot="1"/>
    <row r="241" spans="1:17" ht="13">
      <c r="A241" s="480">
        <v>15</v>
      </c>
      <c r="B241" s="497" t="s">
        <v>533</v>
      </c>
      <c r="C241" s="497"/>
      <c r="D241" s="497"/>
      <c r="E241" s="498"/>
      <c r="M241" s="480">
        <v>15</v>
      </c>
      <c r="N241" s="497" t="s">
        <v>533</v>
      </c>
      <c r="O241" s="497"/>
      <c r="P241" s="497"/>
      <c r="Q241" s="498"/>
    </row>
    <row r="242" spans="1:17">
      <c r="A242" s="483"/>
      <c r="B242" s="586" t="s">
        <v>534</v>
      </c>
      <c r="C242" s="587">
        <f>SUMIF(Equipos!$Q$6:$Q$55,A241,Equipos!$O$6:$O$55)</f>
        <v>0</v>
      </c>
      <c r="D242" s="586" t="s">
        <v>535</v>
      </c>
      <c r="E242" s="487">
        <v>0.11</v>
      </c>
      <c r="M242" s="483"/>
      <c r="N242" s="586" t="s">
        <v>534</v>
      </c>
      <c r="O242" s="587">
        <f>SUMIF(MATERIALES!$P$6:$P$44,M241,MATERIALES!$N$6:$N$44)</f>
        <v>0</v>
      </c>
      <c r="P242" s="586" t="s">
        <v>535</v>
      </c>
      <c r="Q242" s="487">
        <v>0.11</v>
      </c>
    </row>
    <row r="243" spans="1:17">
      <c r="A243" s="483"/>
      <c r="B243" s="586" t="s">
        <v>536</v>
      </c>
      <c r="C243" s="588">
        <v>0</v>
      </c>
      <c r="D243" s="586" t="s">
        <v>537</v>
      </c>
      <c r="E243" s="487">
        <v>0</v>
      </c>
      <c r="M243" s="483"/>
      <c r="N243" s="586" t="s">
        <v>536</v>
      </c>
      <c r="O243" s="588">
        <v>0</v>
      </c>
      <c r="P243" s="586" t="s">
        <v>537</v>
      </c>
      <c r="Q243" s="487">
        <v>0</v>
      </c>
    </row>
    <row r="244" spans="1:17">
      <c r="A244" s="483"/>
      <c r="B244" s="586" t="s">
        <v>538</v>
      </c>
      <c r="C244" s="588">
        <v>0</v>
      </c>
      <c r="D244" s="586"/>
      <c r="E244" s="40"/>
      <c r="M244" s="483"/>
      <c r="N244" s="586" t="s">
        <v>538</v>
      </c>
      <c r="O244" s="588">
        <v>0</v>
      </c>
      <c r="P244" s="586"/>
      <c r="Q244" s="40"/>
    </row>
    <row r="245" spans="1:17">
      <c r="A245" s="483"/>
      <c r="B245" s="586"/>
      <c r="C245" s="586"/>
      <c r="D245" s="586"/>
      <c r="E245" s="40"/>
      <c r="M245" s="483"/>
      <c r="N245" s="586"/>
      <c r="O245" s="586"/>
      <c r="P245" s="586"/>
      <c r="Q245" s="40"/>
    </row>
    <row r="246" spans="1:17" ht="13">
      <c r="A246" s="483"/>
      <c r="B246" s="589" t="s">
        <v>539</v>
      </c>
      <c r="C246" s="590">
        <f>C242-C243-C244</f>
        <v>0</v>
      </c>
      <c r="D246" s="586"/>
      <c r="E246" s="40"/>
      <c r="M246" s="483"/>
      <c r="N246" s="589" t="s">
        <v>539</v>
      </c>
      <c r="O246" s="590">
        <f>O242-O243-O244</f>
        <v>0</v>
      </c>
      <c r="P246" s="586"/>
      <c r="Q246" s="40"/>
    </row>
    <row r="247" spans="1:17">
      <c r="A247" s="483"/>
      <c r="B247" s="586" t="s">
        <v>540</v>
      </c>
      <c r="C247" s="591">
        <v>4</v>
      </c>
      <c r="D247" s="586"/>
      <c r="E247" s="40"/>
      <c r="M247" s="483"/>
      <c r="N247" s="586" t="s">
        <v>540</v>
      </c>
      <c r="O247" s="591">
        <v>4</v>
      </c>
      <c r="P247" s="586"/>
      <c r="Q247" s="40"/>
    </row>
    <row r="248" spans="1:17">
      <c r="A248" s="483"/>
      <c r="B248" s="586" t="s">
        <v>541</v>
      </c>
      <c r="C248" s="592">
        <f>C247*12</f>
        <v>48</v>
      </c>
      <c r="D248" s="586"/>
      <c r="E248" s="40"/>
      <c r="M248" s="483"/>
      <c r="N248" s="586" t="s">
        <v>541</v>
      </c>
      <c r="O248" s="592">
        <f>O247*12</f>
        <v>48</v>
      </c>
      <c r="P248" s="586"/>
      <c r="Q248" s="40"/>
    </row>
    <row r="249" spans="1:17">
      <c r="A249" s="483"/>
      <c r="B249" s="586"/>
      <c r="C249" s="586"/>
      <c r="D249" s="586"/>
      <c r="E249" s="40"/>
      <c r="M249" s="483"/>
      <c r="N249" s="586"/>
      <c r="O249" s="586"/>
      <c r="P249" s="586"/>
      <c r="Q249" s="40"/>
    </row>
    <row r="250" spans="1:17" ht="13">
      <c r="A250" s="483"/>
      <c r="B250" s="589" t="s">
        <v>542</v>
      </c>
      <c r="C250" s="590">
        <f>-PMT(E242/12,C248,C246)</f>
        <v>0</v>
      </c>
      <c r="D250" s="589" t="s">
        <v>543</v>
      </c>
      <c r="E250" s="488">
        <f>C250*12</f>
        <v>0</v>
      </c>
      <c r="M250" s="483"/>
      <c r="N250" s="589" t="s">
        <v>542</v>
      </c>
      <c r="O250" s="590">
        <f>-PMT(Q242/12,O248,O246)</f>
        <v>0</v>
      </c>
      <c r="P250" s="589" t="s">
        <v>543</v>
      </c>
      <c r="Q250" s="488">
        <f>O250*12</f>
        <v>0</v>
      </c>
    </row>
    <row r="251" spans="1:17">
      <c r="A251" s="483"/>
      <c r="B251" s="586"/>
      <c r="C251" s="586"/>
      <c r="D251" s="586"/>
      <c r="E251" s="40"/>
      <c r="M251" s="483"/>
      <c r="N251" s="586"/>
      <c r="O251" s="586"/>
      <c r="P251" s="586"/>
      <c r="Q251" s="40"/>
    </row>
    <row r="252" spans="1:17">
      <c r="A252" s="483"/>
      <c r="B252" s="586"/>
      <c r="C252" s="586"/>
      <c r="D252" s="586"/>
      <c r="E252" s="40"/>
      <c r="M252" s="483"/>
      <c r="N252" s="586"/>
      <c r="O252" s="586"/>
      <c r="P252" s="586"/>
      <c r="Q252" s="40"/>
    </row>
    <row r="253" spans="1:17">
      <c r="A253" s="483"/>
      <c r="B253" s="586" t="s">
        <v>241</v>
      </c>
      <c r="C253" s="586"/>
      <c r="D253" s="586"/>
      <c r="E253" s="40"/>
      <c r="M253" s="483"/>
      <c r="N253" s="586" t="s">
        <v>241</v>
      </c>
      <c r="O253" s="586"/>
      <c r="P253" s="586"/>
      <c r="Q253" s="40"/>
    </row>
    <row r="254" spans="1:17">
      <c r="A254" s="483"/>
      <c r="B254" s="586" t="s">
        <v>544</v>
      </c>
      <c r="C254" s="587">
        <f>C250*C248</f>
        <v>0</v>
      </c>
      <c r="D254" s="586"/>
      <c r="E254" s="40"/>
      <c r="M254" s="483"/>
      <c r="N254" s="586" t="s">
        <v>544</v>
      </c>
      <c r="O254" s="587">
        <f>O250*O248</f>
        <v>0</v>
      </c>
      <c r="P254" s="586"/>
      <c r="Q254" s="40"/>
    </row>
    <row r="255" spans="1:17">
      <c r="A255" s="483"/>
      <c r="B255" s="586"/>
      <c r="C255" s="586"/>
      <c r="D255" s="586"/>
      <c r="E255" s="40"/>
      <c r="M255" s="483"/>
      <c r="N255" s="586"/>
      <c r="O255" s="586"/>
      <c r="P255" s="586"/>
      <c r="Q255" s="40"/>
    </row>
    <row r="256" spans="1:17" ht="13.5" thickBot="1">
      <c r="A256" s="484"/>
      <c r="B256" s="489" t="s">
        <v>299</v>
      </c>
      <c r="C256" s="490">
        <f>C254-C246</f>
        <v>0</v>
      </c>
      <c r="D256" s="99"/>
      <c r="E256" s="157"/>
      <c r="M256" s="484"/>
      <c r="N256" s="489" t="s">
        <v>299</v>
      </c>
      <c r="O256" s="490">
        <f>O254-O246</f>
        <v>0</v>
      </c>
      <c r="P256" s="99"/>
      <c r="Q256" s="157"/>
    </row>
    <row r="257" spans="1:17" ht="13" thickBot="1"/>
    <row r="258" spans="1:17" ht="13">
      <c r="A258" s="480">
        <v>16</v>
      </c>
      <c r="B258" s="497" t="s">
        <v>533</v>
      </c>
      <c r="C258" s="497"/>
      <c r="D258" s="497"/>
      <c r="E258" s="498"/>
      <c r="M258" s="480">
        <v>16</v>
      </c>
      <c r="N258" s="497" t="s">
        <v>533</v>
      </c>
      <c r="O258" s="497"/>
      <c r="P258" s="497"/>
      <c r="Q258" s="498"/>
    </row>
    <row r="259" spans="1:17">
      <c r="A259" s="483"/>
      <c r="B259" s="586" t="s">
        <v>534</v>
      </c>
      <c r="C259" s="587">
        <f>SUMIF(Equipos!$Q$6:$Q$55,A258,Equipos!$O$6:$O$55)</f>
        <v>0</v>
      </c>
      <c r="D259" s="586" t="s">
        <v>535</v>
      </c>
      <c r="E259" s="487">
        <v>0.11</v>
      </c>
      <c r="M259" s="483"/>
      <c r="N259" s="586" t="s">
        <v>534</v>
      </c>
      <c r="O259" s="587">
        <f>SUMIF(MATERIALES!$P$6:$P$44,M258,MATERIALES!$N$6:$N$44)</f>
        <v>0</v>
      </c>
      <c r="P259" s="586" t="s">
        <v>535</v>
      </c>
      <c r="Q259" s="487">
        <v>0.11</v>
      </c>
    </row>
    <row r="260" spans="1:17">
      <c r="A260" s="483"/>
      <c r="B260" s="586" t="s">
        <v>536</v>
      </c>
      <c r="C260" s="588">
        <v>0</v>
      </c>
      <c r="D260" s="586" t="s">
        <v>537</v>
      </c>
      <c r="E260" s="487">
        <v>0</v>
      </c>
      <c r="M260" s="483"/>
      <c r="N260" s="586" t="s">
        <v>536</v>
      </c>
      <c r="O260" s="588">
        <v>0</v>
      </c>
      <c r="P260" s="586" t="s">
        <v>537</v>
      </c>
      <c r="Q260" s="487">
        <v>0</v>
      </c>
    </row>
    <row r="261" spans="1:17">
      <c r="A261" s="483"/>
      <c r="B261" s="586" t="s">
        <v>538</v>
      </c>
      <c r="C261" s="588">
        <v>0</v>
      </c>
      <c r="D261" s="586"/>
      <c r="E261" s="40"/>
      <c r="M261" s="483"/>
      <c r="N261" s="586" t="s">
        <v>538</v>
      </c>
      <c r="O261" s="588">
        <v>0</v>
      </c>
      <c r="P261" s="586"/>
      <c r="Q261" s="40"/>
    </row>
    <row r="262" spans="1:17">
      <c r="A262" s="483"/>
      <c r="B262" s="586"/>
      <c r="C262" s="586"/>
      <c r="D262" s="586"/>
      <c r="E262" s="40"/>
      <c r="M262" s="483"/>
      <c r="N262" s="586"/>
      <c r="O262" s="586"/>
      <c r="P262" s="586"/>
      <c r="Q262" s="40"/>
    </row>
    <row r="263" spans="1:17" ht="13">
      <c r="A263" s="483"/>
      <c r="B263" s="589" t="s">
        <v>539</v>
      </c>
      <c r="C263" s="590">
        <f>C259-C260-C261</f>
        <v>0</v>
      </c>
      <c r="D263" s="586"/>
      <c r="E263" s="40"/>
      <c r="M263" s="483"/>
      <c r="N263" s="589" t="s">
        <v>539</v>
      </c>
      <c r="O263" s="590">
        <f>O259-O260-O261</f>
        <v>0</v>
      </c>
      <c r="P263" s="586"/>
      <c r="Q263" s="40"/>
    </row>
    <row r="264" spans="1:17">
      <c r="A264" s="483"/>
      <c r="B264" s="586" t="s">
        <v>540</v>
      </c>
      <c r="C264" s="591">
        <v>4</v>
      </c>
      <c r="D264" s="586"/>
      <c r="E264" s="40"/>
      <c r="M264" s="483"/>
      <c r="N264" s="586" t="s">
        <v>540</v>
      </c>
      <c r="O264" s="591">
        <v>4</v>
      </c>
      <c r="P264" s="586"/>
      <c r="Q264" s="40"/>
    </row>
    <row r="265" spans="1:17">
      <c r="A265" s="483"/>
      <c r="B265" s="586" t="s">
        <v>541</v>
      </c>
      <c r="C265" s="592">
        <f>C264*12</f>
        <v>48</v>
      </c>
      <c r="D265" s="586"/>
      <c r="E265" s="40"/>
      <c r="M265" s="483"/>
      <c r="N265" s="586" t="s">
        <v>541</v>
      </c>
      <c r="O265" s="592">
        <f>O264*12</f>
        <v>48</v>
      </c>
      <c r="P265" s="586"/>
      <c r="Q265" s="40"/>
    </row>
    <row r="266" spans="1:17">
      <c r="A266" s="483"/>
      <c r="B266" s="586"/>
      <c r="C266" s="586"/>
      <c r="D266" s="586"/>
      <c r="E266" s="40"/>
      <c r="M266" s="483"/>
      <c r="N266" s="586"/>
      <c r="O266" s="586"/>
      <c r="P266" s="586"/>
      <c r="Q266" s="40"/>
    </row>
    <row r="267" spans="1:17" ht="13">
      <c r="A267" s="483"/>
      <c r="B267" s="589" t="s">
        <v>542</v>
      </c>
      <c r="C267" s="590">
        <f>-PMT(E259/12,C265,C263)</f>
        <v>0</v>
      </c>
      <c r="D267" s="589" t="s">
        <v>543</v>
      </c>
      <c r="E267" s="488">
        <f>C267*12</f>
        <v>0</v>
      </c>
      <c r="M267" s="483"/>
      <c r="N267" s="589" t="s">
        <v>542</v>
      </c>
      <c r="O267" s="590">
        <f>-PMT(Q259/12,O265,O263)</f>
        <v>0</v>
      </c>
      <c r="P267" s="589" t="s">
        <v>543</v>
      </c>
      <c r="Q267" s="488">
        <f>O267*12</f>
        <v>0</v>
      </c>
    </row>
    <row r="268" spans="1:17">
      <c r="A268" s="483"/>
      <c r="B268" s="586"/>
      <c r="C268" s="586"/>
      <c r="D268" s="586"/>
      <c r="E268" s="40"/>
      <c r="M268" s="483"/>
      <c r="N268" s="586"/>
      <c r="O268" s="586"/>
      <c r="P268" s="586"/>
      <c r="Q268" s="40"/>
    </row>
    <row r="269" spans="1:17">
      <c r="A269" s="483"/>
      <c r="B269" s="586"/>
      <c r="C269" s="586"/>
      <c r="D269" s="586"/>
      <c r="E269" s="40"/>
      <c r="M269" s="483"/>
      <c r="N269" s="586"/>
      <c r="O269" s="586"/>
      <c r="P269" s="586"/>
      <c r="Q269" s="40"/>
    </row>
    <row r="270" spans="1:17">
      <c r="A270" s="483"/>
      <c r="B270" s="586" t="s">
        <v>241</v>
      </c>
      <c r="C270" s="586"/>
      <c r="D270" s="586"/>
      <c r="E270" s="40"/>
      <c r="M270" s="483"/>
      <c r="N270" s="586" t="s">
        <v>241</v>
      </c>
      <c r="O270" s="586"/>
      <c r="P270" s="586"/>
      <c r="Q270" s="40"/>
    </row>
    <row r="271" spans="1:17">
      <c r="A271" s="483"/>
      <c r="B271" s="586" t="s">
        <v>544</v>
      </c>
      <c r="C271" s="587">
        <f>C267*C265</f>
        <v>0</v>
      </c>
      <c r="D271" s="586"/>
      <c r="E271" s="40"/>
      <c r="M271" s="483"/>
      <c r="N271" s="586" t="s">
        <v>544</v>
      </c>
      <c r="O271" s="587">
        <f>O267*O265</f>
        <v>0</v>
      </c>
      <c r="P271" s="586"/>
      <c r="Q271" s="40"/>
    </row>
    <row r="272" spans="1:17">
      <c r="A272" s="483"/>
      <c r="B272" s="586"/>
      <c r="C272" s="586"/>
      <c r="D272" s="586"/>
      <c r="E272" s="40"/>
      <c r="M272" s="483"/>
      <c r="N272" s="586"/>
      <c r="O272" s="586"/>
      <c r="P272" s="586"/>
      <c r="Q272" s="40"/>
    </row>
    <row r="273" spans="1:17" ht="13.5" thickBot="1">
      <c r="A273" s="484"/>
      <c r="B273" s="489" t="s">
        <v>299</v>
      </c>
      <c r="C273" s="490">
        <f>C271-C263</f>
        <v>0</v>
      </c>
      <c r="D273" s="99"/>
      <c r="E273" s="157"/>
      <c r="M273" s="484"/>
      <c r="N273" s="489" t="s">
        <v>299</v>
      </c>
      <c r="O273" s="490">
        <f>O271-O263</f>
        <v>0</v>
      </c>
      <c r="P273" s="99"/>
      <c r="Q273" s="157"/>
    </row>
    <row r="274" spans="1:17" ht="13" thickBot="1"/>
    <row r="275" spans="1:17" ht="13">
      <c r="A275" s="480">
        <v>17</v>
      </c>
      <c r="B275" s="497" t="s">
        <v>533</v>
      </c>
      <c r="C275" s="497"/>
      <c r="D275" s="497"/>
      <c r="E275" s="498"/>
      <c r="M275" s="480">
        <v>17</v>
      </c>
      <c r="N275" s="497" t="s">
        <v>533</v>
      </c>
      <c r="O275" s="497"/>
      <c r="P275" s="497"/>
      <c r="Q275" s="498"/>
    </row>
    <row r="276" spans="1:17">
      <c r="A276" s="483"/>
      <c r="B276" s="586" t="s">
        <v>534</v>
      </c>
      <c r="C276" s="587">
        <f>SUMIF(Equipos!$Q$6:$Q$55,A275,Equipos!$O$6:$O$55)</f>
        <v>0</v>
      </c>
      <c r="D276" s="586" t="s">
        <v>535</v>
      </c>
      <c r="E276" s="487">
        <v>0.11</v>
      </c>
      <c r="M276" s="483"/>
      <c r="N276" s="586" t="s">
        <v>534</v>
      </c>
      <c r="O276" s="587">
        <f>SUMIF(MATERIALES!$P$6:$P$44,M275,MATERIALES!$N$6:$N$44)</f>
        <v>0</v>
      </c>
      <c r="P276" s="586" t="s">
        <v>535</v>
      </c>
      <c r="Q276" s="487">
        <v>0.11</v>
      </c>
    </row>
    <row r="277" spans="1:17">
      <c r="A277" s="483"/>
      <c r="B277" s="586" t="s">
        <v>536</v>
      </c>
      <c r="C277" s="588">
        <v>0</v>
      </c>
      <c r="D277" s="586" t="s">
        <v>537</v>
      </c>
      <c r="E277" s="487">
        <v>0</v>
      </c>
      <c r="M277" s="483"/>
      <c r="N277" s="586" t="s">
        <v>536</v>
      </c>
      <c r="O277" s="588">
        <v>0</v>
      </c>
      <c r="P277" s="586" t="s">
        <v>537</v>
      </c>
      <c r="Q277" s="487">
        <v>0</v>
      </c>
    </row>
    <row r="278" spans="1:17">
      <c r="A278" s="483"/>
      <c r="B278" s="586" t="s">
        <v>538</v>
      </c>
      <c r="C278" s="588">
        <v>0</v>
      </c>
      <c r="D278" s="586"/>
      <c r="E278" s="40"/>
      <c r="M278" s="483"/>
      <c r="N278" s="586" t="s">
        <v>538</v>
      </c>
      <c r="O278" s="588">
        <v>0</v>
      </c>
      <c r="P278" s="586"/>
      <c r="Q278" s="40"/>
    </row>
    <row r="279" spans="1:17">
      <c r="A279" s="483"/>
      <c r="B279" s="586"/>
      <c r="C279" s="586"/>
      <c r="D279" s="586"/>
      <c r="E279" s="40"/>
      <c r="M279" s="483"/>
      <c r="N279" s="586"/>
      <c r="O279" s="586"/>
      <c r="P279" s="586"/>
      <c r="Q279" s="40"/>
    </row>
    <row r="280" spans="1:17" ht="13">
      <c r="A280" s="483"/>
      <c r="B280" s="589" t="s">
        <v>539</v>
      </c>
      <c r="C280" s="590">
        <f>C276-C277-C278</f>
        <v>0</v>
      </c>
      <c r="D280" s="586"/>
      <c r="E280" s="40"/>
      <c r="M280" s="483"/>
      <c r="N280" s="589" t="s">
        <v>539</v>
      </c>
      <c r="O280" s="590">
        <f>O276-O277-O278</f>
        <v>0</v>
      </c>
      <c r="P280" s="586"/>
      <c r="Q280" s="40"/>
    </row>
    <row r="281" spans="1:17">
      <c r="A281" s="483"/>
      <c r="B281" s="586" t="s">
        <v>540</v>
      </c>
      <c r="C281" s="591">
        <v>4</v>
      </c>
      <c r="D281" s="586"/>
      <c r="E281" s="40"/>
      <c r="M281" s="483"/>
      <c r="N281" s="586" t="s">
        <v>540</v>
      </c>
      <c r="O281" s="591">
        <v>4</v>
      </c>
      <c r="P281" s="586"/>
      <c r="Q281" s="40"/>
    </row>
    <row r="282" spans="1:17">
      <c r="A282" s="483"/>
      <c r="B282" s="586" t="s">
        <v>541</v>
      </c>
      <c r="C282" s="592">
        <f>C281*12</f>
        <v>48</v>
      </c>
      <c r="D282" s="586"/>
      <c r="E282" s="40"/>
      <c r="M282" s="483"/>
      <c r="N282" s="586" t="s">
        <v>541</v>
      </c>
      <c r="O282" s="592">
        <f>O281*12</f>
        <v>48</v>
      </c>
      <c r="P282" s="586"/>
      <c r="Q282" s="40"/>
    </row>
    <row r="283" spans="1:17">
      <c r="A283" s="483"/>
      <c r="B283" s="586"/>
      <c r="C283" s="586"/>
      <c r="D283" s="586"/>
      <c r="E283" s="40"/>
      <c r="M283" s="483"/>
      <c r="N283" s="586"/>
      <c r="O283" s="586"/>
      <c r="P283" s="586"/>
      <c r="Q283" s="40"/>
    </row>
    <row r="284" spans="1:17" ht="13">
      <c r="A284" s="483"/>
      <c r="B284" s="589" t="s">
        <v>542</v>
      </c>
      <c r="C284" s="590">
        <f>-PMT(E276/12,C282,C280)</f>
        <v>0</v>
      </c>
      <c r="D284" s="589" t="s">
        <v>543</v>
      </c>
      <c r="E284" s="488">
        <f>C284*12</f>
        <v>0</v>
      </c>
      <c r="M284" s="483"/>
      <c r="N284" s="589" t="s">
        <v>542</v>
      </c>
      <c r="O284" s="590">
        <f>-PMT(Q276/12,O282,O280)</f>
        <v>0</v>
      </c>
      <c r="P284" s="589" t="s">
        <v>543</v>
      </c>
      <c r="Q284" s="488">
        <f>O284*12</f>
        <v>0</v>
      </c>
    </row>
    <row r="285" spans="1:17">
      <c r="A285" s="483"/>
      <c r="B285" s="586"/>
      <c r="C285" s="586"/>
      <c r="D285" s="586"/>
      <c r="E285" s="40"/>
      <c r="M285" s="483"/>
      <c r="N285" s="586"/>
      <c r="O285" s="586"/>
      <c r="P285" s="586"/>
      <c r="Q285" s="40"/>
    </row>
    <row r="286" spans="1:17">
      <c r="A286" s="483"/>
      <c r="B286" s="586"/>
      <c r="C286" s="586"/>
      <c r="D286" s="586"/>
      <c r="E286" s="40"/>
      <c r="M286" s="483"/>
      <c r="N286" s="586"/>
      <c r="O286" s="586"/>
      <c r="P286" s="586"/>
      <c r="Q286" s="40"/>
    </row>
    <row r="287" spans="1:17">
      <c r="A287" s="483"/>
      <c r="B287" s="586" t="s">
        <v>241</v>
      </c>
      <c r="C287" s="586"/>
      <c r="D287" s="586"/>
      <c r="E287" s="40"/>
      <c r="M287" s="483"/>
      <c r="N287" s="586" t="s">
        <v>241</v>
      </c>
      <c r="O287" s="586"/>
      <c r="P287" s="586"/>
      <c r="Q287" s="40"/>
    </row>
    <row r="288" spans="1:17">
      <c r="A288" s="483"/>
      <c r="B288" s="586" t="s">
        <v>544</v>
      </c>
      <c r="C288" s="587">
        <f>C284*C282</f>
        <v>0</v>
      </c>
      <c r="D288" s="586"/>
      <c r="E288" s="40"/>
      <c r="M288" s="483"/>
      <c r="N288" s="586" t="s">
        <v>544</v>
      </c>
      <c r="O288" s="587">
        <f>O284*O282</f>
        <v>0</v>
      </c>
      <c r="P288" s="586"/>
      <c r="Q288" s="40"/>
    </row>
    <row r="289" spans="1:17">
      <c r="A289" s="483"/>
      <c r="B289" s="586"/>
      <c r="C289" s="586"/>
      <c r="D289" s="586"/>
      <c r="E289" s="40"/>
      <c r="M289" s="483"/>
      <c r="N289" s="586"/>
      <c r="O289" s="586"/>
      <c r="P289" s="586"/>
      <c r="Q289" s="40"/>
    </row>
    <row r="290" spans="1:17" ht="13.5" thickBot="1">
      <c r="A290" s="484"/>
      <c r="B290" s="489" t="s">
        <v>299</v>
      </c>
      <c r="C290" s="490">
        <f>C288-C280</f>
        <v>0</v>
      </c>
      <c r="D290" s="99"/>
      <c r="E290" s="157"/>
      <c r="M290" s="484"/>
      <c r="N290" s="489" t="s">
        <v>299</v>
      </c>
      <c r="O290" s="490">
        <f>O288-O280</f>
        <v>0</v>
      </c>
      <c r="P290" s="99"/>
      <c r="Q290" s="157"/>
    </row>
    <row r="291" spans="1:17" ht="13" thickBot="1"/>
    <row r="292" spans="1:17" ht="13">
      <c r="A292" s="480">
        <v>18</v>
      </c>
      <c r="B292" s="497" t="s">
        <v>533</v>
      </c>
      <c r="C292" s="497"/>
      <c r="D292" s="497"/>
      <c r="E292" s="498"/>
      <c r="M292" s="480">
        <v>18</v>
      </c>
      <c r="N292" s="497" t="s">
        <v>533</v>
      </c>
      <c r="O292" s="497"/>
      <c r="P292" s="497"/>
      <c r="Q292" s="498"/>
    </row>
    <row r="293" spans="1:17">
      <c r="A293" s="483"/>
      <c r="B293" s="586" t="s">
        <v>534</v>
      </c>
      <c r="C293" s="587">
        <f>SUMIF(Equipos!$Q$6:$Q$55,A292,Equipos!$O$6:$O$55)</f>
        <v>0</v>
      </c>
      <c r="D293" s="586" t="s">
        <v>535</v>
      </c>
      <c r="E293" s="487">
        <v>0.11</v>
      </c>
      <c r="M293" s="483"/>
      <c r="N293" s="586" t="s">
        <v>534</v>
      </c>
      <c r="O293" s="587">
        <f>SUMIF(MATERIALES!$P$6:$P$44,M292,MATERIALES!$N$6:$N$44)</f>
        <v>0</v>
      </c>
      <c r="P293" s="586" t="s">
        <v>535</v>
      </c>
      <c r="Q293" s="487">
        <v>0.11</v>
      </c>
    </row>
    <row r="294" spans="1:17">
      <c r="A294" s="483"/>
      <c r="B294" s="586" t="s">
        <v>536</v>
      </c>
      <c r="C294" s="588">
        <v>0</v>
      </c>
      <c r="D294" s="586" t="s">
        <v>537</v>
      </c>
      <c r="E294" s="487">
        <v>0</v>
      </c>
      <c r="M294" s="483"/>
      <c r="N294" s="586" t="s">
        <v>536</v>
      </c>
      <c r="O294" s="588">
        <v>0</v>
      </c>
      <c r="P294" s="586" t="s">
        <v>537</v>
      </c>
      <c r="Q294" s="487">
        <v>0</v>
      </c>
    </row>
    <row r="295" spans="1:17">
      <c r="A295" s="483"/>
      <c r="B295" s="586" t="s">
        <v>538</v>
      </c>
      <c r="C295" s="588">
        <v>0</v>
      </c>
      <c r="D295" s="586"/>
      <c r="E295" s="40"/>
      <c r="M295" s="483"/>
      <c r="N295" s="586" t="s">
        <v>538</v>
      </c>
      <c r="O295" s="588">
        <v>0</v>
      </c>
      <c r="P295" s="586"/>
      <c r="Q295" s="40"/>
    </row>
    <row r="296" spans="1:17">
      <c r="A296" s="483"/>
      <c r="B296" s="586"/>
      <c r="C296" s="586"/>
      <c r="D296" s="586"/>
      <c r="E296" s="40"/>
      <c r="M296" s="483"/>
      <c r="N296" s="586"/>
      <c r="O296" s="586"/>
      <c r="P296" s="586"/>
      <c r="Q296" s="40"/>
    </row>
    <row r="297" spans="1:17" ht="13">
      <c r="A297" s="483"/>
      <c r="B297" s="589" t="s">
        <v>539</v>
      </c>
      <c r="C297" s="590">
        <f>C293-C294-C295</f>
        <v>0</v>
      </c>
      <c r="D297" s="586"/>
      <c r="E297" s="40"/>
      <c r="M297" s="483"/>
      <c r="N297" s="589" t="s">
        <v>539</v>
      </c>
      <c r="O297" s="590">
        <f>O293-O294-O295</f>
        <v>0</v>
      </c>
      <c r="P297" s="586"/>
      <c r="Q297" s="40"/>
    </row>
    <row r="298" spans="1:17">
      <c r="A298" s="483"/>
      <c r="B298" s="586" t="s">
        <v>540</v>
      </c>
      <c r="C298" s="591">
        <v>4</v>
      </c>
      <c r="D298" s="586"/>
      <c r="E298" s="40"/>
      <c r="M298" s="483"/>
      <c r="N298" s="586" t="s">
        <v>540</v>
      </c>
      <c r="O298" s="591">
        <v>4</v>
      </c>
      <c r="P298" s="586"/>
      <c r="Q298" s="40"/>
    </row>
    <row r="299" spans="1:17">
      <c r="A299" s="483"/>
      <c r="B299" s="586" t="s">
        <v>541</v>
      </c>
      <c r="C299" s="592">
        <f>C298*12</f>
        <v>48</v>
      </c>
      <c r="D299" s="586"/>
      <c r="E299" s="40"/>
      <c r="M299" s="483"/>
      <c r="N299" s="586" t="s">
        <v>541</v>
      </c>
      <c r="O299" s="592">
        <f>O298*12</f>
        <v>48</v>
      </c>
      <c r="P299" s="586"/>
      <c r="Q299" s="40"/>
    </row>
    <row r="300" spans="1:17">
      <c r="A300" s="483"/>
      <c r="B300" s="586"/>
      <c r="C300" s="586"/>
      <c r="D300" s="586"/>
      <c r="E300" s="40"/>
      <c r="M300" s="483"/>
      <c r="N300" s="586"/>
      <c r="O300" s="586"/>
      <c r="P300" s="586"/>
      <c r="Q300" s="40"/>
    </row>
    <row r="301" spans="1:17" ht="13">
      <c r="A301" s="483"/>
      <c r="B301" s="589" t="s">
        <v>542</v>
      </c>
      <c r="C301" s="590">
        <f>-PMT(E293/12,C299,C297)</f>
        <v>0</v>
      </c>
      <c r="D301" s="589" t="s">
        <v>543</v>
      </c>
      <c r="E301" s="488">
        <f>C301*12</f>
        <v>0</v>
      </c>
      <c r="M301" s="483"/>
      <c r="N301" s="589" t="s">
        <v>542</v>
      </c>
      <c r="O301" s="590">
        <f>-PMT(Q293/12,O299,O297)</f>
        <v>0</v>
      </c>
      <c r="P301" s="589" t="s">
        <v>543</v>
      </c>
      <c r="Q301" s="488">
        <f>O301*12</f>
        <v>0</v>
      </c>
    </row>
    <row r="302" spans="1:17">
      <c r="A302" s="483"/>
      <c r="B302" s="586"/>
      <c r="C302" s="586"/>
      <c r="D302" s="586"/>
      <c r="E302" s="40"/>
      <c r="M302" s="483"/>
      <c r="N302" s="586"/>
      <c r="O302" s="586"/>
      <c r="P302" s="586"/>
      <c r="Q302" s="40"/>
    </row>
    <row r="303" spans="1:17">
      <c r="A303" s="483"/>
      <c r="B303" s="586"/>
      <c r="C303" s="586"/>
      <c r="D303" s="586"/>
      <c r="E303" s="40"/>
      <c r="M303" s="483"/>
      <c r="N303" s="586"/>
      <c r="O303" s="586"/>
      <c r="P303" s="586"/>
      <c r="Q303" s="40"/>
    </row>
    <row r="304" spans="1:17">
      <c r="A304" s="483"/>
      <c r="B304" s="586" t="s">
        <v>241</v>
      </c>
      <c r="C304" s="586"/>
      <c r="D304" s="586"/>
      <c r="E304" s="40"/>
      <c r="M304" s="483"/>
      <c r="N304" s="586" t="s">
        <v>241</v>
      </c>
      <c r="O304" s="586"/>
      <c r="P304" s="586"/>
      <c r="Q304" s="40"/>
    </row>
    <row r="305" spans="1:17">
      <c r="A305" s="483"/>
      <c r="B305" s="586" t="s">
        <v>544</v>
      </c>
      <c r="C305" s="587">
        <f>C301*C299</f>
        <v>0</v>
      </c>
      <c r="D305" s="586"/>
      <c r="E305" s="40"/>
      <c r="M305" s="483"/>
      <c r="N305" s="586" t="s">
        <v>544</v>
      </c>
      <c r="O305" s="587">
        <f>O301*O299</f>
        <v>0</v>
      </c>
      <c r="P305" s="586"/>
      <c r="Q305" s="40"/>
    </row>
    <row r="306" spans="1:17">
      <c r="A306" s="483"/>
      <c r="B306" s="586"/>
      <c r="C306" s="586"/>
      <c r="D306" s="586"/>
      <c r="E306" s="40"/>
      <c r="M306" s="483"/>
      <c r="N306" s="586"/>
      <c r="O306" s="586"/>
      <c r="P306" s="586"/>
      <c r="Q306" s="40"/>
    </row>
    <row r="307" spans="1:17" ht="13.5" thickBot="1">
      <c r="A307" s="484"/>
      <c r="B307" s="489" t="s">
        <v>299</v>
      </c>
      <c r="C307" s="490">
        <f>C305-C297</f>
        <v>0</v>
      </c>
      <c r="D307" s="99"/>
      <c r="E307" s="157"/>
      <c r="M307" s="484"/>
      <c r="N307" s="489" t="s">
        <v>299</v>
      </c>
      <c r="O307" s="490">
        <f>O305-O297</f>
        <v>0</v>
      </c>
      <c r="P307" s="99"/>
      <c r="Q307" s="157"/>
    </row>
    <row r="308" spans="1:17" ht="13" thickBot="1"/>
    <row r="309" spans="1:17" ht="13">
      <c r="A309" s="480">
        <v>19</v>
      </c>
      <c r="B309" s="497" t="s">
        <v>533</v>
      </c>
      <c r="C309" s="497"/>
      <c r="D309" s="497"/>
      <c r="E309" s="498"/>
      <c r="M309" s="480">
        <v>19</v>
      </c>
      <c r="N309" s="497" t="s">
        <v>533</v>
      </c>
      <c r="O309" s="497"/>
      <c r="P309" s="497"/>
      <c r="Q309" s="498"/>
    </row>
    <row r="310" spans="1:17">
      <c r="A310" s="483"/>
      <c r="B310" s="586" t="s">
        <v>534</v>
      </c>
      <c r="C310" s="587">
        <f>SUMIF(Equipos!$Q$6:$Q$55,A309,Equipos!$O$6:$O$55)</f>
        <v>0</v>
      </c>
      <c r="D310" s="586" t="s">
        <v>535</v>
      </c>
      <c r="E310" s="487">
        <v>0.11</v>
      </c>
      <c r="M310" s="483"/>
      <c r="N310" s="586" t="s">
        <v>534</v>
      </c>
      <c r="O310" s="587">
        <f>SUMIF(MATERIALES!$P$6:$P$44,M309,MATERIALES!$N$6:$N$44)</f>
        <v>0</v>
      </c>
      <c r="P310" s="586" t="s">
        <v>535</v>
      </c>
      <c r="Q310" s="487">
        <v>0.11</v>
      </c>
    </row>
    <row r="311" spans="1:17">
      <c r="A311" s="483"/>
      <c r="B311" s="586" t="s">
        <v>536</v>
      </c>
      <c r="C311" s="588">
        <v>0</v>
      </c>
      <c r="D311" s="586" t="s">
        <v>537</v>
      </c>
      <c r="E311" s="487">
        <v>0</v>
      </c>
      <c r="M311" s="483"/>
      <c r="N311" s="586" t="s">
        <v>536</v>
      </c>
      <c r="O311" s="588">
        <v>0</v>
      </c>
      <c r="P311" s="586" t="s">
        <v>537</v>
      </c>
      <c r="Q311" s="487">
        <v>0</v>
      </c>
    </row>
    <row r="312" spans="1:17">
      <c r="A312" s="483"/>
      <c r="B312" s="586" t="s">
        <v>538</v>
      </c>
      <c r="C312" s="588">
        <v>0</v>
      </c>
      <c r="D312" s="586"/>
      <c r="E312" s="40"/>
      <c r="M312" s="483"/>
      <c r="N312" s="586" t="s">
        <v>538</v>
      </c>
      <c r="O312" s="588">
        <v>0</v>
      </c>
      <c r="P312" s="586"/>
      <c r="Q312" s="40"/>
    </row>
    <row r="313" spans="1:17">
      <c r="A313" s="483"/>
      <c r="B313" s="586"/>
      <c r="C313" s="586"/>
      <c r="D313" s="586"/>
      <c r="E313" s="40"/>
      <c r="M313" s="483"/>
      <c r="N313" s="586"/>
      <c r="O313" s="586"/>
      <c r="P313" s="586"/>
      <c r="Q313" s="40"/>
    </row>
    <row r="314" spans="1:17" ht="13">
      <c r="A314" s="483"/>
      <c r="B314" s="589" t="s">
        <v>539</v>
      </c>
      <c r="C314" s="590">
        <f>C310-C311-C312</f>
        <v>0</v>
      </c>
      <c r="D314" s="586"/>
      <c r="E314" s="40"/>
      <c r="M314" s="483"/>
      <c r="N314" s="589" t="s">
        <v>539</v>
      </c>
      <c r="O314" s="590">
        <f>O310-O311-O312</f>
        <v>0</v>
      </c>
      <c r="P314" s="586"/>
      <c r="Q314" s="40"/>
    </row>
    <row r="315" spans="1:17">
      <c r="A315" s="483"/>
      <c r="B315" s="586" t="s">
        <v>540</v>
      </c>
      <c r="C315" s="591">
        <v>4</v>
      </c>
      <c r="D315" s="586"/>
      <c r="E315" s="40"/>
      <c r="M315" s="483"/>
      <c r="N315" s="586" t="s">
        <v>540</v>
      </c>
      <c r="O315" s="591">
        <v>4</v>
      </c>
      <c r="P315" s="586"/>
      <c r="Q315" s="40"/>
    </row>
    <row r="316" spans="1:17">
      <c r="A316" s="483"/>
      <c r="B316" s="586" t="s">
        <v>541</v>
      </c>
      <c r="C316" s="592">
        <f>C315*12</f>
        <v>48</v>
      </c>
      <c r="D316" s="586"/>
      <c r="E316" s="40"/>
      <c r="M316" s="483"/>
      <c r="N316" s="586" t="s">
        <v>541</v>
      </c>
      <c r="O316" s="592">
        <f>O315*12</f>
        <v>48</v>
      </c>
      <c r="P316" s="586"/>
      <c r="Q316" s="40"/>
    </row>
    <row r="317" spans="1:17">
      <c r="A317" s="483"/>
      <c r="B317" s="586"/>
      <c r="C317" s="586"/>
      <c r="D317" s="586"/>
      <c r="E317" s="40"/>
      <c r="M317" s="483"/>
      <c r="N317" s="586"/>
      <c r="O317" s="586"/>
      <c r="P317" s="586"/>
      <c r="Q317" s="40"/>
    </row>
    <row r="318" spans="1:17" ht="13">
      <c r="A318" s="483"/>
      <c r="B318" s="589" t="s">
        <v>542</v>
      </c>
      <c r="C318" s="590">
        <f>-PMT(E310/12,C316,C314)</f>
        <v>0</v>
      </c>
      <c r="D318" s="589" t="s">
        <v>543</v>
      </c>
      <c r="E318" s="488">
        <f>C318*12</f>
        <v>0</v>
      </c>
      <c r="M318" s="483"/>
      <c r="N318" s="589" t="s">
        <v>542</v>
      </c>
      <c r="O318" s="590">
        <f>-PMT(Q310/12,O316,O314)</f>
        <v>0</v>
      </c>
      <c r="P318" s="589" t="s">
        <v>543</v>
      </c>
      <c r="Q318" s="488">
        <f>O318*12</f>
        <v>0</v>
      </c>
    </row>
    <row r="319" spans="1:17">
      <c r="A319" s="483"/>
      <c r="B319" s="586"/>
      <c r="C319" s="586"/>
      <c r="D319" s="586"/>
      <c r="E319" s="40"/>
      <c r="M319" s="483"/>
      <c r="N319" s="586"/>
      <c r="O319" s="586"/>
      <c r="P319" s="586"/>
      <c r="Q319" s="40"/>
    </row>
    <row r="320" spans="1:17">
      <c r="A320" s="483"/>
      <c r="B320" s="586"/>
      <c r="C320" s="586"/>
      <c r="D320" s="586"/>
      <c r="E320" s="40"/>
      <c r="M320" s="483"/>
      <c r="N320" s="586"/>
      <c r="O320" s="586"/>
      <c r="P320" s="586"/>
      <c r="Q320" s="40"/>
    </row>
    <row r="321" spans="1:17">
      <c r="A321" s="483"/>
      <c r="B321" s="586" t="s">
        <v>241</v>
      </c>
      <c r="C321" s="586"/>
      <c r="D321" s="586"/>
      <c r="E321" s="40"/>
      <c r="M321" s="483"/>
      <c r="N321" s="586" t="s">
        <v>241</v>
      </c>
      <c r="O321" s="586"/>
      <c r="P321" s="586"/>
      <c r="Q321" s="40"/>
    </row>
    <row r="322" spans="1:17">
      <c r="A322" s="483"/>
      <c r="B322" s="586" t="s">
        <v>544</v>
      </c>
      <c r="C322" s="587">
        <f>C318*C316</f>
        <v>0</v>
      </c>
      <c r="D322" s="586"/>
      <c r="E322" s="40"/>
      <c r="M322" s="483"/>
      <c r="N322" s="586" t="s">
        <v>544</v>
      </c>
      <c r="O322" s="587">
        <f>O318*O316</f>
        <v>0</v>
      </c>
      <c r="P322" s="586"/>
      <c r="Q322" s="40"/>
    </row>
    <row r="323" spans="1:17">
      <c r="A323" s="483"/>
      <c r="B323" s="586"/>
      <c r="C323" s="586"/>
      <c r="D323" s="586"/>
      <c r="E323" s="40"/>
      <c r="M323" s="483"/>
      <c r="N323" s="586"/>
      <c r="O323" s="586"/>
      <c r="P323" s="586"/>
      <c r="Q323" s="40"/>
    </row>
    <row r="324" spans="1:17" ht="13.5" thickBot="1">
      <c r="A324" s="484"/>
      <c r="B324" s="489" t="s">
        <v>299</v>
      </c>
      <c r="C324" s="490">
        <f>C322-C314</f>
        <v>0</v>
      </c>
      <c r="D324" s="99"/>
      <c r="E324" s="157"/>
      <c r="M324" s="484"/>
      <c r="N324" s="489" t="s">
        <v>299</v>
      </c>
      <c r="O324" s="490">
        <f>O322-O314</f>
        <v>0</v>
      </c>
      <c r="P324" s="99"/>
      <c r="Q324" s="157"/>
    </row>
    <row r="325" spans="1:17" ht="13" thickBot="1"/>
    <row r="326" spans="1:17" ht="13">
      <c r="A326" s="480">
        <v>20</v>
      </c>
      <c r="B326" s="497" t="s">
        <v>533</v>
      </c>
      <c r="C326" s="497"/>
      <c r="D326" s="497"/>
      <c r="E326" s="498"/>
      <c r="M326" s="480">
        <v>20</v>
      </c>
      <c r="N326" s="497" t="s">
        <v>533</v>
      </c>
      <c r="O326" s="497"/>
      <c r="P326" s="497"/>
      <c r="Q326" s="498"/>
    </row>
    <row r="327" spans="1:17">
      <c r="A327" s="483"/>
      <c r="B327" s="586" t="s">
        <v>534</v>
      </c>
      <c r="C327" s="587">
        <f>SUMIF(Equipos!$Q$6:$Q$55,A326,Equipos!$O$6:$O$55)</f>
        <v>0</v>
      </c>
      <c r="D327" s="586" t="s">
        <v>535</v>
      </c>
      <c r="E327" s="487">
        <v>0.11</v>
      </c>
      <c r="M327" s="483"/>
      <c r="N327" s="586" t="s">
        <v>534</v>
      </c>
      <c r="O327" s="587">
        <f>SUMIF(MATERIALES!$P$6:$P$44,M326,MATERIALES!$N$6:$N$44)</f>
        <v>0</v>
      </c>
      <c r="P327" s="586" t="s">
        <v>535</v>
      </c>
      <c r="Q327" s="487">
        <v>0.11</v>
      </c>
    </row>
    <row r="328" spans="1:17">
      <c r="A328" s="483"/>
      <c r="B328" s="586" t="s">
        <v>536</v>
      </c>
      <c r="C328" s="588">
        <v>0</v>
      </c>
      <c r="D328" s="586" t="s">
        <v>537</v>
      </c>
      <c r="E328" s="487">
        <v>0</v>
      </c>
      <c r="M328" s="483"/>
      <c r="N328" s="586" t="s">
        <v>536</v>
      </c>
      <c r="O328" s="588">
        <v>0</v>
      </c>
      <c r="P328" s="586" t="s">
        <v>537</v>
      </c>
      <c r="Q328" s="487">
        <v>0</v>
      </c>
    </row>
    <row r="329" spans="1:17">
      <c r="A329" s="483"/>
      <c r="B329" s="586" t="s">
        <v>538</v>
      </c>
      <c r="C329" s="588">
        <v>0</v>
      </c>
      <c r="D329" s="586"/>
      <c r="E329" s="40"/>
      <c r="M329" s="483"/>
      <c r="N329" s="586" t="s">
        <v>538</v>
      </c>
      <c r="O329" s="588">
        <v>0</v>
      </c>
      <c r="P329" s="586"/>
      <c r="Q329" s="40"/>
    </row>
    <row r="330" spans="1:17">
      <c r="A330" s="483"/>
      <c r="B330" s="586"/>
      <c r="C330" s="586"/>
      <c r="D330" s="586"/>
      <c r="E330" s="40"/>
      <c r="M330" s="483"/>
      <c r="N330" s="586"/>
      <c r="O330" s="586"/>
      <c r="P330" s="586"/>
      <c r="Q330" s="40"/>
    </row>
    <row r="331" spans="1:17" ht="13">
      <c r="A331" s="483"/>
      <c r="B331" s="589" t="s">
        <v>539</v>
      </c>
      <c r="C331" s="590">
        <f>C327-C328-C329</f>
        <v>0</v>
      </c>
      <c r="D331" s="586"/>
      <c r="E331" s="40"/>
      <c r="M331" s="483"/>
      <c r="N331" s="589" t="s">
        <v>539</v>
      </c>
      <c r="O331" s="590">
        <f>O327-O328-O329</f>
        <v>0</v>
      </c>
      <c r="P331" s="586"/>
      <c r="Q331" s="40"/>
    </row>
    <row r="332" spans="1:17">
      <c r="A332" s="483"/>
      <c r="B332" s="586" t="s">
        <v>540</v>
      </c>
      <c r="C332" s="591">
        <v>4</v>
      </c>
      <c r="D332" s="586"/>
      <c r="E332" s="40"/>
      <c r="M332" s="483"/>
      <c r="N332" s="586" t="s">
        <v>540</v>
      </c>
      <c r="O332" s="591">
        <v>4</v>
      </c>
      <c r="P332" s="586"/>
      <c r="Q332" s="40"/>
    </row>
    <row r="333" spans="1:17">
      <c r="A333" s="483"/>
      <c r="B333" s="586" t="s">
        <v>541</v>
      </c>
      <c r="C333" s="592">
        <f>C332*12</f>
        <v>48</v>
      </c>
      <c r="D333" s="586"/>
      <c r="E333" s="40"/>
      <c r="M333" s="483"/>
      <c r="N333" s="586" t="s">
        <v>541</v>
      </c>
      <c r="O333" s="592">
        <f>O332*12</f>
        <v>48</v>
      </c>
      <c r="P333" s="586"/>
      <c r="Q333" s="40"/>
    </row>
    <row r="334" spans="1:17">
      <c r="A334" s="483"/>
      <c r="B334" s="586"/>
      <c r="C334" s="586"/>
      <c r="D334" s="586"/>
      <c r="E334" s="40"/>
      <c r="M334" s="483"/>
      <c r="N334" s="586"/>
      <c r="O334" s="586"/>
      <c r="P334" s="586"/>
      <c r="Q334" s="40"/>
    </row>
    <row r="335" spans="1:17" ht="13">
      <c r="A335" s="483"/>
      <c r="B335" s="589" t="s">
        <v>542</v>
      </c>
      <c r="C335" s="590">
        <f>-PMT(E327/12,C333,C331)</f>
        <v>0</v>
      </c>
      <c r="D335" s="589" t="s">
        <v>543</v>
      </c>
      <c r="E335" s="488">
        <f>C335*12</f>
        <v>0</v>
      </c>
      <c r="M335" s="483"/>
      <c r="N335" s="589" t="s">
        <v>542</v>
      </c>
      <c r="O335" s="590">
        <f>-PMT(Q327/12,O333,O331)</f>
        <v>0</v>
      </c>
      <c r="P335" s="589" t="s">
        <v>543</v>
      </c>
      <c r="Q335" s="488">
        <f>O335*12</f>
        <v>0</v>
      </c>
    </row>
    <row r="336" spans="1:17">
      <c r="A336" s="483"/>
      <c r="B336" s="586"/>
      <c r="C336" s="586"/>
      <c r="D336" s="586"/>
      <c r="E336" s="40"/>
      <c r="M336" s="483"/>
      <c r="N336" s="586"/>
      <c r="O336" s="586"/>
      <c r="P336" s="586"/>
      <c r="Q336" s="40"/>
    </row>
    <row r="337" spans="1:17">
      <c r="A337" s="483"/>
      <c r="B337" s="586"/>
      <c r="C337" s="586"/>
      <c r="D337" s="586"/>
      <c r="E337" s="40"/>
      <c r="M337" s="483"/>
      <c r="N337" s="586"/>
      <c r="O337" s="586"/>
      <c r="P337" s="586"/>
      <c r="Q337" s="40"/>
    </row>
    <row r="338" spans="1:17">
      <c r="A338" s="483"/>
      <c r="B338" s="586" t="s">
        <v>241</v>
      </c>
      <c r="C338" s="586"/>
      <c r="D338" s="586"/>
      <c r="E338" s="40"/>
      <c r="M338" s="483"/>
      <c r="N338" s="586" t="s">
        <v>241</v>
      </c>
      <c r="O338" s="586"/>
      <c r="P338" s="586"/>
      <c r="Q338" s="40"/>
    </row>
    <row r="339" spans="1:17">
      <c r="A339" s="483"/>
      <c r="B339" s="586" t="s">
        <v>544</v>
      </c>
      <c r="C339" s="587">
        <f>C335*C333</f>
        <v>0</v>
      </c>
      <c r="D339" s="586"/>
      <c r="E339" s="40"/>
      <c r="M339" s="483"/>
      <c r="N339" s="586" t="s">
        <v>544</v>
      </c>
      <c r="O339" s="587">
        <f>O335*O333</f>
        <v>0</v>
      </c>
      <c r="P339" s="586"/>
      <c r="Q339" s="40"/>
    </row>
    <row r="340" spans="1:17">
      <c r="A340" s="483"/>
      <c r="B340" s="586"/>
      <c r="C340" s="586"/>
      <c r="D340" s="586"/>
      <c r="E340" s="40"/>
      <c r="M340" s="483"/>
      <c r="N340" s="586"/>
      <c r="O340" s="586"/>
      <c r="P340" s="586"/>
      <c r="Q340" s="40"/>
    </row>
    <row r="341" spans="1:17" ht="13.5" thickBot="1">
      <c r="A341" s="484"/>
      <c r="B341" s="489" t="s">
        <v>299</v>
      </c>
      <c r="C341" s="490">
        <f>C339-C331</f>
        <v>0</v>
      </c>
      <c r="D341" s="99"/>
      <c r="E341" s="157"/>
      <c r="M341" s="484"/>
      <c r="N341" s="489" t="s">
        <v>299</v>
      </c>
      <c r="O341" s="490">
        <f>O339-O331</f>
        <v>0</v>
      </c>
      <c r="P341" s="99"/>
      <c r="Q341" s="157"/>
    </row>
    <row r="342" spans="1:17" ht="13" thickBot="1"/>
    <row r="343" spans="1:17" ht="13">
      <c r="A343" s="480">
        <v>21</v>
      </c>
      <c r="B343" s="497" t="s">
        <v>533</v>
      </c>
      <c r="C343" s="497"/>
      <c r="D343" s="497"/>
      <c r="E343" s="498"/>
      <c r="M343" s="480">
        <v>21</v>
      </c>
      <c r="N343" s="497" t="s">
        <v>533</v>
      </c>
      <c r="O343" s="497"/>
      <c r="P343" s="497"/>
      <c r="Q343" s="498"/>
    </row>
    <row r="344" spans="1:17">
      <c r="A344" s="483"/>
      <c r="B344" s="586" t="s">
        <v>534</v>
      </c>
      <c r="C344" s="587">
        <f>SUMIF(Equipos!$Q$6:$Q$55,A343,Equipos!$O$6:$O$55)</f>
        <v>0</v>
      </c>
      <c r="D344" s="586" t="s">
        <v>535</v>
      </c>
      <c r="E344" s="487">
        <v>0.11</v>
      </c>
      <c r="M344" s="483"/>
      <c r="N344" s="586" t="s">
        <v>534</v>
      </c>
      <c r="O344" s="587">
        <f>SUMIF(MATERIALES!$P$6:$P$44,M343,MATERIALES!$N$6:$N$44)</f>
        <v>0</v>
      </c>
      <c r="P344" s="586" t="s">
        <v>535</v>
      </c>
      <c r="Q344" s="487">
        <v>0.11</v>
      </c>
    </row>
    <row r="345" spans="1:17">
      <c r="A345" s="483"/>
      <c r="B345" s="586" t="s">
        <v>536</v>
      </c>
      <c r="C345" s="588">
        <v>0</v>
      </c>
      <c r="D345" s="586" t="s">
        <v>537</v>
      </c>
      <c r="E345" s="487">
        <v>0</v>
      </c>
      <c r="M345" s="483"/>
      <c r="N345" s="586" t="s">
        <v>536</v>
      </c>
      <c r="O345" s="588">
        <v>0</v>
      </c>
      <c r="P345" s="586" t="s">
        <v>537</v>
      </c>
      <c r="Q345" s="487">
        <v>0</v>
      </c>
    </row>
    <row r="346" spans="1:17">
      <c r="A346" s="483"/>
      <c r="B346" s="586" t="s">
        <v>538</v>
      </c>
      <c r="C346" s="588">
        <v>0</v>
      </c>
      <c r="D346" s="586"/>
      <c r="E346" s="40"/>
      <c r="M346" s="483"/>
      <c r="N346" s="586" t="s">
        <v>538</v>
      </c>
      <c r="O346" s="588">
        <v>0</v>
      </c>
      <c r="P346" s="586"/>
      <c r="Q346" s="40"/>
    </row>
    <row r="347" spans="1:17">
      <c r="A347" s="483"/>
      <c r="B347" s="586"/>
      <c r="C347" s="586"/>
      <c r="D347" s="586"/>
      <c r="E347" s="40"/>
      <c r="M347" s="483"/>
      <c r="N347" s="586"/>
      <c r="O347" s="586"/>
      <c r="P347" s="586"/>
      <c r="Q347" s="40"/>
    </row>
    <row r="348" spans="1:17" ht="13">
      <c r="A348" s="483"/>
      <c r="B348" s="589" t="s">
        <v>539</v>
      </c>
      <c r="C348" s="590">
        <f>C344-C345-C346</f>
        <v>0</v>
      </c>
      <c r="D348" s="586"/>
      <c r="E348" s="40"/>
      <c r="M348" s="483"/>
      <c r="N348" s="589" t="s">
        <v>539</v>
      </c>
      <c r="O348" s="590">
        <f>O344-O345-O346</f>
        <v>0</v>
      </c>
      <c r="P348" s="586"/>
      <c r="Q348" s="40"/>
    </row>
    <row r="349" spans="1:17">
      <c r="A349" s="483"/>
      <c r="B349" s="586" t="s">
        <v>540</v>
      </c>
      <c r="C349" s="591">
        <v>4</v>
      </c>
      <c r="D349" s="586"/>
      <c r="E349" s="40"/>
      <c r="M349" s="483"/>
      <c r="N349" s="586" t="s">
        <v>540</v>
      </c>
      <c r="O349" s="591">
        <v>4</v>
      </c>
      <c r="P349" s="586"/>
      <c r="Q349" s="40"/>
    </row>
    <row r="350" spans="1:17">
      <c r="A350" s="483"/>
      <c r="B350" s="586" t="s">
        <v>541</v>
      </c>
      <c r="C350" s="592">
        <f>C349*12</f>
        <v>48</v>
      </c>
      <c r="D350" s="586"/>
      <c r="E350" s="40"/>
      <c r="M350" s="483"/>
      <c r="N350" s="586" t="s">
        <v>541</v>
      </c>
      <c r="O350" s="592">
        <f>O349*12</f>
        <v>48</v>
      </c>
      <c r="P350" s="586"/>
      <c r="Q350" s="40"/>
    </row>
    <row r="351" spans="1:17">
      <c r="A351" s="483"/>
      <c r="B351" s="586"/>
      <c r="C351" s="586"/>
      <c r="D351" s="586"/>
      <c r="E351" s="40"/>
      <c r="M351" s="483"/>
      <c r="N351" s="586"/>
      <c r="O351" s="586"/>
      <c r="P351" s="586"/>
      <c r="Q351" s="40"/>
    </row>
    <row r="352" spans="1:17" ht="13">
      <c r="A352" s="483"/>
      <c r="B352" s="589" t="s">
        <v>542</v>
      </c>
      <c r="C352" s="590">
        <f>-PMT(E344/12,C350,C348)</f>
        <v>0</v>
      </c>
      <c r="D352" s="589" t="s">
        <v>543</v>
      </c>
      <c r="E352" s="488">
        <f>C352*12</f>
        <v>0</v>
      </c>
      <c r="M352" s="483"/>
      <c r="N352" s="589" t="s">
        <v>542</v>
      </c>
      <c r="O352" s="590">
        <f>-PMT(Q344/12,O350,O348)</f>
        <v>0</v>
      </c>
      <c r="P352" s="589" t="s">
        <v>543</v>
      </c>
      <c r="Q352" s="488">
        <f>O352*12</f>
        <v>0</v>
      </c>
    </row>
    <row r="353" spans="1:17">
      <c r="A353" s="483"/>
      <c r="B353" s="586"/>
      <c r="C353" s="586"/>
      <c r="D353" s="586"/>
      <c r="E353" s="40"/>
      <c r="M353" s="483"/>
      <c r="N353" s="586"/>
      <c r="O353" s="586"/>
      <c r="P353" s="586"/>
      <c r="Q353" s="40"/>
    </row>
    <row r="354" spans="1:17">
      <c r="A354" s="483"/>
      <c r="B354" s="586"/>
      <c r="C354" s="586"/>
      <c r="D354" s="586"/>
      <c r="E354" s="40"/>
      <c r="M354" s="483"/>
      <c r="N354" s="586"/>
      <c r="O354" s="586"/>
      <c r="P354" s="586"/>
      <c r="Q354" s="40"/>
    </row>
    <row r="355" spans="1:17">
      <c r="A355" s="483"/>
      <c r="B355" s="586" t="s">
        <v>241</v>
      </c>
      <c r="C355" s="586"/>
      <c r="D355" s="586"/>
      <c r="E355" s="40"/>
      <c r="M355" s="483"/>
      <c r="N355" s="586" t="s">
        <v>241</v>
      </c>
      <c r="O355" s="586"/>
      <c r="P355" s="586"/>
      <c r="Q355" s="40"/>
    </row>
    <row r="356" spans="1:17">
      <c r="A356" s="483"/>
      <c r="B356" s="586" t="s">
        <v>544</v>
      </c>
      <c r="C356" s="587">
        <f>C352*C350</f>
        <v>0</v>
      </c>
      <c r="D356" s="586"/>
      <c r="E356" s="40"/>
      <c r="M356" s="483"/>
      <c r="N356" s="586" t="s">
        <v>544</v>
      </c>
      <c r="O356" s="587">
        <f>O352*O350</f>
        <v>0</v>
      </c>
      <c r="P356" s="586"/>
      <c r="Q356" s="40"/>
    </row>
    <row r="357" spans="1:17">
      <c r="A357" s="483"/>
      <c r="B357" s="586"/>
      <c r="C357" s="586"/>
      <c r="D357" s="586"/>
      <c r="E357" s="40"/>
      <c r="M357" s="483"/>
      <c r="N357" s="586"/>
      <c r="O357" s="586"/>
      <c r="P357" s="586"/>
      <c r="Q357" s="40"/>
    </row>
    <row r="358" spans="1:17" ht="13.5" thickBot="1">
      <c r="A358" s="484"/>
      <c r="B358" s="489" t="s">
        <v>299</v>
      </c>
      <c r="C358" s="490">
        <f>C356-C348</f>
        <v>0</v>
      </c>
      <c r="D358" s="99"/>
      <c r="E358" s="157"/>
      <c r="M358" s="484"/>
      <c r="N358" s="489" t="s">
        <v>299</v>
      </c>
      <c r="O358" s="490">
        <f>O356-O348</f>
        <v>0</v>
      </c>
      <c r="P358" s="99"/>
      <c r="Q358" s="157"/>
    </row>
    <row r="359" spans="1:17" ht="13" thickBot="1"/>
    <row r="360" spans="1:17" ht="13">
      <c r="A360" s="480">
        <v>22</v>
      </c>
      <c r="B360" s="497" t="s">
        <v>533</v>
      </c>
      <c r="C360" s="497"/>
      <c r="D360" s="497"/>
      <c r="E360" s="498"/>
      <c r="M360" s="480">
        <v>22</v>
      </c>
      <c r="N360" s="497" t="s">
        <v>533</v>
      </c>
      <c r="O360" s="497"/>
      <c r="P360" s="497"/>
      <c r="Q360" s="498"/>
    </row>
    <row r="361" spans="1:17">
      <c r="A361" s="483"/>
      <c r="B361" s="586" t="s">
        <v>534</v>
      </c>
      <c r="C361" s="587">
        <f>SUMIF(Equipos!$Q$6:$Q$55,A360,Equipos!$O$6:$O$55)</f>
        <v>0</v>
      </c>
      <c r="D361" s="586" t="s">
        <v>535</v>
      </c>
      <c r="E361" s="487">
        <v>0.11</v>
      </c>
      <c r="M361" s="483"/>
      <c r="N361" s="586" t="s">
        <v>534</v>
      </c>
      <c r="O361" s="587">
        <f>SUMIF(MATERIALES!$P$6:$P$44,M360,MATERIALES!$N$6:$N$44)</f>
        <v>0</v>
      </c>
      <c r="P361" s="586" t="s">
        <v>535</v>
      </c>
      <c r="Q361" s="487">
        <v>0.11</v>
      </c>
    </row>
    <row r="362" spans="1:17">
      <c r="A362" s="483"/>
      <c r="B362" s="586" t="s">
        <v>536</v>
      </c>
      <c r="C362" s="588">
        <v>0</v>
      </c>
      <c r="D362" s="586" t="s">
        <v>537</v>
      </c>
      <c r="E362" s="487">
        <v>0</v>
      </c>
      <c r="M362" s="483"/>
      <c r="N362" s="586" t="s">
        <v>536</v>
      </c>
      <c r="O362" s="588">
        <v>0</v>
      </c>
      <c r="P362" s="586" t="s">
        <v>537</v>
      </c>
      <c r="Q362" s="487">
        <v>0</v>
      </c>
    </row>
    <row r="363" spans="1:17">
      <c r="A363" s="483"/>
      <c r="B363" s="586" t="s">
        <v>538</v>
      </c>
      <c r="C363" s="588">
        <v>0</v>
      </c>
      <c r="D363" s="586"/>
      <c r="E363" s="40"/>
      <c r="M363" s="483"/>
      <c r="N363" s="586" t="s">
        <v>538</v>
      </c>
      <c r="O363" s="588">
        <v>0</v>
      </c>
      <c r="P363" s="586"/>
      <c r="Q363" s="40"/>
    </row>
    <row r="364" spans="1:17">
      <c r="A364" s="483"/>
      <c r="B364" s="586"/>
      <c r="C364" s="586"/>
      <c r="D364" s="586"/>
      <c r="E364" s="40"/>
      <c r="M364" s="483"/>
      <c r="N364" s="586"/>
      <c r="O364" s="586"/>
      <c r="P364" s="586"/>
      <c r="Q364" s="40"/>
    </row>
    <row r="365" spans="1:17" ht="13">
      <c r="A365" s="483"/>
      <c r="B365" s="589" t="s">
        <v>539</v>
      </c>
      <c r="C365" s="590">
        <f>C361-C362-C363</f>
        <v>0</v>
      </c>
      <c r="D365" s="586"/>
      <c r="E365" s="40"/>
      <c r="M365" s="483"/>
      <c r="N365" s="589" t="s">
        <v>539</v>
      </c>
      <c r="O365" s="590">
        <f>O361-O362-O363</f>
        <v>0</v>
      </c>
      <c r="P365" s="586"/>
      <c r="Q365" s="40"/>
    </row>
    <row r="366" spans="1:17">
      <c r="A366" s="483"/>
      <c r="B366" s="586" t="s">
        <v>540</v>
      </c>
      <c r="C366" s="591">
        <v>4</v>
      </c>
      <c r="D366" s="586"/>
      <c r="E366" s="40"/>
      <c r="M366" s="483"/>
      <c r="N366" s="586" t="s">
        <v>540</v>
      </c>
      <c r="O366" s="591">
        <v>4</v>
      </c>
      <c r="P366" s="586"/>
      <c r="Q366" s="40"/>
    </row>
    <row r="367" spans="1:17">
      <c r="A367" s="483"/>
      <c r="B367" s="586" t="s">
        <v>541</v>
      </c>
      <c r="C367" s="592">
        <f>C366*12</f>
        <v>48</v>
      </c>
      <c r="D367" s="586"/>
      <c r="E367" s="40"/>
      <c r="M367" s="483"/>
      <c r="N367" s="586" t="s">
        <v>541</v>
      </c>
      <c r="O367" s="592">
        <f>O366*12</f>
        <v>48</v>
      </c>
      <c r="P367" s="586"/>
      <c r="Q367" s="40"/>
    </row>
    <row r="368" spans="1:17">
      <c r="A368" s="483"/>
      <c r="B368" s="586"/>
      <c r="C368" s="586"/>
      <c r="D368" s="586"/>
      <c r="E368" s="40"/>
      <c r="M368" s="483"/>
      <c r="N368" s="586"/>
      <c r="O368" s="586"/>
      <c r="P368" s="586"/>
      <c r="Q368" s="40"/>
    </row>
    <row r="369" spans="1:17" ht="13">
      <c r="A369" s="483"/>
      <c r="B369" s="589" t="s">
        <v>542</v>
      </c>
      <c r="C369" s="590">
        <f>-PMT(E361/12,C367,C365)</f>
        <v>0</v>
      </c>
      <c r="D369" s="589" t="s">
        <v>543</v>
      </c>
      <c r="E369" s="488">
        <f>C369*12</f>
        <v>0</v>
      </c>
      <c r="M369" s="483"/>
      <c r="N369" s="589" t="s">
        <v>542</v>
      </c>
      <c r="O369" s="590">
        <f>-PMT(Q361/12,O367,O365)</f>
        <v>0</v>
      </c>
      <c r="P369" s="589" t="s">
        <v>543</v>
      </c>
      <c r="Q369" s="488">
        <f>O369*12</f>
        <v>0</v>
      </c>
    </row>
    <row r="370" spans="1:17">
      <c r="A370" s="483"/>
      <c r="B370" s="586"/>
      <c r="C370" s="586"/>
      <c r="D370" s="586"/>
      <c r="E370" s="40"/>
      <c r="M370" s="483"/>
      <c r="N370" s="586"/>
      <c r="O370" s="586"/>
      <c r="P370" s="586"/>
      <c r="Q370" s="40"/>
    </row>
    <row r="371" spans="1:17">
      <c r="A371" s="483"/>
      <c r="B371" s="586"/>
      <c r="C371" s="586"/>
      <c r="D371" s="586"/>
      <c r="E371" s="40"/>
      <c r="M371" s="483"/>
      <c r="N371" s="586"/>
      <c r="O371" s="586"/>
      <c r="P371" s="586"/>
      <c r="Q371" s="40"/>
    </row>
    <row r="372" spans="1:17">
      <c r="A372" s="483"/>
      <c r="B372" s="586" t="s">
        <v>241</v>
      </c>
      <c r="C372" s="586"/>
      <c r="D372" s="586"/>
      <c r="E372" s="40"/>
      <c r="M372" s="483"/>
      <c r="N372" s="586" t="s">
        <v>241</v>
      </c>
      <c r="O372" s="586"/>
      <c r="P372" s="586"/>
      <c r="Q372" s="40"/>
    </row>
    <row r="373" spans="1:17">
      <c r="A373" s="483"/>
      <c r="B373" s="586" t="s">
        <v>544</v>
      </c>
      <c r="C373" s="587">
        <f>C369*C367</f>
        <v>0</v>
      </c>
      <c r="D373" s="586"/>
      <c r="E373" s="40"/>
      <c r="M373" s="483"/>
      <c r="N373" s="586" t="s">
        <v>544</v>
      </c>
      <c r="O373" s="587">
        <f>O369*O367</f>
        <v>0</v>
      </c>
      <c r="P373" s="586"/>
      <c r="Q373" s="40"/>
    </row>
    <row r="374" spans="1:17">
      <c r="A374" s="483"/>
      <c r="B374" s="586"/>
      <c r="C374" s="586"/>
      <c r="D374" s="586"/>
      <c r="E374" s="40"/>
      <c r="M374" s="483"/>
      <c r="N374" s="586"/>
      <c r="O374" s="586"/>
      <c r="P374" s="586"/>
      <c r="Q374" s="40"/>
    </row>
    <row r="375" spans="1:17" ht="13.5" thickBot="1">
      <c r="A375" s="484"/>
      <c r="B375" s="489" t="s">
        <v>299</v>
      </c>
      <c r="C375" s="490">
        <f>C373-C365</f>
        <v>0</v>
      </c>
      <c r="D375" s="99"/>
      <c r="E375" s="157"/>
      <c r="M375" s="484"/>
      <c r="N375" s="489" t="s">
        <v>299</v>
      </c>
      <c r="O375" s="490">
        <f>O373-O365</f>
        <v>0</v>
      </c>
      <c r="P375" s="99"/>
      <c r="Q375" s="157"/>
    </row>
    <row r="376" spans="1:17" ht="13" thickBot="1"/>
    <row r="377" spans="1:17" ht="13">
      <c r="A377" s="480">
        <v>23</v>
      </c>
      <c r="B377" s="497" t="s">
        <v>533</v>
      </c>
      <c r="C377" s="497"/>
      <c r="D377" s="497"/>
      <c r="E377" s="498"/>
      <c r="M377" s="480">
        <v>23</v>
      </c>
      <c r="N377" s="497" t="s">
        <v>533</v>
      </c>
      <c r="O377" s="497"/>
      <c r="P377" s="497"/>
      <c r="Q377" s="498"/>
    </row>
    <row r="378" spans="1:17">
      <c r="A378" s="483"/>
      <c r="B378" s="586" t="s">
        <v>534</v>
      </c>
      <c r="C378" s="587">
        <f>SUMIF(Equipos!$Q$6:$Q$55,A377,Equipos!$O$6:$O$55)</f>
        <v>0</v>
      </c>
      <c r="D378" s="586" t="s">
        <v>535</v>
      </c>
      <c r="E378" s="487">
        <v>0.11</v>
      </c>
      <c r="M378" s="483"/>
      <c r="N378" s="586" t="s">
        <v>534</v>
      </c>
      <c r="O378" s="587">
        <f>SUMIF(MATERIALES!$P$6:$P$44,M377,MATERIALES!$N$6:$N$44)</f>
        <v>0</v>
      </c>
      <c r="P378" s="586" t="s">
        <v>535</v>
      </c>
      <c r="Q378" s="487">
        <v>0.11</v>
      </c>
    </row>
    <row r="379" spans="1:17">
      <c r="A379" s="483"/>
      <c r="B379" s="586" t="s">
        <v>536</v>
      </c>
      <c r="C379" s="588">
        <v>0</v>
      </c>
      <c r="D379" s="586" t="s">
        <v>537</v>
      </c>
      <c r="E379" s="487">
        <v>0</v>
      </c>
      <c r="M379" s="483"/>
      <c r="N379" s="586" t="s">
        <v>536</v>
      </c>
      <c r="O379" s="588">
        <v>0</v>
      </c>
      <c r="P379" s="586" t="s">
        <v>537</v>
      </c>
      <c r="Q379" s="487">
        <v>0</v>
      </c>
    </row>
    <row r="380" spans="1:17">
      <c r="A380" s="483"/>
      <c r="B380" s="586" t="s">
        <v>538</v>
      </c>
      <c r="C380" s="588">
        <v>0</v>
      </c>
      <c r="D380" s="586"/>
      <c r="E380" s="40"/>
      <c r="M380" s="483"/>
      <c r="N380" s="586" t="s">
        <v>538</v>
      </c>
      <c r="O380" s="588">
        <v>0</v>
      </c>
      <c r="P380" s="586"/>
      <c r="Q380" s="40"/>
    </row>
    <row r="381" spans="1:17">
      <c r="A381" s="483"/>
      <c r="B381" s="586"/>
      <c r="C381" s="586"/>
      <c r="D381" s="586"/>
      <c r="E381" s="40"/>
      <c r="M381" s="483"/>
      <c r="N381" s="586"/>
      <c r="O381" s="586"/>
      <c r="P381" s="586"/>
      <c r="Q381" s="40"/>
    </row>
    <row r="382" spans="1:17" ht="13">
      <c r="A382" s="483"/>
      <c r="B382" s="589" t="s">
        <v>539</v>
      </c>
      <c r="C382" s="590">
        <f>C378-C379-C380</f>
        <v>0</v>
      </c>
      <c r="D382" s="586"/>
      <c r="E382" s="40"/>
      <c r="M382" s="483"/>
      <c r="N382" s="589" t="s">
        <v>539</v>
      </c>
      <c r="O382" s="590">
        <f>O378-O379-O380</f>
        <v>0</v>
      </c>
      <c r="P382" s="586"/>
      <c r="Q382" s="40"/>
    </row>
    <row r="383" spans="1:17">
      <c r="A383" s="483"/>
      <c r="B383" s="586" t="s">
        <v>540</v>
      </c>
      <c r="C383" s="591">
        <v>4</v>
      </c>
      <c r="D383" s="586"/>
      <c r="E383" s="40"/>
      <c r="M383" s="483"/>
      <c r="N383" s="586" t="s">
        <v>540</v>
      </c>
      <c r="O383" s="591">
        <v>4</v>
      </c>
      <c r="P383" s="586"/>
      <c r="Q383" s="40"/>
    </row>
    <row r="384" spans="1:17">
      <c r="A384" s="483"/>
      <c r="B384" s="586" t="s">
        <v>541</v>
      </c>
      <c r="C384" s="592">
        <f>C383*12</f>
        <v>48</v>
      </c>
      <c r="D384" s="586"/>
      <c r="E384" s="40"/>
      <c r="M384" s="483"/>
      <c r="N384" s="586" t="s">
        <v>541</v>
      </c>
      <c r="O384" s="592">
        <f>O383*12</f>
        <v>48</v>
      </c>
      <c r="P384" s="586"/>
      <c r="Q384" s="40"/>
    </row>
    <row r="385" spans="1:17">
      <c r="A385" s="483"/>
      <c r="B385" s="586"/>
      <c r="C385" s="586"/>
      <c r="D385" s="586"/>
      <c r="E385" s="40"/>
      <c r="M385" s="483"/>
      <c r="N385" s="586"/>
      <c r="O385" s="586"/>
      <c r="P385" s="586"/>
      <c r="Q385" s="40"/>
    </row>
    <row r="386" spans="1:17" ht="13">
      <c r="A386" s="483"/>
      <c r="B386" s="589" t="s">
        <v>542</v>
      </c>
      <c r="C386" s="590">
        <f>-PMT(E378/12,C384,C382)</f>
        <v>0</v>
      </c>
      <c r="D386" s="589" t="s">
        <v>543</v>
      </c>
      <c r="E386" s="488">
        <f>C386*12</f>
        <v>0</v>
      </c>
      <c r="M386" s="483"/>
      <c r="N386" s="589" t="s">
        <v>542</v>
      </c>
      <c r="O386" s="590">
        <f>-PMT(Q378/12,O384,O382)</f>
        <v>0</v>
      </c>
      <c r="P386" s="589" t="s">
        <v>543</v>
      </c>
      <c r="Q386" s="488">
        <f>O386*12</f>
        <v>0</v>
      </c>
    </row>
    <row r="387" spans="1:17">
      <c r="A387" s="483"/>
      <c r="B387" s="586"/>
      <c r="C387" s="586"/>
      <c r="D387" s="586"/>
      <c r="E387" s="40"/>
      <c r="M387" s="483"/>
      <c r="N387" s="586"/>
      <c r="O387" s="586"/>
      <c r="P387" s="586"/>
      <c r="Q387" s="40"/>
    </row>
    <row r="388" spans="1:17">
      <c r="A388" s="483"/>
      <c r="B388" s="586"/>
      <c r="C388" s="586"/>
      <c r="D388" s="586"/>
      <c r="E388" s="40"/>
      <c r="M388" s="483"/>
      <c r="N388" s="586"/>
      <c r="O388" s="586"/>
      <c r="P388" s="586"/>
      <c r="Q388" s="40"/>
    </row>
    <row r="389" spans="1:17">
      <c r="A389" s="483"/>
      <c r="B389" s="586" t="s">
        <v>241</v>
      </c>
      <c r="C389" s="586"/>
      <c r="D389" s="586"/>
      <c r="E389" s="40"/>
      <c r="M389" s="483"/>
      <c r="N389" s="586" t="s">
        <v>241</v>
      </c>
      <c r="O389" s="586"/>
      <c r="P389" s="586"/>
      <c r="Q389" s="40"/>
    </row>
    <row r="390" spans="1:17">
      <c r="A390" s="483"/>
      <c r="B390" s="586" t="s">
        <v>544</v>
      </c>
      <c r="C390" s="587">
        <f>C386*C384</f>
        <v>0</v>
      </c>
      <c r="D390" s="586"/>
      <c r="E390" s="40"/>
      <c r="M390" s="483"/>
      <c r="N390" s="586" t="s">
        <v>544</v>
      </c>
      <c r="O390" s="587">
        <f>O386*O384</f>
        <v>0</v>
      </c>
      <c r="P390" s="586"/>
      <c r="Q390" s="40"/>
    </row>
    <row r="391" spans="1:17">
      <c r="A391" s="483"/>
      <c r="B391" s="586"/>
      <c r="C391" s="586"/>
      <c r="D391" s="586"/>
      <c r="E391" s="40"/>
      <c r="M391" s="483"/>
      <c r="N391" s="586"/>
      <c r="O391" s="586"/>
      <c r="P391" s="586"/>
      <c r="Q391" s="40"/>
    </row>
    <row r="392" spans="1:17" ht="13.5" thickBot="1">
      <c r="A392" s="484"/>
      <c r="B392" s="489" t="s">
        <v>299</v>
      </c>
      <c r="C392" s="490">
        <f>C390-C382</f>
        <v>0</v>
      </c>
      <c r="D392" s="99"/>
      <c r="E392" s="157"/>
      <c r="M392" s="484"/>
      <c r="N392" s="489" t="s">
        <v>299</v>
      </c>
      <c r="O392" s="490">
        <f>O390-O382</f>
        <v>0</v>
      </c>
      <c r="P392" s="99"/>
      <c r="Q392" s="157"/>
    </row>
    <row r="393" spans="1:17" ht="13" thickBot="1"/>
    <row r="394" spans="1:17" ht="13">
      <c r="A394" s="480">
        <v>24</v>
      </c>
      <c r="B394" s="497" t="s">
        <v>533</v>
      </c>
      <c r="C394" s="497"/>
      <c r="D394" s="497"/>
      <c r="E394" s="498"/>
      <c r="M394" s="480">
        <v>24</v>
      </c>
      <c r="N394" s="497" t="s">
        <v>533</v>
      </c>
      <c r="O394" s="497"/>
      <c r="P394" s="497"/>
      <c r="Q394" s="498"/>
    </row>
    <row r="395" spans="1:17">
      <c r="A395" s="483"/>
      <c r="B395" s="586" t="s">
        <v>534</v>
      </c>
      <c r="C395" s="587">
        <f>SUMIF(Equipos!$Q$6:$Q$55,A394,Equipos!$O$6:$O$55)</f>
        <v>0</v>
      </c>
      <c r="D395" s="586" t="s">
        <v>535</v>
      </c>
      <c r="E395" s="487">
        <v>0.11</v>
      </c>
      <c r="M395" s="483"/>
      <c r="N395" s="586" t="s">
        <v>534</v>
      </c>
      <c r="O395" s="587">
        <f>SUMIF(MATERIALES!$P$6:$P$44,M394,MATERIALES!$N$6:$N$44)</f>
        <v>0</v>
      </c>
      <c r="P395" s="586" t="s">
        <v>535</v>
      </c>
      <c r="Q395" s="487">
        <v>0.11</v>
      </c>
    </row>
    <row r="396" spans="1:17">
      <c r="A396" s="483"/>
      <c r="B396" s="586" t="s">
        <v>536</v>
      </c>
      <c r="C396" s="588">
        <v>0</v>
      </c>
      <c r="D396" s="586" t="s">
        <v>537</v>
      </c>
      <c r="E396" s="487">
        <v>0</v>
      </c>
      <c r="M396" s="483"/>
      <c r="N396" s="586" t="s">
        <v>536</v>
      </c>
      <c r="O396" s="588">
        <v>0</v>
      </c>
      <c r="P396" s="586" t="s">
        <v>537</v>
      </c>
      <c r="Q396" s="487">
        <v>0</v>
      </c>
    </row>
    <row r="397" spans="1:17">
      <c r="A397" s="483"/>
      <c r="B397" s="586" t="s">
        <v>538</v>
      </c>
      <c r="C397" s="588">
        <v>0</v>
      </c>
      <c r="D397" s="586"/>
      <c r="E397" s="40"/>
      <c r="M397" s="483"/>
      <c r="N397" s="586" t="s">
        <v>538</v>
      </c>
      <c r="O397" s="588">
        <v>0</v>
      </c>
      <c r="P397" s="586"/>
      <c r="Q397" s="40"/>
    </row>
    <row r="398" spans="1:17">
      <c r="A398" s="483"/>
      <c r="B398" s="586"/>
      <c r="C398" s="586"/>
      <c r="D398" s="586"/>
      <c r="E398" s="40"/>
      <c r="M398" s="483"/>
      <c r="N398" s="586"/>
      <c r="O398" s="586"/>
      <c r="P398" s="586"/>
      <c r="Q398" s="40"/>
    </row>
    <row r="399" spans="1:17" ht="13">
      <c r="A399" s="483"/>
      <c r="B399" s="589" t="s">
        <v>539</v>
      </c>
      <c r="C399" s="590">
        <f>C395-C396-C397</f>
        <v>0</v>
      </c>
      <c r="D399" s="586"/>
      <c r="E399" s="40"/>
      <c r="M399" s="483"/>
      <c r="N399" s="589" t="s">
        <v>539</v>
      </c>
      <c r="O399" s="590">
        <f>O395-O396-O397</f>
        <v>0</v>
      </c>
      <c r="P399" s="586"/>
      <c r="Q399" s="40"/>
    </row>
    <row r="400" spans="1:17">
      <c r="A400" s="483"/>
      <c r="B400" s="586" t="s">
        <v>540</v>
      </c>
      <c r="C400" s="591">
        <v>4</v>
      </c>
      <c r="D400" s="586"/>
      <c r="E400" s="40"/>
      <c r="M400" s="483"/>
      <c r="N400" s="586" t="s">
        <v>540</v>
      </c>
      <c r="O400" s="591">
        <v>4</v>
      </c>
      <c r="P400" s="586"/>
      <c r="Q400" s="40"/>
    </row>
    <row r="401" spans="1:17">
      <c r="A401" s="483"/>
      <c r="B401" s="586" t="s">
        <v>541</v>
      </c>
      <c r="C401" s="592">
        <f>C400*12</f>
        <v>48</v>
      </c>
      <c r="D401" s="586"/>
      <c r="E401" s="40"/>
      <c r="M401" s="483"/>
      <c r="N401" s="586" t="s">
        <v>541</v>
      </c>
      <c r="O401" s="592">
        <f>O400*12</f>
        <v>48</v>
      </c>
      <c r="P401" s="586"/>
      <c r="Q401" s="40"/>
    </row>
    <row r="402" spans="1:17">
      <c r="A402" s="483"/>
      <c r="B402" s="586"/>
      <c r="C402" s="586"/>
      <c r="D402" s="586"/>
      <c r="E402" s="40"/>
      <c r="M402" s="483"/>
      <c r="N402" s="586"/>
      <c r="O402" s="586"/>
      <c r="P402" s="586"/>
      <c r="Q402" s="40"/>
    </row>
    <row r="403" spans="1:17" ht="13">
      <c r="A403" s="483"/>
      <c r="B403" s="589" t="s">
        <v>542</v>
      </c>
      <c r="C403" s="590">
        <f>-PMT(E395/12,C401,C399)</f>
        <v>0</v>
      </c>
      <c r="D403" s="589" t="s">
        <v>543</v>
      </c>
      <c r="E403" s="488">
        <f>C403*12</f>
        <v>0</v>
      </c>
      <c r="M403" s="483"/>
      <c r="N403" s="589" t="s">
        <v>542</v>
      </c>
      <c r="O403" s="590">
        <f>-PMT(Q395/12,O401,O399)</f>
        <v>0</v>
      </c>
      <c r="P403" s="589" t="s">
        <v>543</v>
      </c>
      <c r="Q403" s="488">
        <f>O403*12</f>
        <v>0</v>
      </c>
    </row>
    <row r="404" spans="1:17">
      <c r="A404" s="483"/>
      <c r="B404" s="586"/>
      <c r="C404" s="586"/>
      <c r="D404" s="586"/>
      <c r="E404" s="40"/>
      <c r="M404" s="483"/>
      <c r="N404" s="586"/>
      <c r="O404" s="586"/>
      <c r="P404" s="586"/>
      <c r="Q404" s="40"/>
    </row>
    <row r="405" spans="1:17">
      <c r="A405" s="483"/>
      <c r="B405" s="586"/>
      <c r="C405" s="586"/>
      <c r="D405" s="586"/>
      <c r="E405" s="40"/>
      <c r="M405" s="483"/>
      <c r="N405" s="586"/>
      <c r="O405" s="586"/>
      <c r="P405" s="586"/>
      <c r="Q405" s="40"/>
    </row>
    <row r="406" spans="1:17">
      <c r="A406" s="483"/>
      <c r="B406" s="586" t="s">
        <v>241</v>
      </c>
      <c r="C406" s="586"/>
      <c r="D406" s="586"/>
      <c r="E406" s="40"/>
      <c r="M406" s="483"/>
      <c r="N406" s="586" t="s">
        <v>241</v>
      </c>
      <c r="O406" s="586"/>
      <c r="P406" s="586"/>
      <c r="Q406" s="40"/>
    </row>
    <row r="407" spans="1:17">
      <c r="A407" s="483"/>
      <c r="B407" s="586" t="s">
        <v>544</v>
      </c>
      <c r="C407" s="587">
        <f>C403*C401</f>
        <v>0</v>
      </c>
      <c r="D407" s="586"/>
      <c r="E407" s="40"/>
      <c r="M407" s="483"/>
      <c r="N407" s="586" t="s">
        <v>544</v>
      </c>
      <c r="O407" s="587">
        <f>O403*O401</f>
        <v>0</v>
      </c>
      <c r="P407" s="586"/>
      <c r="Q407" s="40"/>
    </row>
    <row r="408" spans="1:17">
      <c r="A408" s="483"/>
      <c r="B408" s="586"/>
      <c r="C408" s="586"/>
      <c r="D408" s="586"/>
      <c r="E408" s="40"/>
      <c r="M408" s="483"/>
      <c r="N408" s="586"/>
      <c r="O408" s="586"/>
      <c r="P408" s="586"/>
      <c r="Q408" s="40"/>
    </row>
    <row r="409" spans="1:17" ht="13.5" thickBot="1">
      <c r="A409" s="484"/>
      <c r="B409" s="489" t="s">
        <v>299</v>
      </c>
      <c r="C409" s="490">
        <f>C407-C399</f>
        <v>0</v>
      </c>
      <c r="D409" s="99"/>
      <c r="E409" s="157"/>
      <c r="M409" s="484"/>
      <c r="N409" s="489" t="s">
        <v>299</v>
      </c>
      <c r="O409" s="490">
        <f>O407-O399</f>
        <v>0</v>
      </c>
      <c r="P409" s="99"/>
      <c r="Q409" s="157"/>
    </row>
    <row r="410" spans="1:17" ht="13" thickBot="1"/>
    <row r="411" spans="1:17" ht="13">
      <c r="A411" s="480">
        <v>25</v>
      </c>
      <c r="B411" s="497" t="s">
        <v>533</v>
      </c>
      <c r="C411" s="497"/>
      <c r="D411" s="497"/>
      <c r="E411" s="498"/>
      <c r="M411" s="480">
        <v>25</v>
      </c>
      <c r="N411" s="497" t="s">
        <v>533</v>
      </c>
      <c r="O411" s="497"/>
      <c r="P411" s="497"/>
      <c r="Q411" s="498"/>
    </row>
    <row r="412" spans="1:17">
      <c r="A412" s="483"/>
      <c r="B412" s="586" t="s">
        <v>534</v>
      </c>
      <c r="C412" s="587">
        <f>SUMIF(Equipos!$Q$6:$Q$55,A411,Equipos!$O$6:$O$55)</f>
        <v>0</v>
      </c>
      <c r="D412" s="586" t="s">
        <v>535</v>
      </c>
      <c r="E412" s="487">
        <v>0.11</v>
      </c>
      <c r="M412" s="483"/>
      <c r="N412" s="586" t="s">
        <v>534</v>
      </c>
      <c r="O412" s="587">
        <f>SUMIF(MATERIALES!$P$6:$P$44,M411,MATERIALES!$N$6:$N$44)</f>
        <v>0</v>
      </c>
      <c r="P412" s="586" t="s">
        <v>535</v>
      </c>
      <c r="Q412" s="487">
        <v>0.11</v>
      </c>
    </row>
    <row r="413" spans="1:17">
      <c r="A413" s="483"/>
      <c r="B413" s="586" t="s">
        <v>536</v>
      </c>
      <c r="C413" s="588">
        <v>0</v>
      </c>
      <c r="D413" s="586" t="s">
        <v>537</v>
      </c>
      <c r="E413" s="487">
        <v>0</v>
      </c>
      <c r="M413" s="483"/>
      <c r="N413" s="586" t="s">
        <v>536</v>
      </c>
      <c r="O413" s="588">
        <v>0</v>
      </c>
      <c r="P413" s="586" t="s">
        <v>537</v>
      </c>
      <c r="Q413" s="487">
        <v>0</v>
      </c>
    </row>
    <row r="414" spans="1:17">
      <c r="A414" s="483"/>
      <c r="B414" s="586" t="s">
        <v>538</v>
      </c>
      <c r="C414" s="588">
        <v>0</v>
      </c>
      <c r="D414" s="586"/>
      <c r="E414" s="40"/>
      <c r="M414" s="483"/>
      <c r="N414" s="586" t="s">
        <v>538</v>
      </c>
      <c r="O414" s="588">
        <v>0</v>
      </c>
      <c r="P414" s="586"/>
      <c r="Q414" s="40"/>
    </row>
    <row r="415" spans="1:17">
      <c r="A415" s="483"/>
      <c r="B415" s="586"/>
      <c r="C415" s="586"/>
      <c r="D415" s="586"/>
      <c r="E415" s="40"/>
      <c r="M415" s="483"/>
      <c r="N415" s="586"/>
      <c r="O415" s="586"/>
      <c r="P415" s="586"/>
      <c r="Q415" s="40"/>
    </row>
    <row r="416" spans="1:17" ht="13">
      <c r="A416" s="483"/>
      <c r="B416" s="589" t="s">
        <v>539</v>
      </c>
      <c r="C416" s="590">
        <f>C412-C413-C414</f>
        <v>0</v>
      </c>
      <c r="D416" s="586"/>
      <c r="E416" s="40"/>
      <c r="M416" s="483"/>
      <c r="N416" s="589" t="s">
        <v>539</v>
      </c>
      <c r="O416" s="590">
        <f>O412-O413-O414</f>
        <v>0</v>
      </c>
      <c r="P416" s="586"/>
      <c r="Q416" s="40"/>
    </row>
    <row r="417" spans="1:17">
      <c r="A417" s="483"/>
      <c r="B417" s="586" t="s">
        <v>540</v>
      </c>
      <c r="C417" s="591">
        <v>4</v>
      </c>
      <c r="D417" s="586"/>
      <c r="E417" s="40"/>
      <c r="M417" s="483"/>
      <c r="N417" s="586" t="s">
        <v>540</v>
      </c>
      <c r="O417" s="591">
        <v>4</v>
      </c>
      <c r="P417" s="586"/>
      <c r="Q417" s="40"/>
    </row>
    <row r="418" spans="1:17">
      <c r="A418" s="483"/>
      <c r="B418" s="586" t="s">
        <v>541</v>
      </c>
      <c r="C418" s="592">
        <f>C417*12</f>
        <v>48</v>
      </c>
      <c r="D418" s="586"/>
      <c r="E418" s="40"/>
      <c r="M418" s="483"/>
      <c r="N418" s="586" t="s">
        <v>541</v>
      </c>
      <c r="O418" s="592">
        <f>O417*12</f>
        <v>48</v>
      </c>
      <c r="P418" s="586"/>
      <c r="Q418" s="40"/>
    </row>
    <row r="419" spans="1:17">
      <c r="A419" s="483"/>
      <c r="B419" s="586"/>
      <c r="C419" s="586"/>
      <c r="D419" s="586"/>
      <c r="E419" s="40"/>
      <c r="M419" s="483"/>
      <c r="N419" s="586"/>
      <c r="O419" s="586"/>
      <c r="P419" s="586"/>
      <c r="Q419" s="40"/>
    </row>
    <row r="420" spans="1:17" ht="13">
      <c r="A420" s="483"/>
      <c r="B420" s="589" t="s">
        <v>542</v>
      </c>
      <c r="C420" s="590">
        <f>-PMT(E412/12,C418,C416)</f>
        <v>0</v>
      </c>
      <c r="D420" s="589" t="s">
        <v>543</v>
      </c>
      <c r="E420" s="488">
        <f>C420*12</f>
        <v>0</v>
      </c>
      <c r="M420" s="483"/>
      <c r="N420" s="589" t="s">
        <v>542</v>
      </c>
      <c r="O420" s="590">
        <f>-PMT(Q412/12,O418,O416)</f>
        <v>0</v>
      </c>
      <c r="P420" s="589" t="s">
        <v>543</v>
      </c>
      <c r="Q420" s="488">
        <f>O420*12</f>
        <v>0</v>
      </c>
    </row>
    <row r="421" spans="1:17">
      <c r="A421" s="483"/>
      <c r="B421" s="586"/>
      <c r="C421" s="586"/>
      <c r="D421" s="586"/>
      <c r="E421" s="40"/>
      <c r="M421" s="483"/>
      <c r="N421" s="586"/>
      <c r="O421" s="586"/>
      <c r="P421" s="586"/>
      <c r="Q421" s="40"/>
    </row>
    <row r="422" spans="1:17">
      <c r="A422" s="483"/>
      <c r="B422" s="586"/>
      <c r="C422" s="586"/>
      <c r="D422" s="586"/>
      <c r="E422" s="40"/>
      <c r="M422" s="483"/>
      <c r="N422" s="586"/>
      <c r="O422" s="586"/>
      <c r="P422" s="586"/>
      <c r="Q422" s="40"/>
    </row>
    <row r="423" spans="1:17">
      <c r="A423" s="483"/>
      <c r="B423" s="586" t="s">
        <v>241</v>
      </c>
      <c r="C423" s="586"/>
      <c r="D423" s="586"/>
      <c r="E423" s="40"/>
      <c r="M423" s="483"/>
      <c r="N423" s="586" t="s">
        <v>241</v>
      </c>
      <c r="O423" s="586"/>
      <c r="P423" s="586"/>
      <c r="Q423" s="40"/>
    </row>
    <row r="424" spans="1:17">
      <c r="A424" s="483"/>
      <c r="B424" s="586" t="s">
        <v>544</v>
      </c>
      <c r="C424" s="587">
        <f>C420*C418</f>
        <v>0</v>
      </c>
      <c r="D424" s="586"/>
      <c r="E424" s="40"/>
      <c r="M424" s="483"/>
      <c r="N424" s="586" t="s">
        <v>544</v>
      </c>
      <c r="O424" s="587">
        <f>O420*O418</f>
        <v>0</v>
      </c>
      <c r="P424" s="586"/>
      <c r="Q424" s="40"/>
    </row>
    <row r="425" spans="1:17">
      <c r="A425" s="483"/>
      <c r="B425" s="586"/>
      <c r="C425" s="586"/>
      <c r="D425" s="586"/>
      <c r="E425" s="40"/>
      <c r="M425" s="483"/>
      <c r="N425" s="586"/>
      <c r="O425" s="586"/>
      <c r="P425" s="586"/>
      <c r="Q425" s="40"/>
    </row>
    <row r="426" spans="1:17" ht="13.5" thickBot="1">
      <c r="A426" s="484"/>
      <c r="B426" s="489" t="s">
        <v>299</v>
      </c>
      <c r="C426" s="490">
        <f>C424-C416</f>
        <v>0</v>
      </c>
      <c r="D426" s="99"/>
      <c r="E426" s="157"/>
      <c r="M426" s="484"/>
      <c r="N426" s="489" t="s">
        <v>299</v>
      </c>
      <c r="O426" s="490">
        <f>O424-O416</f>
        <v>0</v>
      </c>
      <c r="P426" s="99"/>
      <c r="Q426" s="157"/>
    </row>
    <row r="427" spans="1:17" ht="13" thickBot="1"/>
    <row r="428" spans="1:17" ht="13">
      <c r="A428" s="480">
        <v>26</v>
      </c>
      <c r="B428" s="497" t="s">
        <v>533</v>
      </c>
      <c r="C428" s="497"/>
      <c r="D428" s="497"/>
      <c r="E428" s="498"/>
      <c r="M428" s="480">
        <v>26</v>
      </c>
      <c r="N428" s="497" t="s">
        <v>533</v>
      </c>
      <c r="O428" s="497"/>
      <c r="P428" s="497"/>
      <c r="Q428" s="498"/>
    </row>
    <row r="429" spans="1:17">
      <c r="A429" s="483"/>
      <c r="B429" s="586" t="s">
        <v>534</v>
      </c>
      <c r="C429" s="587">
        <f>SUMIF(Equipos!$Q$6:$Q$55,A428,Equipos!$O$6:$O$55)</f>
        <v>0</v>
      </c>
      <c r="D429" s="586" t="s">
        <v>535</v>
      </c>
      <c r="E429" s="487">
        <v>0.11</v>
      </c>
      <c r="M429" s="483"/>
      <c r="N429" s="586" t="s">
        <v>534</v>
      </c>
      <c r="O429" s="587">
        <f>SUMIF(MATERIALES!$P$6:$P$44,M428,MATERIALES!$N$6:$N$44)</f>
        <v>0</v>
      </c>
      <c r="P429" s="586" t="s">
        <v>535</v>
      </c>
      <c r="Q429" s="487">
        <v>0.11</v>
      </c>
    </row>
    <row r="430" spans="1:17">
      <c r="A430" s="483"/>
      <c r="B430" s="586" t="s">
        <v>536</v>
      </c>
      <c r="C430" s="588">
        <v>0</v>
      </c>
      <c r="D430" s="586" t="s">
        <v>537</v>
      </c>
      <c r="E430" s="487">
        <v>0</v>
      </c>
      <c r="M430" s="483"/>
      <c r="N430" s="586" t="s">
        <v>536</v>
      </c>
      <c r="O430" s="588">
        <v>0</v>
      </c>
      <c r="P430" s="586" t="s">
        <v>537</v>
      </c>
      <c r="Q430" s="487">
        <v>0</v>
      </c>
    </row>
    <row r="431" spans="1:17">
      <c r="A431" s="483"/>
      <c r="B431" s="586" t="s">
        <v>538</v>
      </c>
      <c r="C431" s="588">
        <v>0</v>
      </c>
      <c r="D431" s="586"/>
      <c r="E431" s="40"/>
      <c r="M431" s="483"/>
      <c r="N431" s="586" t="s">
        <v>538</v>
      </c>
      <c r="O431" s="588">
        <v>0</v>
      </c>
      <c r="P431" s="586"/>
      <c r="Q431" s="40"/>
    </row>
    <row r="432" spans="1:17">
      <c r="A432" s="483"/>
      <c r="B432" s="586"/>
      <c r="C432" s="586"/>
      <c r="D432" s="586"/>
      <c r="E432" s="40"/>
      <c r="M432" s="483"/>
      <c r="N432" s="586"/>
      <c r="O432" s="586"/>
      <c r="P432" s="586"/>
      <c r="Q432" s="40"/>
    </row>
    <row r="433" spans="1:17" ht="13">
      <c r="A433" s="483"/>
      <c r="B433" s="589" t="s">
        <v>539</v>
      </c>
      <c r="C433" s="590">
        <f>C429-C430-C431</f>
        <v>0</v>
      </c>
      <c r="D433" s="586"/>
      <c r="E433" s="40"/>
      <c r="M433" s="483"/>
      <c r="N433" s="589" t="s">
        <v>539</v>
      </c>
      <c r="O433" s="590">
        <f>O429-O430-O431</f>
        <v>0</v>
      </c>
      <c r="P433" s="586"/>
      <c r="Q433" s="40"/>
    </row>
    <row r="434" spans="1:17">
      <c r="A434" s="483"/>
      <c r="B434" s="586" t="s">
        <v>540</v>
      </c>
      <c r="C434" s="591">
        <v>4</v>
      </c>
      <c r="D434" s="586"/>
      <c r="E434" s="40"/>
      <c r="M434" s="483"/>
      <c r="N434" s="586" t="s">
        <v>540</v>
      </c>
      <c r="O434" s="591">
        <v>4</v>
      </c>
      <c r="P434" s="586"/>
      <c r="Q434" s="40"/>
    </row>
    <row r="435" spans="1:17">
      <c r="A435" s="483"/>
      <c r="B435" s="586" t="s">
        <v>541</v>
      </c>
      <c r="C435" s="592">
        <f>C434*12</f>
        <v>48</v>
      </c>
      <c r="D435" s="586"/>
      <c r="E435" s="40"/>
      <c r="M435" s="483"/>
      <c r="N435" s="586" t="s">
        <v>541</v>
      </c>
      <c r="O435" s="592">
        <f>O434*12</f>
        <v>48</v>
      </c>
      <c r="P435" s="586"/>
      <c r="Q435" s="40"/>
    </row>
    <row r="436" spans="1:17">
      <c r="A436" s="483"/>
      <c r="B436" s="586"/>
      <c r="C436" s="586"/>
      <c r="D436" s="586"/>
      <c r="E436" s="40"/>
      <c r="M436" s="483"/>
      <c r="N436" s="586"/>
      <c r="O436" s="586"/>
      <c r="P436" s="586"/>
      <c r="Q436" s="40"/>
    </row>
    <row r="437" spans="1:17" ht="13">
      <c r="A437" s="483"/>
      <c r="B437" s="589" t="s">
        <v>542</v>
      </c>
      <c r="C437" s="590">
        <f>-PMT(E429/12,C435,C433)</f>
        <v>0</v>
      </c>
      <c r="D437" s="589" t="s">
        <v>543</v>
      </c>
      <c r="E437" s="488">
        <f>C437*12</f>
        <v>0</v>
      </c>
      <c r="M437" s="483"/>
      <c r="N437" s="589" t="s">
        <v>542</v>
      </c>
      <c r="O437" s="590">
        <f>-PMT(Q429/12,O435,O433)</f>
        <v>0</v>
      </c>
      <c r="P437" s="589" t="s">
        <v>543</v>
      </c>
      <c r="Q437" s="488">
        <f>O437*12</f>
        <v>0</v>
      </c>
    </row>
    <row r="438" spans="1:17">
      <c r="A438" s="483"/>
      <c r="B438" s="586"/>
      <c r="C438" s="586"/>
      <c r="D438" s="586"/>
      <c r="E438" s="40"/>
      <c r="M438" s="483"/>
      <c r="N438" s="586"/>
      <c r="O438" s="586"/>
      <c r="P438" s="586"/>
      <c r="Q438" s="40"/>
    </row>
    <row r="439" spans="1:17">
      <c r="A439" s="483"/>
      <c r="B439" s="586"/>
      <c r="C439" s="586"/>
      <c r="D439" s="586"/>
      <c r="E439" s="40"/>
      <c r="M439" s="483"/>
      <c r="N439" s="586"/>
      <c r="O439" s="586"/>
      <c r="P439" s="586"/>
      <c r="Q439" s="40"/>
    </row>
    <row r="440" spans="1:17">
      <c r="A440" s="483"/>
      <c r="B440" s="586" t="s">
        <v>241</v>
      </c>
      <c r="C440" s="586"/>
      <c r="D440" s="586"/>
      <c r="E440" s="40"/>
      <c r="M440" s="483"/>
      <c r="N440" s="586" t="s">
        <v>241</v>
      </c>
      <c r="O440" s="586"/>
      <c r="P440" s="586"/>
      <c r="Q440" s="40"/>
    </row>
    <row r="441" spans="1:17">
      <c r="A441" s="483"/>
      <c r="B441" s="586" t="s">
        <v>544</v>
      </c>
      <c r="C441" s="587">
        <f>C437*C435</f>
        <v>0</v>
      </c>
      <c r="D441" s="586"/>
      <c r="E441" s="40"/>
      <c r="M441" s="483"/>
      <c r="N441" s="586" t="s">
        <v>544</v>
      </c>
      <c r="O441" s="587">
        <f>O437*O435</f>
        <v>0</v>
      </c>
      <c r="P441" s="586"/>
      <c r="Q441" s="40"/>
    </row>
    <row r="442" spans="1:17">
      <c r="A442" s="483"/>
      <c r="B442" s="586"/>
      <c r="C442" s="586"/>
      <c r="D442" s="586"/>
      <c r="E442" s="40"/>
      <c r="M442" s="483"/>
      <c r="N442" s="586"/>
      <c r="O442" s="586"/>
      <c r="P442" s="586"/>
      <c r="Q442" s="40"/>
    </row>
    <row r="443" spans="1:17" ht="13.5" thickBot="1">
      <c r="A443" s="484"/>
      <c r="B443" s="489" t="s">
        <v>299</v>
      </c>
      <c r="C443" s="490">
        <f>C441-C433</f>
        <v>0</v>
      </c>
      <c r="D443" s="99"/>
      <c r="E443" s="157"/>
      <c r="M443" s="484"/>
      <c r="N443" s="489" t="s">
        <v>299</v>
      </c>
      <c r="O443" s="490">
        <f>O441-O433</f>
        <v>0</v>
      </c>
      <c r="P443" s="99"/>
      <c r="Q443" s="157"/>
    </row>
    <row r="444" spans="1:17" ht="13" thickBot="1"/>
    <row r="445" spans="1:17" ht="13">
      <c r="A445" s="480">
        <v>27</v>
      </c>
      <c r="B445" s="497" t="s">
        <v>533</v>
      </c>
      <c r="C445" s="497"/>
      <c r="D445" s="497"/>
      <c r="E445" s="498"/>
      <c r="M445" s="480">
        <v>27</v>
      </c>
      <c r="N445" s="497" t="s">
        <v>533</v>
      </c>
      <c r="O445" s="497"/>
      <c r="P445" s="497"/>
      <c r="Q445" s="498"/>
    </row>
    <row r="446" spans="1:17">
      <c r="A446" s="483"/>
      <c r="B446" s="586" t="s">
        <v>534</v>
      </c>
      <c r="C446" s="587">
        <f>SUMIF(Equipos!$Q$6:$Q$55,A445,Equipos!$O$6:$O$55)</f>
        <v>0</v>
      </c>
      <c r="D446" s="586" t="s">
        <v>535</v>
      </c>
      <c r="E446" s="487">
        <v>0.11</v>
      </c>
      <c r="M446" s="483"/>
      <c r="N446" s="586" t="s">
        <v>534</v>
      </c>
      <c r="O446" s="587">
        <f>SUMIF(MATERIALES!$P$6:$P$44,M445,MATERIALES!$N$6:$N$44)</f>
        <v>0</v>
      </c>
      <c r="P446" s="586" t="s">
        <v>535</v>
      </c>
      <c r="Q446" s="487">
        <v>0.11</v>
      </c>
    </row>
    <row r="447" spans="1:17">
      <c r="A447" s="483"/>
      <c r="B447" s="586" t="s">
        <v>536</v>
      </c>
      <c r="C447" s="588">
        <v>0</v>
      </c>
      <c r="D447" s="586" t="s">
        <v>537</v>
      </c>
      <c r="E447" s="487">
        <v>0</v>
      </c>
      <c r="M447" s="483"/>
      <c r="N447" s="586" t="s">
        <v>536</v>
      </c>
      <c r="O447" s="588">
        <v>0</v>
      </c>
      <c r="P447" s="586" t="s">
        <v>537</v>
      </c>
      <c r="Q447" s="487">
        <v>0</v>
      </c>
    </row>
    <row r="448" spans="1:17">
      <c r="A448" s="483"/>
      <c r="B448" s="586" t="s">
        <v>538</v>
      </c>
      <c r="C448" s="588">
        <v>0</v>
      </c>
      <c r="D448" s="586"/>
      <c r="E448" s="40"/>
      <c r="M448" s="483"/>
      <c r="N448" s="586" t="s">
        <v>538</v>
      </c>
      <c r="O448" s="588">
        <v>0</v>
      </c>
      <c r="P448" s="586"/>
      <c r="Q448" s="40"/>
    </row>
    <row r="449" spans="1:17">
      <c r="A449" s="483"/>
      <c r="B449" s="586"/>
      <c r="C449" s="586"/>
      <c r="D449" s="586"/>
      <c r="E449" s="40"/>
      <c r="M449" s="483"/>
      <c r="N449" s="586"/>
      <c r="O449" s="586"/>
      <c r="P449" s="586"/>
      <c r="Q449" s="40"/>
    </row>
    <row r="450" spans="1:17" ht="13">
      <c r="A450" s="483"/>
      <c r="B450" s="589" t="s">
        <v>539</v>
      </c>
      <c r="C450" s="590">
        <f>C446-C447-C448</f>
        <v>0</v>
      </c>
      <c r="D450" s="586"/>
      <c r="E450" s="40"/>
      <c r="M450" s="483"/>
      <c r="N450" s="589" t="s">
        <v>539</v>
      </c>
      <c r="O450" s="590">
        <f>O446-O447-O448</f>
        <v>0</v>
      </c>
      <c r="P450" s="586"/>
      <c r="Q450" s="40"/>
    </row>
    <row r="451" spans="1:17">
      <c r="A451" s="483"/>
      <c r="B451" s="586" t="s">
        <v>540</v>
      </c>
      <c r="C451" s="591">
        <v>4</v>
      </c>
      <c r="D451" s="586"/>
      <c r="E451" s="40"/>
      <c r="M451" s="483"/>
      <c r="N451" s="586" t="s">
        <v>540</v>
      </c>
      <c r="O451" s="591">
        <v>4</v>
      </c>
      <c r="P451" s="586"/>
      <c r="Q451" s="40"/>
    </row>
    <row r="452" spans="1:17">
      <c r="A452" s="483"/>
      <c r="B452" s="586" t="s">
        <v>541</v>
      </c>
      <c r="C452" s="592">
        <f>C451*12</f>
        <v>48</v>
      </c>
      <c r="D452" s="586"/>
      <c r="E452" s="40"/>
      <c r="M452" s="483"/>
      <c r="N452" s="586" t="s">
        <v>541</v>
      </c>
      <c r="O452" s="592">
        <f>O451*12</f>
        <v>48</v>
      </c>
      <c r="P452" s="586"/>
      <c r="Q452" s="40"/>
    </row>
    <row r="453" spans="1:17">
      <c r="A453" s="483"/>
      <c r="B453" s="586"/>
      <c r="C453" s="586"/>
      <c r="D453" s="586"/>
      <c r="E453" s="40"/>
      <c r="M453" s="483"/>
      <c r="N453" s="586"/>
      <c r="O453" s="586"/>
      <c r="P453" s="586"/>
      <c r="Q453" s="40"/>
    </row>
    <row r="454" spans="1:17" ht="13">
      <c r="A454" s="483"/>
      <c r="B454" s="589" t="s">
        <v>542</v>
      </c>
      <c r="C454" s="590">
        <f>-PMT(E446/12,C452,C450)</f>
        <v>0</v>
      </c>
      <c r="D454" s="589" t="s">
        <v>543</v>
      </c>
      <c r="E454" s="488">
        <f>C454*12</f>
        <v>0</v>
      </c>
      <c r="M454" s="483"/>
      <c r="N454" s="589" t="s">
        <v>542</v>
      </c>
      <c r="O454" s="590">
        <f>-PMT(Q446/12,O452,O450)</f>
        <v>0</v>
      </c>
      <c r="P454" s="589" t="s">
        <v>543</v>
      </c>
      <c r="Q454" s="488">
        <f>O454*12</f>
        <v>0</v>
      </c>
    </row>
    <row r="455" spans="1:17">
      <c r="A455" s="483"/>
      <c r="B455" s="586"/>
      <c r="C455" s="586"/>
      <c r="D455" s="586"/>
      <c r="E455" s="40"/>
      <c r="M455" s="483"/>
      <c r="N455" s="586"/>
      <c r="O455" s="586"/>
      <c r="P455" s="586"/>
      <c r="Q455" s="40"/>
    </row>
    <row r="456" spans="1:17">
      <c r="A456" s="483"/>
      <c r="B456" s="586"/>
      <c r="C456" s="586"/>
      <c r="D456" s="586"/>
      <c r="E456" s="40"/>
      <c r="M456" s="483"/>
      <c r="N456" s="586"/>
      <c r="O456" s="586"/>
      <c r="P456" s="586"/>
      <c r="Q456" s="40"/>
    </row>
    <row r="457" spans="1:17">
      <c r="A457" s="483"/>
      <c r="B457" s="586" t="s">
        <v>241</v>
      </c>
      <c r="C457" s="586"/>
      <c r="D457" s="586"/>
      <c r="E457" s="40"/>
      <c r="M457" s="483"/>
      <c r="N457" s="586" t="s">
        <v>241</v>
      </c>
      <c r="O457" s="586"/>
      <c r="P457" s="586"/>
      <c r="Q457" s="40"/>
    </row>
    <row r="458" spans="1:17">
      <c r="A458" s="483"/>
      <c r="B458" s="586" t="s">
        <v>544</v>
      </c>
      <c r="C458" s="587">
        <f>C454*C452</f>
        <v>0</v>
      </c>
      <c r="D458" s="586"/>
      <c r="E458" s="40"/>
      <c r="M458" s="483"/>
      <c r="N458" s="586" t="s">
        <v>544</v>
      </c>
      <c r="O458" s="587">
        <f>O454*O452</f>
        <v>0</v>
      </c>
      <c r="P458" s="586"/>
      <c r="Q458" s="40"/>
    </row>
    <row r="459" spans="1:17">
      <c r="A459" s="483"/>
      <c r="B459" s="586"/>
      <c r="C459" s="586"/>
      <c r="D459" s="586"/>
      <c r="E459" s="40"/>
      <c r="M459" s="483"/>
      <c r="N459" s="586"/>
      <c r="O459" s="586"/>
      <c r="P459" s="586"/>
      <c r="Q459" s="40"/>
    </row>
    <row r="460" spans="1:17" ht="13.5" thickBot="1">
      <c r="A460" s="484"/>
      <c r="B460" s="489" t="s">
        <v>299</v>
      </c>
      <c r="C460" s="490">
        <f>C458-C450</f>
        <v>0</v>
      </c>
      <c r="D460" s="99"/>
      <c r="E460" s="157"/>
      <c r="M460" s="484"/>
      <c r="N460" s="489" t="s">
        <v>299</v>
      </c>
      <c r="O460" s="490">
        <f>O458-O450</f>
        <v>0</v>
      </c>
      <c r="P460" s="99"/>
      <c r="Q460" s="157"/>
    </row>
    <row r="461" spans="1:17" ht="13" thickBot="1"/>
    <row r="462" spans="1:17" ht="13">
      <c r="A462" s="480">
        <v>28</v>
      </c>
      <c r="B462" s="497" t="s">
        <v>533</v>
      </c>
      <c r="C462" s="497"/>
      <c r="D462" s="497"/>
      <c r="E462" s="498"/>
      <c r="M462" s="480">
        <v>28</v>
      </c>
      <c r="N462" s="497" t="s">
        <v>533</v>
      </c>
      <c r="O462" s="497"/>
      <c r="P462" s="497"/>
      <c r="Q462" s="498"/>
    </row>
    <row r="463" spans="1:17">
      <c r="A463" s="483"/>
      <c r="B463" s="586" t="s">
        <v>534</v>
      </c>
      <c r="C463" s="587">
        <f>SUMIF(Equipos!$Q$6:$Q$55,A462,Equipos!$O$6:$O$55)</f>
        <v>0</v>
      </c>
      <c r="D463" s="586" t="s">
        <v>535</v>
      </c>
      <c r="E463" s="487">
        <v>0.11</v>
      </c>
      <c r="M463" s="483"/>
      <c r="N463" s="586" t="s">
        <v>534</v>
      </c>
      <c r="O463" s="587">
        <f>SUMIF(MATERIALES!$P$6:$P$44,M462,MATERIALES!$N$6:$N$44)</f>
        <v>0</v>
      </c>
      <c r="P463" s="586" t="s">
        <v>535</v>
      </c>
      <c r="Q463" s="487">
        <v>0.11</v>
      </c>
    </row>
    <row r="464" spans="1:17">
      <c r="A464" s="483"/>
      <c r="B464" s="586" t="s">
        <v>536</v>
      </c>
      <c r="C464" s="588">
        <v>0</v>
      </c>
      <c r="D464" s="586" t="s">
        <v>537</v>
      </c>
      <c r="E464" s="487">
        <v>0</v>
      </c>
      <c r="M464" s="483"/>
      <c r="N464" s="586" t="s">
        <v>536</v>
      </c>
      <c r="O464" s="588">
        <v>0</v>
      </c>
      <c r="P464" s="586" t="s">
        <v>537</v>
      </c>
      <c r="Q464" s="487">
        <v>0</v>
      </c>
    </row>
    <row r="465" spans="1:17">
      <c r="A465" s="483"/>
      <c r="B465" s="586" t="s">
        <v>538</v>
      </c>
      <c r="C465" s="588">
        <v>0</v>
      </c>
      <c r="D465" s="586"/>
      <c r="E465" s="40"/>
      <c r="M465" s="483"/>
      <c r="N465" s="586" t="s">
        <v>538</v>
      </c>
      <c r="O465" s="588">
        <v>0</v>
      </c>
      <c r="P465" s="586"/>
      <c r="Q465" s="40"/>
    </row>
    <row r="466" spans="1:17">
      <c r="A466" s="483"/>
      <c r="B466" s="586"/>
      <c r="C466" s="586"/>
      <c r="D466" s="586"/>
      <c r="E466" s="40"/>
      <c r="M466" s="483"/>
      <c r="N466" s="586"/>
      <c r="O466" s="586"/>
      <c r="P466" s="586"/>
      <c r="Q466" s="40"/>
    </row>
    <row r="467" spans="1:17" ht="13">
      <c r="A467" s="483"/>
      <c r="B467" s="589" t="s">
        <v>539</v>
      </c>
      <c r="C467" s="590">
        <f>C463-C464-C465</f>
        <v>0</v>
      </c>
      <c r="D467" s="586"/>
      <c r="E467" s="40"/>
      <c r="M467" s="483"/>
      <c r="N467" s="589" t="s">
        <v>539</v>
      </c>
      <c r="O467" s="590">
        <f>O463-O464-O465</f>
        <v>0</v>
      </c>
      <c r="P467" s="586"/>
      <c r="Q467" s="40"/>
    </row>
    <row r="468" spans="1:17">
      <c r="A468" s="483"/>
      <c r="B468" s="586" t="s">
        <v>540</v>
      </c>
      <c r="C468" s="591">
        <v>4</v>
      </c>
      <c r="D468" s="586"/>
      <c r="E468" s="40"/>
      <c r="M468" s="483"/>
      <c r="N468" s="586" t="s">
        <v>540</v>
      </c>
      <c r="O468" s="591">
        <v>4</v>
      </c>
      <c r="P468" s="586"/>
      <c r="Q468" s="40"/>
    </row>
    <row r="469" spans="1:17">
      <c r="A469" s="483"/>
      <c r="B469" s="586" t="s">
        <v>541</v>
      </c>
      <c r="C469" s="592">
        <f>C468*12</f>
        <v>48</v>
      </c>
      <c r="D469" s="586"/>
      <c r="E469" s="40"/>
      <c r="M469" s="483"/>
      <c r="N469" s="586" t="s">
        <v>541</v>
      </c>
      <c r="O469" s="592">
        <f>O468*12</f>
        <v>48</v>
      </c>
      <c r="P469" s="586"/>
      <c r="Q469" s="40"/>
    </row>
    <row r="470" spans="1:17">
      <c r="A470" s="483"/>
      <c r="B470" s="586"/>
      <c r="C470" s="586"/>
      <c r="D470" s="586"/>
      <c r="E470" s="40"/>
      <c r="M470" s="483"/>
      <c r="N470" s="586"/>
      <c r="O470" s="586"/>
      <c r="P470" s="586"/>
      <c r="Q470" s="40"/>
    </row>
    <row r="471" spans="1:17" ht="13">
      <c r="A471" s="483"/>
      <c r="B471" s="589" t="s">
        <v>542</v>
      </c>
      <c r="C471" s="590">
        <f>-PMT(E463/12,C469,C467)</f>
        <v>0</v>
      </c>
      <c r="D471" s="589" t="s">
        <v>543</v>
      </c>
      <c r="E471" s="488">
        <f>C471*12</f>
        <v>0</v>
      </c>
      <c r="M471" s="483"/>
      <c r="N471" s="589" t="s">
        <v>542</v>
      </c>
      <c r="O471" s="590">
        <f>-PMT(Q463/12,O469,O467)</f>
        <v>0</v>
      </c>
      <c r="P471" s="589" t="s">
        <v>543</v>
      </c>
      <c r="Q471" s="488">
        <f>O471*12</f>
        <v>0</v>
      </c>
    </row>
    <row r="472" spans="1:17">
      <c r="A472" s="483"/>
      <c r="B472" s="586"/>
      <c r="C472" s="586"/>
      <c r="D472" s="586"/>
      <c r="E472" s="40"/>
      <c r="M472" s="483"/>
      <c r="N472" s="586"/>
      <c r="O472" s="586"/>
      <c r="P472" s="586"/>
      <c r="Q472" s="40"/>
    </row>
    <row r="473" spans="1:17">
      <c r="A473" s="483"/>
      <c r="B473" s="586"/>
      <c r="C473" s="586"/>
      <c r="D473" s="586"/>
      <c r="E473" s="40"/>
      <c r="M473" s="483"/>
      <c r="N473" s="586"/>
      <c r="O473" s="586"/>
      <c r="P473" s="586"/>
      <c r="Q473" s="40"/>
    </row>
    <row r="474" spans="1:17">
      <c r="A474" s="483"/>
      <c r="B474" s="586" t="s">
        <v>241</v>
      </c>
      <c r="C474" s="586"/>
      <c r="D474" s="586"/>
      <c r="E474" s="40"/>
      <c r="M474" s="483"/>
      <c r="N474" s="586" t="s">
        <v>241</v>
      </c>
      <c r="O474" s="586"/>
      <c r="P474" s="586"/>
      <c r="Q474" s="40"/>
    </row>
    <row r="475" spans="1:17">
      <c r="A475" s="483"/>
      <c r="B475" s="586" t="s">
        <v>544</v>
      </c>
      <c r="C475" s="587">
        <f>C471*C469</f>
        <v>0</v>
      </c>
      <c r="D475" s="586"/>
      <c r="E475" s="40"/>
      <c r="M475" s="483"/>
      <c r="N475" s="586" t="s">
        <v>544</v>
      </c>
      <c r="O475" s="587">
        <f>O471*O469</f>
        <v>0</v>
      </c>
      <c r="P475" s="586"/>
      <c r="Q475" s="40"/>
    </row>
    <row r="476" spans="1:17">
      <c r="A476" s="483"/>
      <c r="B476" s="586"/>
      <c r="C476" s="586"/>
      <c r="D476" s="586"/>
      <c r="E476" s="40"/>
      <c r="M476" s="483"/>
      <c r="N476" s="586"/>
      <c r="O476" s="586"/>
      <c r="P476" s="586"/>
      <c r="Q476" s="40"/>
    </row>
    <row r="477" spans="1:17" ht="13.5" thickBot="1">
      <c r="A477" s="484"/>
      <c r="B477" s="489" t="s">
        <v>299</v>
      </c>
      <c r="C477" s="490">
        <f>C475-C467</f>
        <v>0</v>
      </c>
      <c r="D477" s="99"/>
      <c r="E477" s="157"/>
      <c r="M477" s="484"/>
      <c r="N477" s="489" t="s">
        <v>299</v>
      </c>
      <c r="O477" s="490">
        <f>O475-O467</f>
        <v>0</v>
      </c>
      <c r="P477" s="99"/>
      <c r="Q477" s="157"/>
    </row>
    <row r="478" spans="1:17" ht="13" thickBot="1"/>
    <row r="479" spans="1:17" ht="13">
      <c r="A479" s="480">
        <v>29</v>
      </c>
      <c r="B479" s="497" t="s">
        <v>533</v>
      </c>
      <c r="C479" s="497"/>
      <c r="D479" s="497"/>
      <c r="E479" s="498"/>
      <c r="M479" s="480">
        <v>29</v>
      </c>
      <c r="N479" s="497" t="s">
        <v>533</v>
      </c>
      <c r="O479" s="497"/>
      <c r="P479" s="497"/>
      <c r="Q479" s="498"/>
    </row>
    <row r="480" spans="1:17">
      <c r="A480" s="483"/>
      <c r="B480" s="586" t="s">
        <v>534</v>
      </c>
      <c r="C480" s="587">
        <f>SUMIF(Equipos!$Q$6:$Q$55,A479,Equipos!$O$6:$O$55)</f>
        <v>0</v>
      </c>
      <c r="D480" s="586" t="s">
        <v>535</v>
      </c>
      <c r="E480" s="487">
        <v>0.11</v>
      </c>
      <c r="M480" s="483"/>
      <c r="N480" s="586" t="s">
        <v>534</v>
      </c>
      <c r="O480" s="587">
        <f>SUMIF(MATERIALES!$P$6:$P$44,M479,MATERIALES!$N$6:$N$44)</f>
        <v>0</v>
      </c>
      <c r="P480" s="586" t="s">
        <v>535</v>
      </c>
      <c r="Q480" s="487">
        <v>0.11</v>
      </c>
    </row>
    <row r="481" spans="1:17">
      <c r="A481" s="483"/>
      <c r="B481" s="586" t="s">
        <v>536</v>
      </c>
      <c r="C481" s="588">
        <v>0</v>
      </c>
      <c r="D481" s="586" t="s">
        <v>537</v>
      </c>
      <c r="E481" s="487">
        <v>0</v>
      </c>
      <c r="M481" s="483"/>
      <c r="N481" s="586" t="s">
        <v>536</v>
      </c>
      <c r="O481" s="588">
        <v>0</v>
      </c>
      <c r="P481" s="586" t="s">
        <v>537</v>
      </c>
      <c r="Q481" s="487">
        <v>0</v>
      </c>
    </row>
    <row r="482" spans="1:17">
      <c r="A482" s="483"/>
      <c r="B482" s="586" t="s">
        <v>538</v>
      </c>
      <c r="C482" s="588">
        <v>0</v>
      </c>
      <c r="D482" s="586"/>
      <c r="E482" s="40"/>
      <c r="M482" s="483"/>
      <c r="N482" s="586" t="s">
        <v>538</v>
      </c>
      <c r="O482" s="588">
        <v>0</v>
      </c>
      <c r="P482" s="586"/>
      <c r="Q482" s="40"/>
    </row>
    <row r="483" spans="1:17">
      <c r="A483" s="483"/>
      <c r="B483" s="586"/>
      <c r="C483" s="586"/>
      <c r="D483" s="586"/>
      <c r="E483" s="40"/>
      <c r="M483" s="483"/>
      <c r="N483" s="586"/>
      <c r="O483" s="586"/>
      <c r="P483" s="586"/>
      <c r="Q483" s="40"/>
    </row>
    <row r="484" spans="1:17" ht="13">
      <c r="A484" s="483"/>
      <c r="B484" s="589" t="s">
        <v>539</v>
      </c>
      <c r="C484" s="590">
        <f>C480-C481-C482</f>
        <v>0</v>
      </c>
      <c r="D484" s="586"/>
      <c r="E484" s="40"/>
      <c r="M484" s="483"/>
      <c r="N484" s="589" t="s">
        <v>539</v>
      </c>
      <c r="O484" s="590">
        <f>O480-O481-O482</f>
        <v>0</v>
      </c>
      <c r="P484" s="586"/>
      <c r="Q484" s="40"/>
    </row>
    <row r="485" spans="1:17">
      <c r="A485" s="483"/>
      <c r="B485" s="586" t="s">
        <v>540</v>
      </c>
      <c r="C485" s="591">
        <v>4</v>
      </c>
      <c r="D485" s="586"/>
      <c r="E485" s="40"/>
      <c r="M485" s="483"/>
      <c r="N485" s="586" t="s">
        <v>540</v>
      </c>
      <c r="O485" s="591">
        <v>4</v>
      </c>
      <c r="P485" s="586"/>
      <c r="Q485" s="40"/>
    </row>
    <row r="486" spans="1:17">
      <c r="A486" s="483"/>
      <c r="B486" s="586" t="s">
        <v>541</v>
      </c>
      <c r="C486" s="592">
        <f>C485*12</f>
        <v>48</v>
      </c>
      <c r="D486" s="586"/>
      <c r="E486" s="40"/>
      <c r="M486" s="483"/>
      <c r="N486" s="586" t="s">
        <v>541</v>
      </c>
      <c r="O486" s="592">
        <f>O485*12</f>
        <v>48</v>
      </c>
      <c r="P486" s="586"/>
      <c r="Q486" s="40"/>
    </row>
    <row r="487" spans="1:17">
      <c r="A487" s="483"/>
      <c r="B487" s="586"/>
      <c r="C487" s="586"/>
      <c r="D487" s="586"/>
      <c r="E487" s="40"/>
      <c r="M487" s="483"/>
      <c r="N487" s="586"/>
      <c r="O487" s="586"/>
      <c r="P487" s="586"/>
      <c r="Q487" s="40"/>
    </row>
    <row r="488" spans="1:17" ht="13">
      <c r="A488" s="483"/>
      <c r="B488" s="589" t="s">
        <v>542</v>
      </c>
      <c r="C488" s="590">
        <f>-PMT(E480/12,C486,C484)</f>
        <v>0</v>
      </c>
      <c r="D488" s="589" t="s">
        <v>543</v>
      </c>
      <c r="E488" s="488">
        <f>C488*12</f>
        <v>0</v>
      </c>
      <c r="M488" s="483"/>
      <c r="N488" s="589" t="s">
        <v>542</v>
      </c>
      <c r="O488" s="590">
        <f>-PMT(Q480/12,O486,O484)</f>
        <v>0</v>
      </c>
      <c r="P488" s="589" t="s">
        <v>543</v>
      </c>
      <c r="Q488" s="488">
        <f>O488*12</f>
        <v>0</v>
      </c>
    </row>
    <row r="489" spans="1:17">
      <c r="A489" s="483"/>
      <c r="B489" s="586"/>
      <c r="C489" s="586"/>
      <c r="D489" s="586"/>
      <c r="E489" s="40"/>
      <c r="M489" s="483"/>
      <c r="N489" s="586"/>
      <c r="O489" s="586"/>
      <c r="P489" s="586"/>
      <c r="Q489" s="40"/>
    </row>
    <row r="490" spans="1:17">
      <c r="A490" s="483"/>
      <c r="B490" s="586"/>
      <c r="C490" s="586"/>
      <c r="D490" s="586"/>
      <c r="E490" s="40"/>
      <c r="M490" s="483"/>
      <c r="N490" s="586"/>
      <c r="O490" s="586"/>
      <c r="P490" s="586"/>
      <c r="Q490" s="40"/>
    </row>
    <row r="491" spans="1:17">
      <c r="A491" s="483"/>
      <c r="B491" s="586" t="s">
        <v>241</v>
      </c>
      <c r="C491" s="586"/>
      <c r="D491" s="586"/>
      <c r="E491" s="40"/>
      <c r="M491" s="483"/>
      <c r="N491" s="586" t="s">
        <v>241</v>
      </c>
      <c r="O491" s="586"/>
      <c r="P491" s="586"/>
      <c r="Q491" s="40"/>
    </row>
    <row r="492" spans="1:17">
      <c r="A492" s="483"/>
      <c r="B492" s="586" t="s">
        <v>544</v>
      </c>
      <c r="C492" s="587">
        <f>C488*C486</f>
        <v>0</v>
      </c>
      <c r="D492" s="586"/>
      <c r="E492" s="40"/>
      <c r="M492" s="483"/>
      <c r="N492" s="586" t="s">
        <v>544</v>
      </c>
      <c r="O492" s="587">
        <f>O488*O486</f>
        <v>0</v>
      </c>
      <c r="P492" s="586"/>
      <c r="Q492" s="40"/>
    </row>
    <row r="493" spans="1:17">
      <c r="A493" s="483"/>
      <c r="B493" s="586"/>
      <c r="C493" s="586"/>
      <c r="D493" s="586"/>
      <c r="E493" s="40"/>
      <c r="M493" s="483"/>
      <c r="N493" s="586"/>
      <c r="O493" s="586"/>
      <c r="P493" s="586"/>
      <c r="Q493" s="40"/>
    </row>
    <row r="494" spans="1:17" ht="13.5" thickBot="1">
      <c r="A494" s="484"/>
      <c r="B494" s="489" t="s">
        <v>299</v>
      </c>
      <c r="C494" s="490">
        <f>C492-C484</f>
        <v>0</v>
      </c>
      <c r="D494" s="99"/>
      <c r="E494" s="157"/>
      <c r="M494" s="484"/>
      <c r="N494" s="489" t="s">
        <v>299</v>
      </c>
      <c r="O494" s="490">
        <f>O492-O484</f>
        <v>0</v>
      </c>
      <c r="P494" s="99"/>
      <c r="Q494" s="157"/>
    </row>
    <row r="495" spans="1:17" ht="13" thickBot="1"/>
    <row r="496" spans="1:17" ht="13">
      <c r="A496" s="480">
        <v>30</v>
      </c>
      <c r="B496" s="497" t="s">
        <v>533</v>
      </c>
      <c r="C496" s="497"/>
      <c r="D496" s="497"/>
      <c r="E496" s="498"/>
      <c r="M496" s="480">
        <v>30</v>
      </c>
      <c r="N496" s="497" t="s">
        <v>533</v>
      </c>
      <c r="O496" s="497"/>
      <c r="P496" s="497"/>
      <c r="Q496" s="498"/>
    </row>
    <row r="497" spans="1:17">
      <c r="A497" s="483"/>
      <c r="B497" s="586" t="s">
        <v>534</v>
      </c>
      <c r="C497" s="587">
        <f>SUMIF(Equipos!$Q$6:$Q$55,A496,Equipos!$O$6:$O$55)</f>
        <v>0</v>
      </c>
      <c r="D497" s="586" t="s">
        <v>535</v>
      </c>
      <c r="E497" s="487">
        <v>0.11</v>
      </c>
      <c r="M497" s="483"/>
      <c r="N497" s="586" t="s">
        <v>534</v>
      </c>
      <c r="O497" s="587">
        <f>SUMIF(MATERIALES!$P$6:$P$44,M496,MATERIALES!$N$6:$N$44)</f>
        <v>0</v>
      </c>
      <c r="P497" s="586" t="s">
        <v>535</v>
      </c>
      <c r="Q497" s="487">
        <v>0.11</v>
      </c>
    </row>
    <row r="498" spans="1:17">
      <c r="A498" s="483"/>
      <c r="B498" s="586" t="s">
        <v>536</v>
      </c>
      <c r="C498" s="588">
        <v>0</v>
      </c>
      <c r="D498" s="586" t="s">
        <v>537</v>
      </c>
      <c r="E498" s="487">
        <v>0</v>
      </c>
      <c r="M498" s="483"/>
      <c r="N498" s="586" t="s">
        <v>536</v>
      </c>
      <c r="O498" s="588">
        <v>0</v>
      </c>
      <c r="P498" s="586" t="s">
        <v>537</v>
      </c>
      <c r="Q498" s="487">
        <v>0</v>
      </c>
    </row>
    <row r="499" spans="1:17">
      <c r="A499" s="483"/>
      <c r="B499" s="586" t="s">
        <v>538</v>
      </c>
      <c r="C499" s="588">
        <v>0</v>
      </c>
      <c r="D499" s="586"/>
      <c r="E499" s="40"/>
      <c r="M499" s="483"/>
      <c r="N499" s="586" t="s">
        <v>538</v>
      </c>
      <c r="O499" s="588">
        <v>0</v>
      </c>
      <c r="P499" s="586"/>
      <c r="Q499" s="40"/>
    </row>
    <row r="500" spans="1:17">
      <c r="A500" s="483"/>
      <c r="B500" s="586"/>
      <c r="C500" s="586"/>
      <c r="D500" s="586"/>
      <c r="E500" s="40"/>
      <c r="M500" s="483"/>
      <c r="N500" s="586"/>
      <c r="O500" s="586"/>
      <c r="P500" s="586"/>
      <c r="Q500" s="40"/>
    </row>
    <row r="501" spans="1:17" ht="13">
      <c r="A501" s="483"/>
      <c r="B501" s="589" t="s">
        <v>539</v>
      </c>
      <c r="C501" s="590">
        <f>C497-C498-C499</f>
        <v>0</v>
      </c>
      <c r="D501" s="586"/>
      <c r="E501" s="40"/>
      <c r="M501" s="483"/>
      <c r="N501" s="589" t="s">
        <v>539</v>
      </c>
      <c r="O501" s="590">
        <f>O497-O498-O499</f>
        <v>0</v>
      </c>
      <c r="P501" s="586"/>
      <c r="Q501" s="40"/>
    </row>
    <row r="502" spans="1:17">
      <c r="A502" s="483"/>
      <c r="B502" s="586" t="s">
        <v>540</v>
      </c>
      <c r="C502" s="591">
        <v>4</v>
      </c>
      <c r="D502" s="586"/>
      <c r="E502" s="40"/>
      <c r="M502" s="483"/>
      <c r="N502" s="586" t="s">
        <v>540</v>
      </c>
      <c r="O502" s="591">
        <v>4</v>
      </c>
      <c r="P502" s="586"/>
      <c r="Q502" s="40"/>
    </row>
    <row r="503" spans="1:17">
      <c r="A503" s="483"/>
      <c r="B503" s="586" t="s">
        <v>541</v>
      </c>
      <c r="C503" s="592">
        <f>C502*12</f>
        <v>48</v>
      </c>
      <c r="D503" s="586"/>
      <c r="E503" s="40"/>
      <c r="M503" s="483"/>
      <c r="N503" s="586" t="s">
        <v>541</v>
      </c>
      <c r="O503" s="592">
        <f>O502*12</f>
        <v>48</v>
      </c>
      <c r="P503" s="586"/>
      <c r="Q503" s="40"/>
    </row>
    <row r="504" spans="1:17">
      <c r="A504" s="483"/>
      <c r="B504" s="586"/>
      <c r="C504" s="586"/>
      <c r="D504" s="586"/>
      <c r="E504" s="40"/>
      <c r="M504" s="483"/>
      <c r="N504" s="586"/>
      <c r="O504" s="586"/>
      <c r="P504" s="586"/>
      <c r="Q504" s="40"/>
    </row>
    <row r="505" spans="1:17" ht="13">
      <c r="A505" s="483"/>
      <c r="B505" s="589" t="s">
        <v>542</v>
      </c>
      <c r="C505" s="590">
        <f>-PMT(E497/12,C503,C501)</f>
        <v>0</v>
      </c>
      <c r="D505" s="589" t="s">
        <v>543</v>
      </c>
      <c r="E505" s="488">
        <f>C505*12</f>
        <v>0</v>
      </c>
      <c r="M505" s="483"/>
      <c r="N505" s="589" t="s">
        <v>542</v>
      </c>
      <c r="O505" s="590">
        <f>-PMT(Q497/12,O503,O501)</f>
        <v>0</v>
      </c>
      <c r="P505" s="589" t="s">
        <v>543</v>
      </c>
      <c r="Q505" s="488">
        <f>O505*12</f>
        <v>0</v>
      </c>
    </row>
    <row r="506" spans="1:17">
      <c r="A506" s="483"/>
      <c r="B506" s="586"/>
      <c r="C506" s="586"/>
      <c r="D506" s="586"/>
      <c r="E506" s="40"/>
      <c r="M506" s="483"/>
      <c r="N506" s="586"/>
      <c r="O506" s="586"/>
      <c r="P506" s="586"/>
      <c r="Q506" s="40"/>
    </row>
    <row r="507" spans="1:17">
      <c r="A507" s="483"/>
      <c r="B507" s="586"/>
      <c r="C507" s="586"/>
      <c r="D507" s="586"/>
      <c r="E507" s="40"/>
      <c r="M507" s="483"/>
      <c r="N507" s="586"/>
      <c r="O507" s="586"/>
      <c r="P507" s="586"/>
      <c r="Q507" s="40"/>
    </row>
    <row r="508" spans="1:17">
      <c r="A508" s="483"/>
      <c r="B508" s="586" t="s">
        <v>241</v>
      </c>
      <c r="C508" s="586"/>
      <c r="D508" s="586"/>
      <c r="E508" s="40"/>
      <c r="M508" s="483"/>
      <c r="N508" s="586" t="s">
        <v>241</v>
      </c>
      <c r="O508" s="586"/>
      <c r="P508" s="586"/>
      <c r="Q508" s="40"/>
    </row>
    <row r="509" spans="1:17">
      <c r="A509" s="483"/>
      <c r="B509" s="586" t="s">
        <v>544</v>
      </c>
      <c r="C509" s="587">
        <f>C505*C503</f>
        <v>0</v>
      </c>
      <c r="D509" s="586"/>
      <c r="E509" s="40"/>
      <c r="M509" s="483"/>
      <c r="N509" s="586" t="s">
        <v>544</v>
      </c>
      <c r="O509" s="587">
        <f>O505*O503</f>
        <v>0</v>
      </c>
      <c r="P509" s="586"/>
      <c r="Q509" s="40"/>
    </row>
    <row r="510" spans="1:17">
      <c r="A510" s="483"/>
      <c r="B510" s="586"/>
      <c r="C510" s="586"/>
      <c r="D510" s="586"/>
      <c r="E510" s="40"/>
      <c r="M510" s="483"/>
      <c r="N510" s="586"/>
      <c r="O510" s="586"/>
      <c r="P510" s="586"/>
      <c r="Q510" s="40"/>
    </row>
    <row r="511" spans="1:17" ht="13.5" thickBot="1">
      <c r="A511" s="484"/>
      <c r="B511" s="489" t="s">
        <v>299</v>
      </c>
      <c r="C511" s="490">
        <f>C509-C501</f>
        <v>0</v>
      </c>
      <c r="D511" s="99"/>
      <c r="E511" s="157"/>
      <c r="M511" s="484"/>
      <c r="N511" s="489" t="s">
        <v>299</v>
      </c>
      <c r="O511" s="490">
        <f>O509-O501</f>
        <v>0</v>
      </c>
      <c r="P511" s="99"/>
      <c r="Q511" s="157"/>
    </row>
    <row r="512" spans="1:17" ht="13" thickBot="1"/>
    <row r="513" spans="1:17" ht="13">
      <c r="A513" s="480">
        <v>31</v>
      </c>
      <c r="B513" s="497" t="s">
        <v>533</v>
      </c>
      <c r="C513" s="497"/>
      <c r="D513" s="497"/>
      <c r="E513" s="498"/>
      <c r="M513" s="480">
        <v>31</v>
      </c>
      <c r="N513" s="497" t="s">
        <v>533</v>
      </c>
      <c r="O513" s="497"/>
      <c r="P513" s="497"/>
      <c r="Q513" s="498"/>
    </row>
    <row r="514" spans="1:17">
      <c r="A514" s="483"/>
      <c r="B514" s="586" t="s">
        <v>534</v>
      </c>
      <c r="C514" s="587">
        <f>SUMIF(Equipos!$Q$6:$Q$55,A513,Equipos!$O$6:$O$55)</f>
        <v>0</v>
      </c>
      <c r="D514" s="586" t="s">
        <v>535</v>
      </c>
      <c r="E514" s="487">
        <v>0.11</v>
      </c>
      <c r="M514" s="483"/>
      <c r="N514" s="586" t="s">
        <v>534</v>
      </c>
      <c r="O514" s="587">
        <f>SUMIF(MATERIALES!$P$6:$P$44,M513,MATERIALES!$N$6:$N$44)</f>
        <v>0</v>
      </c>
      <c r="P514" s="586" t="s">
        <v>535</v>
      </c>
      <c r="Q514" s="487">
        <v>0.11</v>
      </c>
    </row>
    <row r="515" spans="1:17">
      <c r="A515" s="483"/>
      <c r="B515" s="586" t="s">
        <v>536</v>
      </c>
      <c r="C515" s="588">
        <v>0</v>
      </c>
      <c r="D515" s="586" t="s">
        <v>537</v>
      </c>
      <c r="E515" s="487">
        <v>0</v>
      </c>
      <c r="M515" s="483"/>
      <c r="N515" s="586" t="s">
        <v>536</v>
      </c>
      <c r="O515" s="588">
        <v>0</v>
      </c>
      <c r="P515" s="586" t="s">
        <v>537</v>
      </c>
      <c r="Q515" s="487">
        <v>0</v>
      </c>
    </row>
    <row r="516" spans="1:17">
      <c r="A516" s="483"/>
      <c r="B516" s="586" t="s">
        <v>538</v>
      </c>
      <c r="C516" s="588">
        <v>0</v>
      </c>
      <c r="D516" s="586"/>
      <c r="E516" s="40"/>
      <c r="M516" s="483"/>
      <c r="N516" s="586" t="s">
        <v>538</v>
      </c>
      <c r="O516" s="588">
        <v>0</v>
      </c>
      <c r="P516" s="586"/>
      <c r="Q516" s="40"/>
    </row>
    <row r="517" spans="1:17">
      <c r="A517" s="483"/>
      <c r="B517" s="586"/>
      <c r="C517" s="586"/>
      <c r="D517" s="586"/>
      <c r="E517" s="40"/>
      <c r="M517" s="483"/>
      <c r="N517" s="586"/>
      <c r="O517" s="586"/>
      <c r="P517" s="586"/>
      <c r="Q517" s="40"/>
    </row>
    <row r="518" spans="1:17" ht="13">
      <c r="A518" s="483"/>
      <c r="B518" s="589" t="s">
        <v>539</v>
      </c>
      <c r="C518" s="590">
        <f>C514-C515-C516</f>
        <v>0</v>
      </c>
      <c r="D518" s="586"/>
      <c r="E518" s="40"/>
      <c r="M518" s="483"/>
      <c r="N518" s="589" t="s">
        <v>539</v>
      </c>
      <c r="O518" s="590">
        <f>O514-O515-O516</f>
        <v>0</v>
      </c>
      <c r="P518" s="586"/>
      <c r="Q518" s="40"/>
    </row>
    <row r="519" spans="1:17">
      <c r="A519" s="483"/>
      <c r="B519" s="586" t="s">
        <v>540</v>
      </c>
      <c r="C519" s="591">
        <v>4</v>
      </c>
      <c r="D519" s="586"/>
      <c r="E519" s="40"/>
      <c r="M519" s="483"/>
      <c r="N519" s="586" t="s">
        <v>540</v>
      </c>
      <c r="O519" s="591">
        <v>4</v>
      </c>
      <c r="P519" s="586"/>
      <c r="Q519" s="40"/>
    </row>
    <row r="520" spans="1:17">
      <c r="A520" s="483"/>
      <c r="B520" s="586" t="s">
        <v>541</v>
      </c>
      <c r="C520" s="592">
        <f>C519*12</f>
        <v>48</v>
      </c>
      <c r="D520" s="586"/>
      <c r="E520" s="40"/>
      <c r="M520" s="483"/>
      <c r="N520" s="586" t="s">
        <v>541</v>
      </c>
      <c r="O520" s="592">
        <f>O519*12</f>
        <v>48</v>
      </c>
      <c r="P520" s="586"/>
      <c r="Q520" s="40"/>
    </row>
    <row r="521" spans="1:17">
      <c r="A521" s="483"/>
      <c r="B521" s="586"/>
      <c r="C521" s="586"/>
      <c r="D521" s="586"/>
      <c r="E521" s="40"/>
      <c r="M521" s="483"/>
      <c r="N521" s="586"/>
      <c r="O521" s="586"/>
      <c r="P521" s="586"/>
      <c r="Q521" s="40"/>
    </row>
    <row r="522" spans="1:17" ht="13">
      <c r="A522" s="483"/>
      <c r="B522" s="589" t="s">
        <v>542</v>
      </c>
      <c r="C522" s="590">
        <f>-PMT(E514/12,C520,C518)</f>
        <v>0</v>
      </c>
      <c r="D522" s="589" t="s">
        <v>543</v>
      </c>
      <c r="E522" s="488">
        <f>C522*12</f>
        <v>0</v>
      </c>
      <c r="M522" s="483"/>
      <c r="N522" s="589" t="s">
        <v>542</v>
      </c>
      <c r="O522" s="590">
        <f>-PMT(Q514/12,O520,O518)</f>
        <v>0</v>
      </c>
      <c r="P522" s="589" t="s">
        <v>543</v>
      </c>
      <c r="Q522" s="488">
        <f>O522*12</f>
        <v>0</v>
      </c>
    </row>
    <row r="523" spans="1:17">
      <c r="A523" s="483"/>
      <c r="B523" s="586"/>
      <c r="C523" s="586"/>
      <c r="D523" s="586"/>
      <c r="E523" s="40"/>
      <c r="M523" s="483"/>
      <c r="N523" s="586"/>
      <c r="O523" s="586"/>
      <c r="P523" s="586"/>
      <c r="Q523" s="40"/>
    </row>
    <row r="524" spans="1:17">
      <c r="A524" s="483"/>
      <c r="B524" s="586"/>
      <c r="C524" s="586"/>
      <c r="D524" s="586"/>
      <c r="E524" s="40"/>
      <c r="M524" s="483"/>
      <c r="N524" s="586"/>
      <c r="O524" s="586"/>
      <c r="P524" s="586"/>
      <c r="Q524" s="40"/>
    </row>
    <row r="525" spans="1:17">
      <c r="A525" s="483"/>
      <c r="B525" s="586" t="s">
        <v>241</v>
      </c>
      <c r="C525" s="586"/>
      <c r="D525" s="586"/>
      <c r="E525" s="40"/>
      <c r="M525" s="483"/>
      <c r="N525" s="586" t="s">
        <v>241</v>
      </c>
      <c r="O525" s="586"/>
      <c r="P525" s="586"/>
      <c r="Q525" s="40"/>
    </row>
    <row r="526" spans="1:17">
      <c r="A526" s="483"/>
      <c r="B526" s="586" t="s">
        <v>544</v>
      </c>
      <c r="C526" s="587">
        <f>C522*C520</f>
        <v>0</v>
      </c>
      <c r="D526" s="586"/>
      <c r="E526" s="40"/>
      <c r="M526" s="483"/>
      <c r="N526" s="586" t="s">
        <v>544</v>
      </c>
      <c r="O526" s="587">
        <f>O522*O520</f>
        <v>0</v>
      </c>
      <c r="P526" s="586"/>
      <c r="Q526" s="40"/>
    </row>
    <row r="527" spans="1:17">
      <c r="A527" s="483"/>
      <c r="B527" s="586"/>
      <c r="C527" s="586"/>
      <c r="D527" s="586"/>
      <c r="E527" s="40"/>
      <c r="M527" s="483"/>
      <c r="N527" s="586"/>
      <c r="O527" s="586"/>
      <c r="P527" s="586"/>
      <c r="Q527" s="40"/>
    </row>
    <row r="528" spans="1:17" ht="13.5" thickBot="1">
      <c r="A528" s="484"/>
      <c r="B528" s="489" t="s">
        <v>299</v>
      </c>
      <c r="C528" s="490">
        <f>C526-C518</f>
        <v>0</v>
      </c>
      <c r="D528" s="99"/>
      <c r="E528" s="157"/>
      <c r="M528" s="484"/>
      <c r="N528" s="489" t="s">
        <v>299</v>
      </c>
      <c r="O528" s="490">
        <f>O526-O518</f>
        <v>0</v>
      </c>
      <c r="P528" s="99"/>
      <c r="Q528" s="157"/>
    </row>
    <row r="529" spans="1:17" ht="13" thickBot="1"/>
    <row r="530" spans="1:17" ht="13">
      <c r="A530" s="480">
        <v>32</v>
      </c>
      <c r="B530" s="497" t="s">
        <v>533</v>
      </c>
      <c r="C530" s="497"/>
      <c r="D530" s="497"/>
      <c r="E530" s="498"/>
      <c r="M530" s="480">
        <v>32</v>
      </c>
      <c r="N530" s="497" t="s">
        <v>533</v>
      </c>
      <c r="O530" s="497"/>
      <c r="P530" s="497"/>
      <c r="Q530" s="498"/>
    </row>
    <row r="531" spans="1:17">
      <c r="A531" s="483"/>
      <c r="B531" s="586" t="s">
        <v>534</v>
      </c>
      <c r="C531" s="587">
        <f>SUMIF(Equipos!$Q$6:$Q$55,A530,Equipos!$O$6:$O$55)</f>
        <v>0</v>
      </c>
      <c r="D531" s="586" t="s">
        <v>535</v>
      </c>
      <c r="E531" s="487">
        <v>0.11</v>
      </c>
      <c r="M531" s="483"/>
      <c r="N531" s="586" t="s">
        <v>534</v>
      </c>
      <c r="O531" s="587">
        <f>SUMIF(MATERIALES!$P$6:$P$44,M530,MATERIALES!$N$6:$N$44)</f>
        <v>0</v>
      </c>
      <c r="P531" s="586" t="s">
        <v>535</v>
      </c>
      <c r="Q531" s="487">
        <v>0.11</v>
      </c>
    </row>
    <row r="532" spans="1:17">
      <c r="A532" s="483"/>
      <c r="B532" s="586" t="s">
        <v>536</v>
      </c>
      <c r="C532" s="588">
        <v>0</v>
      </c>
      <c r="D532" s="586" t="s">
        <v>537</v>
      </c>
      <c r="E532" s="487">
        <v>0</v>
      </c>
      <c r="M532" s="483"/>
      <c r="N532" s="586" t="s">
        <v>536</v>
      </c>
      <c r="O532" s="588">
        <v>0</v>
      </c>
      <c r="P532" s="586" t="s">
        <v>537</v>
      </c>
      <c r="Q532" s="487">
        <v>0</v>
      </c>
    </row>
    <row r="533" spans="1:17">
      <c r="A533" s="483"/>
      <c r="B533" s="586" t="s">
        <v>538</v>
      </c>
      <c r="C533" s="588">
        <v>0</v>
      </c>
      <c r="D533" s="586"/>
      <c r="E533" s="40"/>
      <c r="M533" s="483"/>
      <c r="N533" s="586" t="s">
        <v>538</v>
      </c>
      <c r="O533" s="588">
        <v>0</v>
      </c>
      <c r="P533" s="586"/>
      <c r="Q533" s="40"/>
    </row>
    <row r="534" spans="1:17">
      <c r="A534" s="483"/>
      <c r="B534" s="586"/>
      <c r="C534" s="586"/>
      <c r="D534" s="586"/>
      <c r="E534" s="40"/>
      <c r="M534" s="483"/>
      <c r="N534" s="586"/>
      <c r="O534" s="586"/>
      <c r="P534" s="586"/>
      <c r="Q534" s="40"/>
    </row>
    <row r="535" spans="1:17" ht="13">
      <c r="A535" s="483"/>
      <c r="B535" s="589" t="s">
        <v>539</v>
      </c>
      <c r="C535" s="590">
        <f>C531-C532-C533</f>
        <v>0</v>
      </c>
      <c r="D535" s="586"/>
      <c r="E535" s="40"/>
      <c r="M535" s="483"/>
      <c r="N535" s="589" t="s">
        <v>539</v>
      </c>
      <c r="O535" s="590">
        <f>O531-O532-O533</f>
        <v>0</v>
      </c>
      <c r="P535" s="586"/>
      <c r="Q535" s="40"/>
    </row>
    <row r="536" spans="1:17">
      <c r="A536" s="483"/>
      <c r="B536" s="586" t="s">
        <v>540</v>
      </c>
      <c r="C536" s="591">
        <v>4</v>
      </c>
      <c r="D536" s="586"/>
      <c r="E536" s="40"/>
      <c r="M536" s="483"/>
      <c r="N536" s="586" t="s">
        <v>540</v>
      </c>
      <c r="O536" s="591">
        <v>4</v>
      </c>
      <c r="P536" s="586"/>
      <c r="Q536" s="40"/>
    </row>
    <row r="537" spans="1:17">
      <c r="A537" s="483"/>
      <c r="B537" s="586" t="s">
        <v>541</v>
      </c>
      <c r="C537" s="592">
        <f>C536*12</f>
        <v>48</v>
      </c>
      <c r="D537" s="586"/>
      <c r="E537" s="40"/>
      <c r="M537" s="483"/>
      <c r="N537" s="586" t="s">
        <v>541</v>
      </c>
      <c r="O537" s="592">
        <f>O536*12</f>
        <v>48</v>
      </c>
      <c r="P537" s="586"/>
      <c r="Q537" s="40"/>
    </row>
    <row r="538" spans="1:17">
      <c r="A538" s="483"/>
      <c r="B538" s="586"/>
      <c r="C538" s="586"/>
      <c r="D538" s="586"/>
      <c r="E538" s="40"/>
      <c r="M538" s="483"/>
      <c r="N538" s="586"/>
      <c r="O538" s="586"/>
      <c r="P538" s="586"/>
      <c r="Q538" s="40"/>
    </row>
    <row r="539" spans="1:17" ht="13">
      <c r="A539" s="483"/>
      <c r="B539" s="589" t="s">
        <v>542</v>
      </c>
      <c r="C539" s="590">
        <f>-PMT(E531/12,C537,C535)</f>
        <v>0</v>
      </c>
      <c r="D539" s="589" t="s">
        <v>543</v>
      </c>
      <c r="E539" s="488">
        <f>C539*12</f>
        <v>0</v>
      </c>
      <c r="M539" s="483"/>
      <c r="N539" s="589" t="s">
        <v>542</v>
      </c>
      <c r="O539" s="590">
        <f>-PMT(Q531/12,O537,O535)</f>
        <v>0</v>
      </c>
      <c r="P539" s="589" t="s">
        <v>543</v>
      </c>
      <c r="Q539" s="488">
        <f>O539*12</f>
        <v>0</v>
      </c>
    </row>
    <row r="540" spans="1:17">
      <c r="A540" s="483"/>
      <c r="B540" s="586"/>
      <c r="C540" s="586"/>
      <c r="D540" s="586"/>
      <c r="E540" s="40"/>
      <c r="M540" s="483"/>
      <c r="N540" s="586"/>
      <c r="O540" s="586"/>
      <c r="P540" s="586"/>
      <c r="Q540" s="40"/>
    </row>
    <row r="541" spans="1:17">
      <c r="A541" s="483"/>
      <c r="B541" s="586"/>
      <c r="C541" s="586"/>
      <c r="D541" s="586"/>
      <c r="E541" s="40"/>
      <c r="M541" s="483"/>
      <c r="N541" s="586"/>
      <c r="O541" s="586"/>
      <c r="P541" s="586"/>
      <c r="Q541" s="40"/>
    </row>
    <row r="542" spans="1:17">
      <c r="A542" s="483"/>
      <c r="B542" s="586" t="s">
        <v>241</v>
      </c>
      <c r="C542" s="586"/>
      <c r="D542" s="586"/>
      <c r="E542" s="40"/>
      <c r="M542" s="483"/>
      <c r="N542" s="586" t="s">
        <v>241</v>
      </c>
      <c r="O542" s="586"/>
      <c r="P542" s="586"/>
      <c r="Q542" s="40"/>
    </row>
    <row r="543" spans="1:17">
      <c r="A543" s="483"/>
      <c r="B543" s="586" t="s">
        <v>544</v>
      </c>
      <c r="C543" s="587">
        <f>C539*C537</f>
        <v>0</v>
      </c>
      <c r="D543" s="586"/>
      <c r="E543" s="40"/>
      <c r="M543" s="483"/>
      <c r="N543" s="586" t="s">
        <v>544</v>
      </c>
      <c r="O543" s="587">
        <f>O539*O537</f>
        <v>0</v>
      </c>
      <c r="P543" s="586"/>
      <c r="Q543" s="40"/>
    </row>
    <row r="544" spans="1:17">
      <c r="A544" s="483"/>
      <c r="B544" s="586"/>
      <c r="C544" s="586"/>
      <c r="D544" s="586"/>
      <c r="E544" s="40"/>
      <c r="M544" s="483"/>
      <c r="N544" s="586"/>
      <c r="O544" s="586"/>
      <c r="P544" s="586"/>
      <c r="Q544" s="40"/>
    </row>
    <row r="545" spans="1:17" ht="13.5" thickBot="1">
      <c r="A545" s="484"/>
      <c r="B545" s="489" t="s">
        <v>299</v>
      </c>
      <c r="C545" s="490">
        <f>C543-C535</f>
        <v>0</v>
      </c>
      <c r="D545" s="99"/>
      <c r="E545" s="157"/>
      <c r="M545" s="484"/>
      <c r="N545" s="489" t="s">
        <v>299</v>
      </c>
      <c r="O545" s="490">
        <f>O543-O535</f>
        <v>0</v>
      </c>
      <c r="P545" s="99"/>
      <c r="Q545" s="157"/>
    </row>
    <row r="546" spans="1:17" ht="13" thickBot="1"/>
    <row r="547" spans="1:17" ht="13">
      <c r="A547" s="480">
        <v>33</v>
      </c>
      <c r="B547" s="497" t="s">
        <v>533</v>
      </c>
      <c r="C547" s="497"/>
      <c r="D547" s="497"/>
      <c r="E547" s="498"/>
      <c r="M547" s="480">
        <v>33</v>
      </c>
      <c r="N547" s="497" t="s">
        <v>533</v>
      </c>
      <c r="O547" s="497"/>
      <c r="P547" s="497"/>
      <c r="Q547" s="498"/>
    </row>
    <row r="548" spans="1:17">
      <c r="A548" s="483"/>
      <c r="B548" s="586" t="s">
        <v>534</v>
      </c>
      <c r="C548" s="587">
        <f>SUMIF(Equipos!$Q$6:$Q$55,A547,Equipos!$O$6:$O$55)</f>
        <v>0</v>
      </c>
      <c r="D548" s="586" t="s">
        <v>535</v>
      </c>
      <c r="E548" s="487">
        <v>0.11</v>
      </c>
      <c r="M548" s="483"/>
      <c r="N548" s="586" t="s">
        <v>534</v>
      </c>
      <c r="O548" s="587">
        <f>SUMIF(MATERIALES!$P$6:$P$44,M547,MATERIALES!$N$6:$N$44)</f>
        <v>0</v>
      </c>
      <c r="P548" s="586" t="s">
        <v>535</v>
      </c>
      <c r="Q548" s="487">
        <v>0.11</v>
      </c>
    </row>
    <row r="549" spans="1:17">
      <c r="A549" s="483"/>
      <c r="B549" s="586" t="s">
        <v>536</v>
      </c>
      <c r="C549" s="588">
        <v>0</v>
      </c>
      <c r="D549" s="586" t="s">
        <v>537</v>
      </c>
      <c r="E549" s="487">
        <v>0</v>
      </c>
      <c r="M549" s="483"/>
      <c r="N549" s="586" t="s">
        <v>536</v>
      </c>
      <c r="O549" s="588">
        <v>0</v>
      </c>
      <c r="P549" s="586" t="s">
        <v>537</v>
      </c>
      <c r="Q549" s="487">
        <v>0</v>
      </c>
    </row>
    <row r="550" spans="1:17">
      <c r="A550" s="483"/>
      <c r="B550" s="586" t="s">
        <v>538</v>
      </c>
      <c r="C550" s="588">
        <v>0</v>
      </c>
      <c r="D550" s="586"/>
      <c r="E550" s="40"/>
      <c r="M550" s="483"/>
      <c r="N550" s="586" t="s">
        <v>538</v>
      </c>
      <c r="O550" s="588">
        <v>0</v>
      </c>
      <c r="P550" s="586"/>
      <c r="Q550" s="40"/>
    </row>
    <row r="551" spans="1:17">
      <c r="A551" s="483"/>
      <c r="B551" s="586"/>
      <c r="C551" s="586"/>
      <c r="D551" s="586"/>
      <c r="E551" s="40"/>
      <c r="M551" s="483"/>
      <c r="N551" s="586"/>
      <c r="O551" s="586"/>
      <c r="P551" s="586"/>
      <c r="Q551" s="40"/>
    </row>
    <row r="552" spans="1:17" ht="13">
      <c r="A552" s="483"/>
      <c r="B552" s="589" t="s">
        <v>539</v>
      </c>
      <c r="C552" s="590">
        <f>C548-C549-C550</f>
        <v>0</v>
      </c>
      <c r="D552" s="586"/>
      <c r="E552" s="40"/>
      <c r="M552" s="483"/>
      <c r="N552" s="589" t="s">
        <v>539</v>
      </c>
      <c r="O552" s="590">
        <f>O548-O549-O550</f>
        <v>0</v>
      </c>
      <c r="P552" s="586"/>
      <c r="Q552" s="40"/>
    </row>
    <row r="553" spans="1:17">
      <c r="A553" s="483"/>
      <c r="B553" s="586" t="s">
        <v>540</v>
      </c>
      <c r="C553" s="591">
        <v>4</v>
      </c>
      <c r="D553" s="586"/>
      <c r="E553" s="40"/>
      <c r="M553" s="483"/>
      <c r="N553" s="586" t="s">
        <v>540</v>
      </c>
      <c r="O553" s="591">
        <v>4</v>
      </c>
      <c r="P553" s="586"/>
      <c r="Q553" s="40"/>
    </row>
    <row r="554" spans="1:17">
      <c r="A554" s="483"/>
      <c r="B554" s="586" t="s">
        <v>541</v>
      </c>
      <c r="C554" s="592">
        <f>C553*12</f>
        <v>48</v>
      </c>
      <c r="D554" s="586"/>
      <c r="E554" s="40"/>
      <c r="M554" s="483"/>
      <c r="N554" s="586" t="s">
        <v>541</v>
      </c>
      <c r="O554" s="592">
        <f>O553*12</f>
        <v>48</v>
      </c>
      <c r="P554" s="586"/>
      <c r="Q554" s="40"/>
    </row>
    <row r="555" spans="1:17">
      <c r="A555" s="483"/>
      <c r="B555" s="586"/>
      <c r="C555" s="586"/>
      <c r="D555" s="586"/>
      <c r="E555" s="40"/>
      <c r="M555" s="483"/>
      <c r="N555" s="586"/>
      <c r="O555" s="586"/>
      <c r="P555" s="586"/>
      <c r="Q555" s="40"/>
    </row>
    <row r="556" spans="1:17" ht="13">
      <c r="A556" s="483"/>
      <c r="B556" s="589" t="s">
        <v>542</v>
      </c>
      <c r="C556" s="590">
        <f>-PMT(E548/12,C554,C552)</f>
        <v>0</v>
      </c>
      <c r="D556" s="589" t="s">
        <v>543</v>
      </c>
      <c r="E556" s="488">
        <f>C556*12</f>
        <v>0</v>
      </c>
      <c r="M556" s="483"/>
      <c r="N556" s="589" t="s">
        <v>542</v>
      </c>
      <c r="O556" s="590">
        <f>-PMT(Q548/12,O554,O552)</f>
        <v>0</v>
      </c>
      <c r="P556" s="589" t="s">
        <v>543</v>
      </c>
      <c r="Q556" s="488">
        <f>O556*12</f>
        <v>0</v>
      </c>
    </row>
    <row r="557" spans="1:17">
      <c r="A557" s="483"/>
      <c r="B557" s="586"/>
      <c r="C557" s="586"/>
      <c r="D557" s="586"/>
      <c r="E557" s="40"/>
      <c r="M557" s="483"/>
      <c r="N557" s="586"/>
      <c r="O557" s="586"/>
      <c r="P557" s="586"/>
      <c r="Q557" s="40"/>
    </row>
    <row r="558" spans="1:17">
      <c r="A558" s="483"/>
      <c r="B558" s="586"/>
      <c r="C558" s="586"/>
      <c r="D558" s="586"/>
      <c r="E558" s="40"/>
      <c r="M558" s="483"/>
      <c r="N558" s="586"/>
      <c r="O558" s="586"/>
      <c r="P558" s="586"/>
      <c r="Q558" s="40"/>
    </row>
    <row r="559" spans="1:17">
      <c r="A559" s="483"/>
      <c r="B559" s="586" t="s">
        <v>241</v>
      </c>
      <c r="C559" s="586"/>
      <c r="D559" s="586"/>
      <c r="E559" s="40"/>
      <c r="M559" s="483"/>
      <c r="N559" s="586" t="s">
        <v>241</v>
      </c>
      <c r="O559" s="586"/>
      <c r="P559" s="586"/>
      <c r="Q559" s="40"/>
    </row>
    <row r="560" spans="1:17">
      <c r="A560" s="483"/>
      <c r="B560" s="586" t="s">
        <v>544</v>
      </c>
      <c r="C560" s="587">
        <f>C556*C554</f>
        <v>0</v>
      </c>
      <c r="D560" s="586"/>
      <c r="E560" s="40"/>
      <c r="M560" s="483"/>
      <c r="N560" s="586" t="s">
        <v>544</v>
      </c>
      <c r="O560" s="587">
        <f>O556*O554</f>
        <v>0</v>
      </c>
      <c r="P560" s="586"/>
      <c r="Q560" s="40"/>
    </row>
    <row r="561" spans="1:17">
      <c r="A561" s="483"/>
      <c r="B561" s="586"/>
      <c r="C561" s="586"/>
      <c r="D561" s="586"/>
      <c r="E561" s="40"/>
      <c r="M561" s="483"/>
      <c r="N561" s="586"/>
      <c r="O561" s="586"/>
      <c r="P561" s="586"/>
      <c r="Q561" s="40"/>
    </row>
    <row r="562" spans="1:17" ht="13.5" thickBot="1">
      <c r="A562" s="484"/>
      <c r="B562" s="489" t="s">
        <v>299</v>
      </c>
      <c r="C562" s="490">
        <f>C560-C552</f>
        <v>0</v>
      </c>
      <c r="D562" s="99"/>
      <c r="E562" s="157"/>
      <c r="M562" s="484"/>
      <c r="N562" s="489" t="s">
        <v>299</v>
      </c>
      <c r="O562" s="490">
        <f>O560-O552</f>
        <v>0</v>
      </c>
      <c r="P562" s="99"/>
      <c r="Q562" s="157"/>
    </row>
    <row r="563" spans="1:17" ht="13" thickBot="1"/>
    <row r="564" spans="1:17" ht="13">
      <c r="A564" s="480">
        <v>34</v>
      </c>
      <c r="B564" s="497" t="s">
        <v>533</v>
      </c>
      <c r="C564" s="497"/>
      <c r="D564" s="497"/>
      <c r="E564" s="498"/>
      <c r="M564" s="480">
        <v>34</v>
      </c>
      <c r="N564" s="497" t="s">
        <v>533</v>
      </c>
      <c r="O564" s="497"/>
      <c r="P564" s="497"/>
      <c r="Q564" s="498"/>
    </row>
    <row r="565" spans="1:17">
      <c r="A565" s="483"/>
      <c r="B565" s="586" t="s">
        <v>534</v>
      </c>
      <c r="C565" s="587">
        <f>SUMIF(Equipos!$Q$6:$Q$55,A564,Equipos!$O$6:$O$55)</f>
        <v>0</v>
      </c>
      <c r="D565" s="586" t="s">
        <v>535</v>
      </c>
      <c r="E565" s="487">
        <v>0.11</v>
      </c>
      <c r="M565" s="483"/>
      <c r="N565" s="586" t="s">
        <v>534</v>
      </c>
      <c r="O565" s="587">
        <f>SUMIF(MATERIALES!$P$6:$P$44,M564,MATERIALES!$N$6:$N$44)</f>
        <v>0</v>
      </c>
      <c r="P565" s="586" t="s">
        <v>535</v>
      </c>
      <c r="Q565" s="487">
        <v>0.11</v>
      </c>
    </row>
    <row r="566" spans="1:17">
      <c r="A566" s="483"/>
      <c r="B566" s="586" t="s">
        <v>536</v>
      </c>
      <c r="C566" s="588">
        <v>0</v>
      </c>
      <c r="D566" s="586" t="s">
        <v>537</v>
      </c>
      <c r="E566" s="487">
        <v>0</v>
      </c>
      <c r="M566" s="483"/>
      <c r="N566" s="586" t="s">
        <v>536</v>
      </c>
      <c r="O566" s="588">
        <v>0</v>
      </c>
      <c r="P566" s="586" t="s">
        <v>537</v>
      </c>
      <c r="Q566" s="487">
        <v>0</v>
      </c>
    </row>
    <row r="567" spans="1:17">
      <c r="A567" s="483"/>
      <c r="B567" s="586" t="s">
        <v>538</v>
      </c>
      <c r="C567" s="588">
        <v>0</v>
      </c>
      <c r="D567" s="586"/>
      <c r="E567" s="40"/>
      <c r="M567" s="483"/>
      <c r="N567" s="586" t="s">
        <v>538</v>
      </c>
      <c r="O567" s="588">
        <v>0</v>
      </c>
      <c r="P567" s="586"/>
      <c r="Q567" s="40"/>
    </row>
    <row r="568" spans="1:17">
      <c r="A568" s="483"/>
      <c r="B568" s="586"/>
      <c r="C568" s="586"/>
      <c r="D568" s="586"/>
      <c r="E568" s="40"/>
      <c r="M568" s="483"/>
      <c r="N568" s="586"/>
      <c r="O568" s="586"/>
      <c r="P568" s="586"/>
      <c r="Q568" s="40"/>
    </row>
    <row r="569" spans="1:17" ht="13">
      <c r="A569" s="483"/>
      <c r="B569" s="589" t="s">
        <v>539</v>
      </c>
      <c r="C569" s="590">
        <f>C565-C566-C567</f>
        <v>0</v>
      </c>
      <c r="D569" s="586"/>
      <c r="E569" s="40"/>
      <c r="M569" s="483"/>
      <c r="N569" s="589" t="s">
        <v>539</v>
      </c>
      <c r="O569" s="590">
        <f>O565-O566-O567</f>
        <v>0</v>
      </c>
      <c r="P569" s="586"/>
      <c r="Q569" s="40"/>
    </row>
    <row r="570" spans="1:17">
      <c r="A570" s="483"/>
      <c r="B570" s="586" t="s">
        <v>540</v>
      </c>
      <c r="C570" s="591">
        <v>4</v>
      </c>
      <c r="D570" s="586"/>
      <c r="E570" s="40"/>
      <c r="M570" s="483"/>
      <c r="N570" s="586" t="s">
        <v>540</v>
      </c>
      <c r="O570" s="591">
        <v>4</v>
      </c>
      <c r="P570" s="586"/>
      <c r="Q570" s="40"/>
    </row>
    <row r="571" spans="1:17">
      <c r="A571" s="483"/>
      <c r="B571" s="586" t="s">
        <v>541</v>
      </c>
      <c r="C571" s="592">
        <f>C570*12</f>
        <v>48</v>
      </c>
      <c r="D571" s="586"/>
      <c r="E571" s="40"/>
      <c r="M571" s="483"/>
      <c r="N571" s="586" t="s">
        <v>541</v>
      </c>
      <c r="O571" s="592">
        <f>O570*12</f>
        <v>48</v>
      </c>
      <c r="P571" s="586"/>
      <c r="Q571" s="40"/>
    </row>
    <row r="572" spans="1:17">
      <c r="A572" s="483"/>
      <c r="B572" s="586"/>
      <c r="C572" s="586"/>
      <c r="D572" s="586"/>
      <c r="E572" s="40"/>
      <c r="M572" s="483"/>
      <c r="N572" s="586"/>
      <c r="O572" s="586"/>
      <c r="P572" s="586"/>
      <c r="Q572" s="40"/>
    </row>
    <row r="573" spans="1:17" ht="13">
      <c r="A573" s="483"/>
      <c r="B573" s="589" t="s">
        <v>542</v>
      </c>
      <c r="C573" s="590">
        <f>-PMT(E565/12,C571,C569)</f>
        <v>0</v>
      </c>
      <c r="D573" s="589" t="s">
        <v>543</v>
      </c>
      <c r="E573" s="488">
        <f>C573*12</f>
        <v>0</v>
      </c>
      <c r="M573" s="483"/>
      <c r="N573" s="589" t="s">
        <v>542</v>
      </c>
      <c r="O573" s="590">
        <f>-PMT(Q565/12,O571,O569)</f>
        <v>0</v>
      </c>
      <c r="P573" s="589" t="s">
        <v>543</v>
      </c>
      <c r="Q573" s="488">
        <f>O573*12</f>
        <v>0</v>
      </c>
    </row>
    <row r="574" spans="1:17">
      <c r="A574" s="483"/>
      <c r="B574" s="586"/>
      <c r="C574" s="586"/>
      <c r="D574" s="586"/>
      <c r="E574" s="40"/>
      <c r="M574" s="483"/>
      <c r="N574" s="586"/>
      <c r="O574" s="586"/>
      <c r="P574" s="586"/>
      <c r="Q574" s="40"/>
    </row>
    <row r="575" spans="1:17">
      <c r="A575" s="483"/>
      <c r="B575" s="586"/>
      <c r="C575" s="586"/>
      <c r="D575" s="586"/>
      <c r="E575" s="40"/>
      <c r="M575" s="483"/>
      <c r="N575" s="586"/>
      <c r="O575" s="586"/>
      <c r="P575" s="586"/>
      <c r="Q575" s="40"/>
    </row>
    <row r="576" spans="1:17">
      <c r="A576" s="483"/>
      <c r="B576" s="586" t="s">
        <v>241</v>
      </c>
      <c r="C576" s="586"/>
      <c r="D576" s="586"/>
      <c r="E576" s="40"/>
      <c r="M576" s="483"/>
      <c r="N576" s="586" t="s">
        <v>241</v>
      </c>
      <c r="O576" s="586"/>
      <c r="P576" s="586"/>
      <c r="Q576" s="40"/>
    </row>
    <row r="577" spans="1:17">
      <c r="A577" s="483"/>
      <c r="B577" s="586" t="s">
        <v>544</v>
      </c>
      <c r="C577" s="587">
        <f>C573*C571</f>
        <v>0</v>
      </c>
      <c r="D577" s="586"/>
      <c r="E577" s="40"/>
      <c r="M577" s="483"/>
      <c r="N577" s="586" t="s">
        <v>544</v>
      </c>
      <c r="O577" s="587">
        <f>O573*O571</f>
        <v>0</v>
      </c>
      <c r="P577" s="586"/>
      <c r="Q577" s="40"/>
    </row>
    <row r="578" spans="1:17">
      <c r="A578" s="483"/>
      <c r="B578" s="586"/>
      <c r="C578" s="586"/>
      <c r="D578" s="586"/>
      <c r="E578" s="40"/>
      <c r="M578" s="483"/>
      <c r="N578" s="586"/>
      <c r="O578" s="586"/>
      <c r="P578" s="586"/>
      <c r="Q578" s="40"/>
    </row>
    <row r="579" spans="1:17" ht="13.5" thickBot="1">
      <c r="A579" s="484"/>
      <c r="B579" s="489" t="s">
        <v>299</v>
      </c>
      <c r="C579" s="490">
        <f>C577-C569</f>
        <v>0</v>
      </c>
      <c r="D579" s="99"/>
      <c r="E579" s="157"/>
      <c r="M579" s="484"/>
      <c r="N579" s="489" t="s">
        <v>299</v>
      </c>
      <c r="O579" s="490">
        <f>O577-O569</f>
        <v>0</v>
      </c>
      <c r="P579" s="99"/>
      <c r="Q579" s="157"/>
    </row>
    <row r="580" spans="1:17" ht="13" thickBot="1"/>
    <row r="581" spans="1:17" ht="13">
      <c r="A581" s="480">
        <v>35</v>
      </c>
      <c r="B581" s="497" t="s">
        <v>533</v>
      </c>
      <c r="C581" s="497"/>
      <c r="D581" s="497"/>
      <c r="E581" s="498"/>
      <c r="M581" s="480">
        <v>35</v>
      </c>
      <c r="N581" s="497" t="s">
        <v>533</v>
      </c>
      <c r="O581" s="497"/>
      <c r="P581" s="497"/>
      <c r="Q581" s="498"/>
    </row>
    <row r="582" spans="1:17">
      <c r="A582" s="483"/>
      <c r="B582" s="586" t="s">
        <v>534</v>
      </c>
      <c r="C582" s="587">
        <f>SUMIF(Equipos!$Q$6:$Q$55,A581,Equipos!$O$6:$O$55)</f>
        <v>0</v>
      </c>
      <c r="D582" s="586" t="s">
        <v>535</v>
      </c>
      <c r="E582" s="487">
        <v>0.11</v>
      </c>
      <c r="M582" s="483"/>
      <c r="N582" s="586" t="s">
        <v>534</v>
      </c>
      <c r="O582" s="587">
        <f>SUMIF(MATERIALES!$P$6:$P$44,M581,MATERIALES!$N$6:$N$44)</f>
        <v>0</v>
      </c>
      <c r="P582" s="586" t="s">
        <v>535</v>
      </c>
      <c r="Q582" s="487">
        <v>0.11</v>
      </c>
    </row>
    <row r="583" spans="1:17">
      <c r="A583" s="483"/>
      <c r="B583" s="586" t="s">
        <v>536</v>
      </c>
      <c r="C583" s="588">
        <v>0</v>
      </c>
      <c r="D583" s="586" t="s">
        <v>537</v>
      </c>
      <c r="E583" s="487">
        <v>0</v>
      </c>
      <c r="M583" s="483"/>
      <c r="N583" s="586" t="s">
        <v>536</v>
      </c>
      <c r="O583" s="588">
        <v>0</v>
      </c>
      <c r="P583" s="586" t="s">
        <v>537</v>
      </c>
      <c r="Q583" s="487">
        <v>0</v>
      </c>
    </row>
    <row r="584" spans="1:17">
      <c r="A584" s="483"/>
      <c r="B584" s="586" t="s">
        <v>538</v>
      </c>
      <c r="C584" s="588">
        <v>0</v>
      </c>
      <c r="D584" s="586"/>
      <c r="E584" s="40"/>
      <c r="M584" s="483"/>
      <c r="N584" s="586" t="s">
        <v>538</v>
      </c>
      <c r="O584" s="588">
        <v>0</v>
      </c>
      <c r="P584" s="586"/>
      <c r="Q584" s="40"/>
    </row>
    <row r="585" spans="1:17">
      <c r="A585" s="483"/>
      <c r="B585" s="586"/>
      <c r="C585" s="586"/>
      <c r="D585" s="586"/>
      <c r="E585" s="40"/>
      <c r="M585" s="483"/>
      <c r="N585" s="586"/>
      <c r="O585" s="586"/>
      <c r="P585" s="586"/>
      <c r="Q585" s="40"/>
    </row>
    <row r="586" spans="1:17" ht="13">
      <c r="A586" s="483"/>
      <c r="B586" s="589" t="s">
        <v>539</v>
      </c>
      <c r="C586" s="590">
        <f>C582-C583-C584</f>
        <v>0</v>
      </c>
      <c r="D586" s="586"/>
      <c r="E586" s="40"/>
      <c r="M586" s="483"/>
      <c r="N586" s="589" t="s">
        <v>539</v>
      </c>
      <c r="O586" s="590">
        <f>O582-O583-O584</f>
        <v>0</v>
      </c>
      <c r="P586" s="586"/>
      <c r="Q586" s="40"/>
    </row>
    <row r="587" spans="1:17">
      <c r="A587" s="483"/>
      <c r="B587" s="586" t="s">
        <v>540</v>
      </c>
      <c r="C587" s="591">
        <v>4</v>
      </c>
      <c r="D587" s="586"/>
      <c r="E587" s="40"/>
      <c r="M587" s="483"/>
      <c r="N587" s="586" t="s">
        <v>540</v>
      </c>
      <c r="O587" s="591">
        <v>4</v>
      </c>
      <c r="P587" s="586"/>
      <c r="Q587" s="40"/>
    </row>
    <row r="588" spans="1:17">
      <c r="A588" s="483"/>
      <c r="B588" s="586" t="s">
        <v>541</v>
      </c>
      <c r="C588" s="592">
        <f>C587*12</f>
        <v>48</v>
      </c>
      <c r="D588" s="586"/>
      <c r="E588" s="40"/>
      <c r="M588" s="483"/>
      <c r="N588" s="586" t="s">
        <v>541</v>
      </c>
      <c r="O588" s="592">
        <f>O587*12</f>
        <v>48</v>
      </c>
      <c r="P588" s="586"/>
      <c r="Q588" s="40"/>
    </row>
    <row r="589" spans="1:17">
      <c r="A589" s="483"/>
      <c r="B589" s="586"/>
      <c r="C589" s="586"/>
      <c r="D589" s="586"/>
      <c r="E589" s="40"/>
      <c r="M589" s="483"/>
      <c r="N589" s="586"/>
      <c r="O589" s="586"/>
      <c r="P589" s="586"/>
      <c r="Q589" s="40"/>
    </row>
    <row r="590" spans="1:17" ht="13">
      <c r="A590" s="483"/>
      <c r="B590" s="589" t="s">
        <v>542</v>
      </c>
      <c r="C590" s="590">
        <f>-PMT(E582/12,C588,C586)</f>
        <v>0</v>
      </c>
      <c r="D590" s="589" t="s">
        <v>543</v>
      </c>
      <c r="E590" s="488">
        <f>C590*12</f>
        <v>0</v>
      </c>
      <c r="M590" s="483"/>
      <c r="N590" s="589" t="s">
        <v>542</v>
      </c>
      <c r="O590" s="590">
        <f>-PMT(Q582/12,O588,O586)</f>
        <v>0</v>
      </c>
      <c r="P590" s="589" t="s">
        <v>543</v>
      </c>
      <c r="Q590" s="488">
        <f>O590*12</f>
        <v>0</v>
      </c>
    </row>
    <row r="591" spans="1:17">
      <c r="A591" s="483"/>
      <c r="B591" s="586"/>
      <c r="C591" s="586"/>
      <c r="D591" s="586"/>
      <c r="E591" s="40"/>
      <c r="M591" s="483"/>
      <c r="N591" s="586"/>
      <c r="O591" s="586"/>
      <c r="P591" s="586"/>
      <c r="Q591" s="40"/>
    </row>
    <row r="592" spans="1:17">
      <c r="A592" s="483"/>
      <c r="B592" s="586"/>
      <c r="C592" s="586"/>
      <c r="D592" s="586"/>
      <c r="E592" s="40"/>
      <c r="M592" s="483"/>
      <c r="N592" s="586"/>
      <c r="O592" s="586"/>
      <c r="P592" s="586"/>
      <c r="Q592" s="40"/>
    </row>
    <row r="593" spans="1:17">
      <c r="A593" s="483"/>
      <c r="B593" s="586" t="s">
        <v>241</v>
      </c>
      <c r="C593" s="586"/>
      <c r="D593" s="586"/>
      <c r="E593" s="40"/>
      <c r="M593" s="483"/>
      <c r="N593" s="586" t="s">
        <v>241</v>
      </c>
      <c r="O593" s="586"/>
      <c r="P593" s="586"/>
      <c r="Q593" s="40"/>
    </row>
    <row r="594" spans="1:17">
      <c r="A594" s="483"/>
      <c r="B594" s="586" t="s">
        <v>544</v>
      </c>
      <c r="C594" s="587">
        <f>C590*C588</f>
        <v>0</v>
      </c>
      <c r="D594" s="586"/>
      <c r="E594" s="40"/>
      <c r="M594" s="483"/>
      <c r="N594" s="586" t="s">
        <v>544</v>
      </c>
      <c r="O594" s="587">
        <f>O590*O588</f>
        <v>0</v>
      </c>
      <c r="P594" s="586"/>
      <c r="Q594" s="40"/>
    </row>
    <row r="595" spans="1:17">
      <c r="A595" s="483"/>
      <c r="B595" s="586"/>
      <c r="C595" s="586"/>
      <c r="D595" s="586"/>
      <c r="E595" s="40"/>
      <c r="M595" s="483"/>
      <c r="N595" s="586"/>
      <c r="O595" s="586"/>
      <c r="P595" s="586"/>
      <c r="Q595" s="40"/>
    </row>
    <row r="596" spans="1:17" ht="13.5" thickBot="1">
      <c r="A596" s="484"/>
      <c r="B596" s="489" t="s">
        <v>299</v>
      </c>
      <c r="C596" s="490">
        <f>C594-C586</f>
        <v>0</v>
      </c>
      <c r="D596" s="99"/>
      <c r="E596" s="157"/>
      <c r="M596" s="484"/>
      <c r="N596" s="489" t="s">
        <v>299</v>
      </c>
      <c r="O596" s="490">
        <f>O594-O586</f>
        <v>0</v>
      </c>
      <c r="P596" s="99"/>
      <c r="Q596" s="157"/>
    </row>
    <row r="597" spans="1:17" ht="13" thickBot="1"/>
    <row r="598" spans="1:17" ht="13">
      <c r="A598" s="480">
        <v>36</v>
      </c>
      <c r="B598" s="497" t="s">
        <v>533</v>
      </c>
      <c r="C598" s="497"/>
      <c r="D598" s="497"/>
      <c r="E598" s="498"/>
      <c r="M598" s="480">
        <v>36</v>
      </c>
      <c r="N598" s="497" t="s">
        <v>533</v>
      </c>
      <c r="O598" s="497"/>
      <c r="P598" s="497"/>
      <c r="Q598" s="498"/>
    </row>
    <row r="599" spans="1:17">
      <c r="A599" s="483"/>
      <c r="B599" s="586" t="s">
        <v>534</v>
      </c>
      <c r="C599" s="587">
        <f>SUMIF(Equipos!$Q$6:$Q$55,A598,Equipos!$O$6:$O$55)</f>
        <v>0</v>
      </c>
      <c r="D599" s="586" t="s">
        <v>535</v>
      </c>
      <c r="E599" s="487">
        <v>0.11</v>
      </c>
      <c r="M599" s="483"/>
      <c r="N599" s="586" t="s">
        <v>534</v>
      </c>
      <c r="O599" s="587">
        <f>SUMIF(MATERIALES!$P$6:$P$44,M598,MATERIALES!$N$6:$N$44)</f>
        <v>0</v>
      </c>
      <c r="P599" s="586" t="s">
        <v>535</v>
      </c>
      <c r="Q599" s="487">
        <v>0.11</v>
      </c>
    </row>
    <row r="600" spans="1:17">
      <c r="A600" s="483"/>
      <c r="B600" s="586" t="s">
        <v>536</v>
      </c>
      <c r="C600" s="588">
        <v>0</v>
      </c>
      <c r="D600" s="586" t="s">
        <v>537</v>
      </c>
      <c r="E600" s="487">
        <v>0</v>
      </c>
      <c r="M600" s="483"/>
      <c r="N600" s="586" t="s">
        <v>536</v>
      </c>
      <c r="O600" s="588">
        <v>0</v>
      </c>
      <c r="P600" s="586" t="s">
        <v>537</v>
      </c>
      <c r="Q600" s="487">
        <v>0</v>
      </c>
    </row>
    <row r="601" spans="1:17">
      <c r="A601" s="483"/>
      <c r="B601" s="586" t="s">
        <v>538</v>
      </c>
      <c r="C601" s="588">
        <v>0</v>
      </c>
      <c r="D601" s="586"/>
      <c r="E601" s="40"/>
      <c r="M601" s="483"/>
      <c r="N601" s="586" t="s">
        <v>538</v>
      </c>
      <c r="O601" s="588">
        <v>0</v>
      </c>
      <c r="P601" s="586"/>
      <c r="Q601" s="40"/>
    </row>
    <row r="602" spans="1:17">
      <c r="A602" s="483"/>
      <c r="B602" s="586"/>
      <c r="C602" s="586"/>
      <c r="D602" s="586"/>
      <c r="E602" s="40"/>
      <c r="M602" s="483"/>
      <c r="N602" s="586"/>
      <c r="O602" s="586"/>
      <c r="P602" s="586"/>
      <c r="Q602" s="40"/>
    </row>
    <row r="603" spans="1:17" ht="13">
      <c r="A603" s="483"/>
      <c r="B603" s="589" t="s">
        <v>539</v>
      </c>
      <c r="C603" s="590">
        <f>C599-C600-C601</f>
        <v>0</v>
      </c>
      <c r="D603" s="586"/>
      <c r="E603" s="40"/>
      <c r="M603" s="483"/>
      <c r="N603" s="589" t="s">
        <v>539</v>
      </c>
      <c r="O603" s="590">
        <f>O599-O600-O601</f>
        <v>0</v>
      </c>
      <c r="P603" s="586"/>
      <c r="Q603" s="40"/>
    </row>
    <row r="604" spans="1:17">
      <c r="A604" s="483"/>
      <c r="B604" s="586" t="s">
        <v>540</v>
      </c>
      <c r="C604" s="591">
        <v>4</v>
      </c>
      <c r="D604" s="586"/>
      <c r="E604" s="40"/>
      <c r="M604" s="483"/>
      <c r="N604" s="586" t="s">
        <v>540</v>
      </c>
      <c r="O604" s="591">
        <v>4</v>
      </c>
      <c r="P604" s="586"/>
      <c r="Q604" s="40"/>
    </row>
    <row r="605" spans="1:17">
      <c r="A605" s="483"/>
      <c r="B605" s="586" t="s">
        <v>541</v>
      </c>
      <c r="C605" s="592">
        <f>C604*12</f>
        <v>48</v>
      </c>
      <c r="D605" s="586"/>
      <c r="E605" s="40"/>
      <c r="M605" s="483"/>
      <c r="N605" s="586" t="s">
        <v>541</v>
      </c>
      <c r="O605" s="592">
        <f>O604*12</f>
        <v>48</v>
      </c>
      <c r="P605" s="586"/>
      <c r="Q605" s="40"/>
    </row>
    <row r="606" spans="1:17">
      <c r="A606" s="483"/>
      <c r="B606" s="586"/>
      <c r="C606" s="586"/>
      <c r="D606" s="586"/>
      <c r="E606" s="40"/>
      <c r="M606" s="483"/>
      <c r="N606" s="586"/>
      <c r="O606" s="586"/>
      <c r="P606" s="586"/>
      <c r="Q606" s="40"/>
    </row>
    <row r="607" spans="1:17" ht="13">
      <c r="A607" s="483"/>
      <c r="B607" s="589" t="s">
        <v>542</v>
      </c>
      <c r="C607" s="590">
        <f>-PMT(E599/12,C605,C603)</f>
        <v>0</v>
      </c>
      <c r="D607" s="589" t="s">
        <v>543</v>
      </c>
      <c r="E607" s="488">
        <f>C607*12</f>
        <v>0</v>
      </c>
      <c r="M607" s="483"/>
      <c r="N607" s="589" t="s">
        <v>542</v>
      </c>
      <c r="O607" s="590">
        <f>-PMT(Q599/12,O605,O603)</f>
        <v>0</v>
      </c>
      <c r="P607" s="589" t="s">
        <v>543</v>
      </c>
      <c r="Q607" s="488">
        <f>O607*12</f>
        <v>0</v>
      </c>
    </row>
    <row r="608" spans="1:17">
      <c r="A608" s="483"/>
      <c r="B608" s="586"/>
      <c r="C608" s="586"/>
      <c r="D608" s="586"/>
      <c r="E608" s="40"/>
      <c r="M608" s="483"/>
      <c r="N608" s="586"/>
      <c r="O608" s="586"/>
      <c r="P608" s="586"/>
      <c r="Q608" s="40"/>
    </row>
    <row r="609" spans="1:17">
      <c r="A609" s="483"/>
      <c r="B609" s="586"/>
      <c r="C609" s="586"/>
      <c r="D609" s="586"/>
      <c r="E609" s="40"/>
      <c r="M609" s="483"/>
      <c r="N609" s="586"/>
      <c r="O609" s="586"/>
      <c r="P609" s="586"/>
      <c r="Q609" s="40"/>
    </row>
    <row r="610" spans="1:17">
      <c r="A610" s="483"/>
      <c r="B610" s="586" t="s">
        <v>241</v>
      </c>
      <c r="C610" s="586"/>
      <c r="D610" s="586"/>
      <c r="E610" s="40"/>
      <c r="M610" s="483"/>
      <c r="N610" s="586" t="s">
        <v>241</v>
      </c>
      <c r="O610" s="586"/>
      <c r="P610" s="586"/>
      <c r="Q610" s="40"/>
    </row>
    <row r="611" spans="1:17">
      <c r="A611" s="483"/>
      <c r="B611" s="586" t="s">
        <v>544</v>
      </c>
      <c r="C611" s="587">
        <f>C607*C605</f>
        <v>0</v>
      </c>
      <c r="D611" s="586"/>
      <c r="E611" s="40"/>
      <c r="M611" s="483"/>
      <c r="N611" s="586" t="s">
        <v>544</v>
      </c>
      <c r="O611" s="587">
        <f>O607*O605</f>
        <v>0</v>
      </c>
      <c r="P611" s="586"/>
      <c r="Q611" s="40"/>
    </row>
    <row r="612" spans="1:17">
      <c r="A612" s="483"/>
      <c r="B612" s="586"/>
      <c r="C612" s="586"/>
      <c r="D612" s="586"/>
      <c r="E612" s="40"/>
      <c r="M612" s="483"/>
      <c r="N612" s="586"/>
      <c r="O612" s="586"/>
      <c r="P612" s="586"/>
      <c r="Q612" s="40"/>
    </row>
    <row r="613" spans="1:17" ht="13.5" thickBot="1">
      <c r="A613" s="484"/>
      <c r="B613" s="489" t="s">
        <v>299</v>
      </c>
      <c r="C613" s="490">
        <f>C611-C603</f>
        <v>0</v>
      </c>
      <c r="D613" s="99"/>
      <c r="E613" s="157"/>
      <c r="M613" s="484"/>
      <c r="N613" s="489" t="s">
        <v>299</v>
      </c>
      <c r="O613" s="490">
        <f>O611-O603</f>
        <v>0</v>
      </c>
      <c r="P613" s="99"/>
      <c r="Q613" s="157"/>
    </row>
    <row r="614" spans="1:17" ht="13" thickBot="1"/>
    <row r="615" spans="1:17" ht="13">
      <c r="A615" s="480">
        <v>37</v>
      </c>
      <c r="B615" s="497" t="s">
        <v>533</v>
      </c>
      <c r="C615" s="497"/>
      <c r="D615" s="497"/>
      <c r="E615" s="498"/>
      <c r="M615" s="480">
        <v>37</v>
      </c>
      <c r="N615" s="497" t="s">
        <v>533</v>
      </c>
      <c r="O615" s="497"/>
      <c r="P615" s="497"/>
      <c r="Q615" s="498"/>
    </row>
    <row r="616" spans="1:17">
      <c r="A616" s="483"/>
      <c r="B616" s="586" t="s">
        <v>534</v>
      </c>
      <c r="C616" s="587">
        <f>SUMIF(Equipos!$Q$6:$Q$55,A615,Equipos!$O$6:$O$55)</f>
        <v>0</v>
      </c>
      <c r="D616" s="586" t="s">
        <v>535</v>
      </c>
      <c r="E616" s="487">
        <v>0.11</v>
      </c>
      <c r="M616" s="483"/>
      <c r="N616" s="586" t="s">
        <v>534</v>
      </c>
      <c r="O616" s="587">
        <f>SUMIF(MATERIALES!$P$6:$P$44,M615,MATERIALES!$N$6:$N$44)</f>
        <v>0</v>
      </c>
      <c r="P616" s="586" t="s">
        <v>535</v>
      </c>
      <c r="Q616" s="487">
        <v>0.11</v>
      </c>
    </row>
    <row r="617" spans="1:17">
      <c r="A617" s="483"/>
      <c r="B617" s="586" t="s">
        <v>536</v>
      </c>
      <c r="C617" s="588">
        <v>0</v>
      </c>
      <c r="D617" s="586" t="s">
        <v>537</v>
      </c>
      <c r="E617" s="487">
        <v>0</v>
      </c>
      <c r="M617" s="483"/>
      <c r="N617" s="586" t="s">
        <v>536</v>
      </c>
      <c r="O617" s="588">
        <v>0</v>
      </c>
      <c r="P617" s="586" t="s">
        <v>537</v>
      </c>
      <c r="Q617" s="487">
        <v>0</v>
      </c>
    </row>
    <row r="618" spans="1:17">
      <c r="A618" s="483"/>
      <c r="B618" s="586" t="s">
        <v>538</v>
      </c>
      <c r="C618" s="588">
        <v>0</v>
      </c>
      <c r="D618" s="586"/>
      <c r="E618" s="40"/>
      <c r="M618" s="483"/>
      <c r="N618" s="586" t="s">
        <v>538</v>
      </c>
      <c r="O618" s="588">
        <v>0</v>
      </c>
      <c r="P618" s="586"/>
      <c r="Q618" s="40"/>
    </row>
    <row r="619" spans="1:17">
      <c r="A619" s="483"/>
      <c r="B619" s="586"/>
      <c r="C619" s="586"/>
      <c r="D619" s="586"/>
      <c r="E619" s="40"/>
      <c r="M619" s="483"/>
      <c r="N619" s="586"/>
      <c r="O619" s="586"/>
      <c r="P619" s="586"/>
      <c r="Q619" s="40"/>
    </row>
    <row r="620" spans="1:17" ht="13">
      <c r="A620" s="483"/>
      <c r="B620" s="589" t="s">
        <v>539</v>
      </c>
      <c r="C620" s="590">
        <f>C616-C617-C618</f>
        <v>0</v>
      </c>
      <c r="D620" s="586"/>
      <c r="E620" s="40"/>
      <c r="M620" s="483"/>
      <c r="N620" s="589" t="s">
        <v>539</v>
      </c>
      <c r="O620" s="590">
        <f>O616-O617-O618</f>
        <v>0</v>
      </c>
      <c r="P620" s="586"/>
      <c r="Q620" s="40"/>
    </row>
    <row r="621" spans="1:17">
      <c r="A621" s="483"/>
      <c r="B621" s="586" t="s">
        <v>540</v>
      </c>
      <c r="C621" s="591">
        <v>4</v>
      </c>
      <c r="D621" s="586"/>
      <c r="E621" s="40"/>
      <c r="M621" s="483"/>
      <c r="N621" s="586" t="s">
        <v>540</v>
      </c>
      <c r="O621" s="591">
        <v>4</v>
      </c>
      <c r="P621" s="586"/>
      <c r="Q621" s="40"/>
    </row>
    <row r="622" spans="1:17">
      <c r="A622" s="483"/>
      <c r="B622" s="586" t="s">
        <v>541</v>
      </c>
      <c r="C622" s="592">
        <f>C621*12</f>
        <v>48</v>
      </c>
      <c r="D622" s="586"/>
      <c r="E622" s="40"/>
      <c r="M622" s="483"/>
      <c r="N622" s="586" t="s">
        <v>541</v>
      </c>
      <c r="O622" s="592">
        <f>O621*12</f>
        <v>48</v>
      </c>
      <c r="P622" s="586"/>
      <c r="Q622" s="40"/>
    </row>
    <row r="623" spans="1:17">
      <c r="A623" s="483"/>
      <c r="B623" s="586"/>
      <c r="C623" s="586"/>
      <c r="D623" s="586"/>
      <c r="E623" s="40"/>
      <c r="M623" s="483"/>
      <c r="N623" s="586"/>
      <c r="O623" s="586"/>
      <c r="P623" s="586"/>
      <c r="Q623" s="40"/>
    </row>
    <row r="624" spans="1:17" ht="13">
      <c r="A624" s="483"/>
      <c r="B624" s="589" t="s">
        <v>542</v>
      </c>
      <c r="C624" s="590">
        <f>-PMT(E616/12,C622,C620)</f>
        <v>0</v>
      </c>
      <c r="D624" s="589" t="s">
        <v>543</v>
      </c>
      <c r="E624" s="488">
        <f>C624*12</f>
        <v>0</v>
      </c>
      <c r="M624" s="483"/>
      <c r="N624" s="589" t="s">
        <v>542</v>
      </c>
      <c r="O624" s="590">
        <f>-PMT(Q616/12,O622,O620)</f>
        <v>0</v>
      </c>
      <c r="P624" s="589" t="s">
        <v>543</v>
      </c>
      <c r="Q624" s="488">
        <f>O624*12</f>
        <v>0</v>
      </c>
    </row>
    <row r="625" spans="1:17">
      <c r="A625" s="483"/>
      <c r="B625" s="586"/>
      <c r="C625" s="586"/>
      <c r="D625" s="586"/>
      <c r="E625" s="40"/>
      <c r="M625" s="483"/>
      <c r="N625" s="586"/>
      <c r="O625" s="586"/>
      <c r="P625" s="586"/>
      <c r="Q625" s="40"/>
    </row>
    <row r="626" spans="1:17">
      <c r="A626" s="483"/>
      <c r="B626" s="586"/>
      <c r="C626" s="586"/>
      <c r="D626" s="586"/>
      <c r="E626" s="40"/>
      <c r="M626" s="483"/>
      <c r="N626" s="586"/>
      <c r="O626" s="586"/>
      <c r="P626" s="586"/>
      <c r="Q626" s="40"/>
    </row>
    <row r="627" spans="1:17">
      <c r="A627" s="483"/>
      <c r="B627" s="586" t="s">
        <v>241</v>
      </c>
      <c r="C627" s="586"/>
      <c r="D627" s="586"/>
      <c r="E627" s="40"/>
      <c r="M627" s="483"/>
      <c r="N627" s="586" t="s">
        <v>241</v>
      </c>
      <c r="O627" s="586"/>
      <c r="P627" s="586"/>
      <c r="Q627" s="40"/>
    </row>
    <row r="628" spans="1:17">
      <c r="A628" s="483"/>
      <c r="B628" s="586" t="s">
        <v>544</v>
      </c>
      <c r="C628" s="587">
        <f>C624*C622</f>
        <v>0</v>
      </c>
      <c r="D628" s="586"/>
      <c r="E628" s="40"/>
      <c r="M628" s="483"/>
      <c r="N628" s="586" t="s">
        <v>544</v>
      </c>
      <c r="O628" s="587">
        <f>O624*O622</f>
        <v>0</v>
      </c>
      <c r="P628" s="586"/>
      <c r="Q628" s="40"/>
    </row>
    <row r="629" spans="1:17">
      <c r="A629" s="483"/>
      <c r="B629" s="586"/>
      <c r="C629" s="586"/>
      <c r="D629" s="586"/>
      <c r="E629" s="40"/>
      <c r="M629" s="483"/>
      <c r="N629" s="586"/>
      <c r="O629" s="586"/>
      <c r="P629" s="586"/>
      <c r="Q629" s="40"/>
    </row>
    <row r="630" spans="1:17" ht="13.5" thickBot="1">
      <c r="A630" s="484"/>
      <c r="B630" s="489" t="s">
        <v>299</v>
      </c>
      <c r="C630" s="490">
        <f>C628-C620</f>
        <v>0</v>
      </c>
      <c r="D630" s="99"/>
      <c r="E630" s="157"/>
      <c r="M630" s="484"/>
      <c r="N630" s="489" t="s">
        <v>299</v>
      </c>
      <c r="O630" s="490">
        <f>O628-O620</f>
        <v>0</v>
      </c>
      <c r="P630" s="99"/>
      <c r="Q630" s="157"/>
    </row>
    <row r="631" spans="1:17" ht="13" thickBot="1"/>
    <row r="632" spans="1:17" ht="13">
      <c r="A632" s="480">
        <v>38</v>
      </c>
      <c r="B632" s="497" t="s">
        <v>533</v>
      </c>
      <c r="C632" s="497"/>
      <c r="D632" s="497"/>
      <c r="E632" s="498"/>
      <c r="M632" s="480">
        <v>38</v>
      </c>
      <c r="N632" s="497" t="s">
        <v>533</v>
      </c>
      <c r="O632" s="497"/>
      <c r="P632" s="497"/>
      <c r="Q632" s="498"/>
    </row>
    <row r="633" spans="1:17">
      <c r="A633" s="483"/>
      <c r="B633" s="586" t="s">
        <v>534</v>
      </c>
      <c r="C633" s="587">
        <f>SUMIF(Equipos!$Q$6:$Q$55,A632,Equipos!$O$6:$O$55)</f>
        <v>0</v>
      </c>
      <c r="D633" s="586" t="s">
        <v>535</v>
      </c>
      <c r="E633" s="487">
        <v>0.11</v>
      </c>
      <c r="M633" s="483"/>
      <c r="N633" s="586" t="s">
        <v>534</v>
      </c>
      <c r="O633" s="587">
        <f>SUMIF(MATERIALES!$P$6:$P$44,M632,MATERIALES!$N$6:$N$44)</f>
        <v>0</v>
      </c>
      <c r="P633" s="586" t="s">
        <v>535</v>
      </c>
      <c r="Q633" s="487">
        <v>0.11</v>
      </c>
    </row>
    <row r="634" spans="1:17">
      <c r="A634" s="483"/>
      <c r="B634" s="586" t="s">
        <v>536</v>
      </c>
      <c r="C634" s="588">
        <v>0</v>
      </c>
      <c r="D634" s="586" t="s">
        <v>537</v>
      </c>
      <c r="E634" s="487">
        <v>0</v>
      </c>
      <c r="M634" s="483"/>
      <c r="N634" s="586" t="s">
        <v>536</v>
      </c>
      <c r="O634" s="588">
        <v>0</v>
      </c>
      <c r="P634" s="586" t="s">
        <v>537</v>
      </c>
      <c r="Q634" s="487">
        <v>0</v>
      </c>
    </row>
    <row r="635" spans="1:17">
      <c r="A635" s="483"/>
      <c r="B635" s="586" t="s">
        <v>538</v>
      </c>
      <c r="C635" s="588">
        <v>0</v>
      </c>
      <c r="D635" s="586"/>
      <c r="E635" s="40"/>
      <c r="M635" s="483"/>
      <c r="N635" s="586" t="s">
        <v>538</v>
      </c>
      <c r="O635" s="588">
        <v>0</v>
      </c>
      <c r="P635" s="586"/>
      <c r="Q635" s="40"/>
    </row>
    <row r="636" spans="1:17">
      <c r="A636" s="483"/>
      <c r="B636" s="586"/>
      <c r="C636" s="586"/>
      <c r="D636" s="586"/>
      <c r="E636" s="40"/>
      <c r="M636" s="483"/>
      <c r="N636" s="586"/>
      <c r="O636" s="586"/>
      <c r="P636" s="586"/>
      <c r="Q636" s="40"/>
    </row>
    <row r="637" spans="1:17" ht="13">
      <c r="A637" s="483"/>
      <c r="B637" s="589" t="s">
        <v>539</v>
      </c>
      <c r="C637" s="590">
        <f>C633-C634-C635</f>
        <v>0</v>
      </c>
      <c r="D637" s="586"/>
      <c r="E637" s="40"/>
      <c r="M637" s="483"/>
      <c r="N637" s="589" t="s">
        <v>539</v>
      </c>
      <c r="O637" s="590">
        <f>O633-O634-O635</f>
        <v>0</v>
      </c>
      <c r="P637" s="586"/>
      <c r="Q637" s="40"/>
    </row>
    <row r="638" spans="1:17">
      <c r="A638" s="483"/>
      <c r="B638" s="586" t="s">
        <v>540</v>
      </c>
      <c r="C638" s="591">
        <v>4</v>
      </c>
      <c r="D638" s="586"/>
      <c r="E638" s="40"/>
      <c r="M638" s="483"/>
      <c r="N638" s="586" t="s">
        <v>540</v>
      </c>
      <c r="O638" s="591">
        <v>4</v>
      </c>
      <c r="P638" s="586"/>
      <c r="Q638" s="40"/>
    </row>
    <row r="639" spans="1:17">
      <c r="A639" s="483"/>
      <c r="B639" s="586" t="s">
        <v>541</v>
      </c>
      <c r="C639" s="592">
        <f>C638*12</f>
        <v>48</v>
      </c>
      <c r="D639" s="586"/>
      <c r="E639" s="40"/>
      <c r="M639" s="483"/>
      <c r="N639" s="586" t="s">
        <v>541</v>
      </c>
      <c r="O639" s="592">
        <f>O638*12</f>
        <v>48</v>
      </c>
      <c r="P639" s="586"/>
      <c r="Q639" s="40"/>
    </row>
    <row r="640" spans="1:17">
      <c r="A640" s="483"/>
      <c r="B640" s="586"/>
      <c r="C640" s="586"/>
      <c r="D640" s="586"/>
      <c r="E640" s="40"/>
      <c r="M640" s="483"/>
      <c r="N640" s="586"/>
      <c r="O640" s="586"/>
      <c r="P640" s="586"/>
      <c r="Q640" s="40"/>
    </row>
    <row r="641" spans="1:17" ht="13">
      <c r="A641" s="483"/>
      <c r="B641" s="589" t="s">
        <v>542</v>
      </c>
      <c r="C641" s="590">
        <f>-PMT(E633/12,C639,C637)</f>
        <v>0</v>
      </c>
      <c r="D641" s="589" t="s">
        <v>543</v>
      </c>
      <c r="E641" s="488">
        <f>C641*12</f>
        <v>0</v>
      </c>
      <c r="M641" s="483"/>
      <c r="N641" s="589" t="s">
        <v>542</v>
      </c>
      <c r="O641" s="590">
        <f>-PMT(Q633/12,O639,O637)</f>
        <v>0</v>
      </c>
      <c r="P641" s="589" t="s">
        <v>543</v>
      </c>
      <c r="Q641" s="488">
        <f>O641*12</f>
        <v>0</v>
      </c>
    </row>
    <row r="642" spans="1:17">
      <c r="A642" s="483"/>
      <c r="B642" s="586"/>
      <c r="C642" s="586"/>
      <c r="D642" s="586"/>
      <c r="E642" s="40"/>
      <c r="M642" s="483"/>
      <c r="N642" s="586"/>
      <c r="O642" s="586"/>
      <c r="P642" s="586"/>
      <c r="Q642" s="40"/>
    </row>
    <row r="643" spans="1:17">
      <c r="A643" s="483"/>
      <c r="B643" s="586"/>
      <c r="C643" s="586"/>
      <c r="D643" s="586"/>
      <c r="E643" s="40"/>
      <c r="M643" s="483"/>
      <c r="N643" s="586"/>
      <c r="O643" s="586"/>
      <c r="P643" s="586"/>
      <c r="Q643" s="40"/>
    </row>
    <row r="644" spans="1:17">
      <c r="A644" s="483"/>
      <c r="B644" s="586" t="s">
        <v>241</v>
      </c>
      <c r="C644" s="586"/>
      <c r="D644" s="586"/>
      <c r="E644" s="40"/>
      <c r="M644" s="483"/>
      <c r="N644" s="586" t="s">
        <v>241</v>
      </c>
      <c r="O644" s="586"/>
      <c r="P644" s="586"/>
      <c r="Q644" s="40"/>
    </row>
    <row r="645" spans="1:17">
      <c r="A645" s="483"/>
      <c r="B645" s="586" t="s">
        <v>544</v>
      </c>
      <c r="C645" s="587">
        <f>C641*C639</f>
        <v>0</v>
      </c>
      <c r="D645" s="586"/>
      <c r="E645" s="40"/>
      <c r="M645" s="483"/>
      <c r="N645" s="586" t="s">
        <v>544</v>
      </c>
      <c r="O645" s="587">
        <f>O641*O639</f>
        <v>0</v>
      </c>
      <c r="P645" s="586"/>
      <c r="Q645" s="40"/>
    </row>
    <row r="646" spans="1:17">
      <c r="A646" s="483"/>
      <c r="B646" s="586"/>
      <c r="C646" s="586"/>
      <c r="D646" s="586"/>
      <c r="E646" s="40"/>
      <c r="M646" s="483"/>
      <c r="N646" s="586"/>
      <c r="O646" s="586"/>
      <c r="P646" s="586"/>
      <c r="Q646" s="40"/>
    </row>
    <row r="647" spans="1:17" ht="13.5" thickBot="1">
      <c r="A647" s="484"/>
      <c r="B647" s="489" t="s">
        <v>299</v>
      </c>
      <c r="C647" s="490">
        <f>C645-C637</f>
        <v>0</v>
      </c>
      <c r="D647" s="99"/>
      <c r="E647" s="157"/>
      <c r="M647" s="484"/>
      <c r="N647" s="489" t="s">
        <v>299</v>
      </c>
      <c r="O647" s="490">
        <f>O645-O637</f>
        <v>0</v>
      </c>
      <c r="P647" s="99"/>
      <c r="Q647" s="157"/>
    </row>
    <row r="648" spans="1:17" ht="13" thickBot="1"/>
    <row r="649" spans="1:17" ht="13">
      <c r="A649" s="480">
        <v>39</v>
      </c>
      <c r="B649" s="497" t="s">
        <v>533</v>
      </c>
      <c r="C649" s="497"/>
      <c r="D649" s="497"/>
      <c r="E649" s="498"/>
      <c r="M649" s="480">
        <v>39</v>
      </c>
      <c r="N649" s="497" t="s">
        <v>533</v>
      </c>
      <c r="O649" s="497"/>
      <c r="P649" s="497"/>
      <c r="Q649" s="498"/>
    </row>
    <row r="650" spans="1:17">
      <c r="A650" s="483"/>
      <c r="B650" s="586" t="s">
        <v>534</v>
      </c>
      <c r="C650" s="587">
        <f>SUMIF(Equipos!$Q$6:$Q$55,A649,Equipos!$O$6:$O$55)</f>
        <v>0</v>
      </c>
      <c r="D650" s="586" t="s">
        <v>535</v>
      </c>
      <c r="E650" s="487">
        <v>0.11</v>
      </c>
      <c r="M650" s="483"/>
      <c r="N650" s="586" t="s">
        <v>534</v>
      </c>
      <c r="O650" s="587">
        <f>SUMIF(MATERIALES!$P$6:$P$44,M649,MATERIALES!$N$6:$N$44)</f>
        <v>0</v>
      </c>
      <c r="P650" s="586" t="s">
        <v>535</v>
      </c>
      <c r="Q650" s="487">
        <v>0.11</v>
      </c>
    </row>
    <row r="651" spans="1:17">
      <c r="A651" s="483"/>
      <c r="B651" s="586" t="s">
        <v>536</v>
      </c>
      <c r="C651" s="588">
        <v>0</v>
      </c>
      <c r="D651" s="586" t="s">
        <v>537</v>
      </c>
      <c r="E651" s="487">
        <v>0</v>
      </c>
      <c r="M651" s="483"/>
      <c r="N651" s="586" t="s">
        <v>536</v>
      </c>
      <c r="O651" s="588">
        <v>0</v>
      </c>
      <c r="P651" s="586" t="s">
        <v>537</v>
      </c>
      <c r="Q651" s="487">
        <v>0</v>
      </c>
    </row>
    <row r="652" spans="1:17">
      <c r="A652" s="483"/>
      <c r="B652" s="586" t="s">
        <v>538</v>
      </c>
      <c r="C652" s="588">
        <v>0</v>
      </c>
      <c r="D652" s="586"/>
      <c r="E652" s="40"/>
      <c r="M652" s="483"/>
      <c r="N652" s="586" t="s">
        <v>538</v>
      </c>
      <c r="O652" s="588">
        <v>0</v>
      </c>
      <c r="P652" s="586"/>
      <c r="Q652" s="40"/>
    </row>
    <row r="653" spans="1:17">
      <c r="A653" s="483"/>
      <c r="B653" s="586"/>
      <c r="C653" s="586"/>
      <c r="D653" s="586"/>
      <c r="E653" s="40"/>
      <c r="M653" s="483"/>
      <c r="N653" s="586"/>
      <c r="O653" s="586"/>
      <c r="P653" s="586"/>
      <c r="Q653" s="40"/>
    </row>
    <row r="654" spans="1:17" ht="13">
      <c r="A654" s="483"/>
      <c r="B654" s="589" t="s">
        <v>539</v>
      </c>
      <c r="C654" s="590">
        <f>C650-C651-C652</f>
        <v>0</v>
      </c>
      <c r="D654" s="586"/>
      <c r="E654" s="40"/>
      <c r="M654" s="483"/>
      <c r="N654" s="589" t="s">
        <v>539</v>
      </c>
      <c r="O654" s="590">
        <f>O650-O651-O652</f>
        <v>0</v>
      </c>
      <c r="P654" s="586"/>
      <c r="Q654" s="40"/>
    </row>
    <row r="655" spans="1:17">
      <c r="A655" s="483"/>
      <c r="B655" s="586" t="s">
        <v>540</v>
      </c>
      <c r="C655" s="591">
        <v>4</v>
      </c>
      <c r="D655" s="586"/>
      <c r="E655" s="40"/>
      <c r="M655" s="483"/>
      <c r="N655" s="586" t="s">
        <v>540</v>
      </c>
      <c r="O655" s="591">
        <v>4</v>
      </c>
      <c r="P655" s="586"/>
      <c r="Q655" s="40"/>
    </row>
    <row r="656" spans="1:17">
      <c r="A656" s="483"/>
      <c r="B656" s="586" t="s">
        <v>541</v>
      </c>
      <c r="C656" s="592">
        <f>C655*12</f>
        <v>48</v>
      </c>
      <c r="D656" s="586"/>
      <c r="E656" s="40"/>
      <c r="M656" s="483"/>
      <c r="N656" s="586" t="s">
        <v>541</v>
      </c>
      <c r="O656" s="592">
        <f>O655*12</f>
        <v>48</v>
      </c>
      <c r="P656" s="586"/>
      <c r="Q656" s="40"/>
    </row>
    <row r="657" spans="1:17">
      <c r="A657" s="483"/>
      <c r="B657" s="586"/>
      <c r="C657" s="586"/>
      <c r="D657" s="586"/>
      <c r="E657" s="40"/>
      <c r="M657" s="483"/>
      <c r="N657" s="586"/>
      <c r="O657" s="586"/>
      <c r="P657" s="586"/>
      <c r="Q657" s="40"/>
    </row>
    <row r="658" spans="1:17" ht="13">
      <c r="A658" s="483"/>
      <c r="B658" s="589" t="s">
        <v>542</v>
      </c>
      <c r="C658" s="590">
        <f>-PMT(E650/12,C656,C654)</f>
        <v>0</v>
      </c>
      <c r="D658" s="589" t="s">
        <v>543</v>
      </c>
      <c r="E658" s="488">
        <f>C658*12</f>
        <v>0</v>
      </c>
      <c r="M658" s="483"/>
      <c r="N658" s="589" t="s">
        <v>542</v>
      </c>
      <c r="O658" s="590">
        <f>-PMT(Q650/12,O656,O654)</f>
        <v>0</v>
      </c>
      <c r="P658" s="589" t="s">
        <v>543</v>
      </c>
      <c r="Q658" s="488">
        <f>O658*12</f>
        <v>0</v>
      </c>
    </row>
    <row r="659" spans="1:17">
      <c r="A659" s="483"/>
      <c r="B659" s="586"/>
      <c r="C659" s="586"/>
      <c r="D659" s="586"/>
      <c r="E659" s="40"/>
      <c r="M659" s="483"/>
      <c r="N659" s="586"/>
      <c r="O659" s="586"/>
      <c r="P659" s="586"/>
      <c r="Q659" s="40"/>
    </row>
    <row r="660" spans="1:17">
      <c r="A660" s="483"/>
      <c r="B660" s="586"/>
      <c r="C660" s="586"/>
      <c r="D660" s="586"/>
      <c r="E660" s="40"/>
      <c r="M660" s="483"/>
      <c r="N660" s="586"/>
      <c r="O660" s="586"/>
      <c r="P660" s="586"/>
      <c r="Q660" s="40"/>
    </row>
    <row r="661" spans="1:17">
      <c r="A661" s="483"/>
      <c r="B661" s="586" t="s">
        <v>241</v>
      </c>
      <c r="C661" s="586"/>
      <c r="D661" s="586"/>
      <c r="E661" s="40"/>
      <c r="M661" s="483"/>
      <c r="N661" s="586" t="s">
        <v>241</v>
      </c>
      <c r="O661" s="586"/>
      <c r="P661" s="586"/>
      <c r="Q661" s="40"/>
    </row>
    <row r="662" spans="1:17">
      <c r="A662" s="483"/>
      <c r="B662" s="586" t="s">
        <v>544</v>
      </c>
      <c r="C662" s="587">
        <f>C658*C656</f>
        <v>0</v>
      </c>
      <c r="D662" s="586"/>
      <c r="E662" s="40"/>
      <c r="M662" s="483"/>
      <c r="N662" s="586" t="s">
        <v>544</v>
      </c>
      <c r="O662" s="587">
        <f>O658*O656</f>
        <v>0</v>
      </c>
      <c r="P662" s="586"/>
      <c r="Q662" s="40"/>
    </row>
    <row r="663" spans="1:17">
      <c r="A663" s="483"/>
      <c r="B663" s="586"/>
      <c r="C663" s="586"/>
      <c r="D663" s="586"/>
      <c r="E663" s="40"/>
      <c r="M663" s="483"/>
      <c r="N663" s="586"/>
      <c r="O663" s="586"/>
      <c r="P663" s="586"/>
      <c r="Q663" s="40"/>
    </row>
    <row r="664" spans="1:17" ht="13.5" thickBot="1">
      <c r="A664" s="484"/>
      <c r="B664" s="489" t="s">
        <v>299</v>
      </c>
      <c r="C664" s="490">
        <f>C662-C654</f>
        <v>0</v>
      </c>
      <c r="D664" s="99"/>
      <c r="E664" s="157"/>
      <c r="M664" s="484"/>
      <c r="N664" s="489" t="s">
        <v>299</v>
      </c>
      <c r="O664" s="490">
        <f>O662-O654</f>
        <v>0</v>
      </c>
      <c r="P664" s="99"/>
      <c r="Q664" s="157"/>
    </row>
    <row r="665" spans="1:17" ht="13" thickBot="1"/>
    <row r="666" spans="1:17" ht="13">
      <c r="A666" s="480">
        <v>40</v>
      </c>
      <c r="B666" s="497" t="s">
        <v>533</v>
      </c>
      <c r="C666" s="497"/>
      <c r="D666" s="497"/>
      <c r="E666" s="498"/>
    </row>
    <row r="667" spans="1:17">
      <c r="A667" s="483"/>
      <c r="B667" s="586" t="s">
        <v>534</v>
      </c>
      <c r="C667" s="587">
        <f>SUMIF(Equipos!$Q$6:$Q$55,A666,Equipos!$O$6:$O$55)</f>
        <v>0</v>
      </c>
      <c r="D667" s="586" t="s">
        <v>535</v>
      </c>
      <c r="E667" s="487">
        <v>0.11</v>
      </c>
    </row>
    <row r="668" spans="1:17">
      <c r="A668" s="483"/>
      <c r="B668" s="586" t="s">
        <v>536</v>
      </c>
      <c r="C668" s="588">
        <v>0</v>
      </c>
      <c r="D668" s="586" t="s">
        <v>537</v>
      </c>
      <c r="E668" s="487">
        <v>0</v>
      </c>
    </row>
    <row r="669" spans="1:17">
      <c r="A669" s="483"/>
      <c r="B669" s="586" t="s">
        <v>538</v>
      </c>
      <c r="C669" s="588">
        <v>0</v>
      </c>
      <c r="D669" s="586"/>
      <c r="E669" s="40"/>
    </row>
    <row r="670" spans="1:17">
      <c r="A670" s="483"/>
      <c r="B670" s="586"/>
      <c r="C670" s="586"/>
      <c r="D670" s="586"/>
      <c r="E670" s="40"/>
    </row>
    <row r="671" spans="1:17" ht="13">
      <c r="A671" s="483"/>
      <c r="B671" s="589" t="s">
        <v>539</v>
      </c>
      <c r="C671" s="590">
        <f>C667-C668-C669</f>
        <v>0</v>
      </c>
      <c r="D671" s="586"/>
      <c r="E671" s="40"/>
    </row>
    <row r="672" spans="1:17">
      <c r="A672" s="483"/>
      <c r="B672" s="586" t="s">
        <v>540</v>
      </c>
      <c r="C672" s="591">
        <v>4</v>
      </c>
      <c r="D672" s="586"/>
      <c r="E672" s="40"/>
    </row>
    <row r="673" spans="1:5">
      <c r="A673" s="483"/>
      <c r="B673" s="586" t="s">
        <v>541</v>
      </c>
      <c r="C673" s="592">
        <f>C672*12</f>
        <v>48</v>
      </c>
      <c r="D673" s="586"/>
      <c r="E673" s="40"/>
    </row>
    <row r="674" spans="1:5">
      <c r="A674" s="483"/>
      <c r="B674" s="586"/>
      <c r="C674" s="586"/>
      <c r="D674" s="586"/>
      <c r="E674" s="40"/>
    </row>
    <row r="675" spans="1:5" ht="13">
      <c r="A675" s="483"/>
      <c r="B675" s="589" t="s">
        <v>542</v>
      </c>
      <c r="C675" s="590">
        <f>-PMT(E667/12,C673,C671)</f>
        <v>0</v>
      </c>
      <c r="D675" s="589" t="s">
        <v>543</v>
      </c>
      <c r="E675" s="488">
        <f>C675*12</f>
        <v>0</v>
      </c>
    </row>
    <row r="676" spans="1:5">
      <c r="A676" s="483"/>
      <c r="B676" s="586"/>
      <c r="C676" s="586"/>
      <c r="D676" s="586"/>
      <c r="E676" s="40"/>
    </row>
    <row r="677" spans="1:5">
      <c r="A677" s="483"/>
      <c r="B677" s="586"/>
      <c r="C677" s="586"/>
      <c r="D677" s="586"/>
      <c r="E677" s="40"/>
    </row>
    <row r="678" spans="1:5">
      <c r="A678" s="483"/>
      <c r="B678" s="586" t="s">
        <v>241</v>
      </c>
      <c r="C678" s="586"/>
      <c r="D678" s="586"/>
      <c r="E678" s="40"/>
    </row>
    <row r="679" spans="1:5">
      <c r="A679" s="483"/>
      <c r="B679" s="586" t="s">
        <v>544</v>
      </c>
      <c r="C679" s="587">
        <f>C675*C673</f>
        <v>0</v>
      </c>
      <c r="D679" s="586"/>
      <c r="E679" s="40"/>
    </row>
    <row r="680" spans="1:5">
      <c r="A680" s="483"/>
      <c r="B680" s="586"/>
      <c r="C680" s="586"/>
      <c r="D680" s="586"/>
      <c r="E680" s="40"/>
    </row>
    <row r="681" spans="1:5" ht="13.5" thickBot="1">
      <c r="A681" s="484"/>
      <c r="B681" s="489" t="s">
        <v>299</v>
      </c>
      <c r="C681" s="490">
        <f>C679-C671</f>
        <v>0</v>
      </c>
      <c r="D681" s="99"/>
      <c r="E681" s="157"/>
    </row>
    <row r="682" spans="1:5" ht="13" thickBot="1"/>
    <row r="683" spans="1:5" ht="13">
      <c r="A683" s="480">
        <v>41</v>
      </c>
      <c r="B683" s="497" t="s">
        <v>533</v>
      </c>
      <c r="C683" s="497"/>
      <c r="D683" s="497"/>
      <c r="E683" s="498"/>
    </row>
    <row r="684" spans="1:5">
      <c r="A684" s="483"/>
      <c r="B684" s="586" t="s">
        <v>534</v>
      </c>
      <c r="C684" s="587">
        <f>SUMIF(Equipos!$Q$6:$Q$55,A683,Equipos!$O$6:$O$55)</f>
        <v>0</v>
      </c>
      <c r="D684" s="586" t="s">
        <v>535</v>
      </c>
      <c r="E684" s="487">
        <v>0.11</v>
      </c>
    </row>
    <row r="685" spans="1:5">
      <c r="A685" s="483"/>
      <c r="B685" s="586" t="s">
        <v>536</v>
      </c>
      <c r="C685" s="588">
        <v>0</v>
      </c>
      <c r="D685" s="586" t="s">
        <v>537</v>
      </c>
      <c r="E685" s="487">
        <v>0</v>
      </c>
    </row>
    <row r="686" spans="1:5">
      <c r="A686" s="483"/>
      <c r="B686" s="586" t="s">
        <v>538</v>
      </c>
      <c r="C686" s="588">
        <v>0</v>
      </c>
      <c r="D686" s="586"/>
      <c r="E686" s="40"/>
    </row>
    <row r="687" spans="1:5">
      <c r="A687" s="483"/>
      <c r="B687" s="586"/>
      <c r="C687" s="586"/>
      <c r="D687" s="586"/>
      <c r="E687" s="40"/>
    </row>
    <row r="688" spans="1:5" ht="13">
      <c r="A688" s="483"/>
      <c r="B688" s="589" t="s">
        <v>539</v>
      </c>
      <c r="C688" s="590">
        <f>C684-C685-C686</f>
        <v>0</v>
      </c>
      <c r="D688" s="586"/>
      <c r="E688" s="40"/>
    </row>
    <row r="689" spans="1:5">
      <c r="A689" s="483"/>
      <c r="B689" s="586" t="s">
        <v>540</v>
      </c>
      <c r="C689" s="591">
        <v>4</v>
      </c>
      <c r="D689" s="586"/>
      <c r="E689" s="40"/>
    </row>
    <row r="690" spans="1:5">
      <c r="A690" s="483"/>
      <c r="B690" s="586" t="s">
        <v>541</v>
      </c>
      <c r="C690" s="592">
        <f>C689*12</f>
        <v>48</v>
      </c>
      <c r="D690" s="586"/>
      <c r="E690" s="40"/>
    </row>
    <row r="691" spans="1:5">
      <c r="A691" s="483"/>
      <c r="B691" s="586"/>
      <c r="C691" s="586"/>
      <c r="D691" s="586"/>
      <c r="E691" s="40"/>
    </row>
    <row r="692" spans="1:5" ht="13">
      <c r="A692" s="483"/>
      <c r="B692" s="589" t="s">
        <v>542</v>
      </c>
      <c r="C692" s="590">
        <f>-PMT(E684/12,C690,C688)</f>
        <v>0</v>
      </c>
      <c r="D692" s="589" t="s">
        <v>543</v>
      </c>
      <c r="E692" s="488">
        <f>C692*12</f>
        <v>0</v>
      </c>
    </row>
    <row r="693" spans="1:5">
      <c r="A693" s="483"/>
      <c r="B693" s="586"/>
      <c r="C693" s="586"/>
      <c r="D693" s="586"/>
      <c r="E693" s="40"/>
    </row>
    <row r="694" spans="1:5">
      <c r="A694" s="483"/>
      <c r="B694" s="586"/>
      <c r="C694" s="586"/>
      <c r="D694" s="586"/>
      <c r="E694" s="40"/>
    </row>
    <row r="695" spans="1:5">
      <c r="A695" s="483"/>
      <c r="B695" s="586" t="s">
        <v>241</v>
      </c>
      <c r="C695" s="586"/>
      <c r="D695" s="586"/>
      <c r="E695" s="40"/>
    </row>
    <row r="696" spans="1:5">
      <c r="A696" s="483"/>
      <c r="B696" s="586" t="s">
        <v>544</v>
      </c>
      <c r="C696" s="587">
        <f>C692*C690</f>
        <v>0</v>
      </c>
      <c r="D696" s="586"/>
      <c r="E696" s="40"/>
    </row>
    <row r="697" spans="1:5">
      <c r="A697" s="483"/>
      <c r="B697" s="586"/>
      <c r="C697" s="586"/>
      <c r="D697" s="586"/>
      <c r="E697" s="40"/>
    </row>
    <row r="698" spans="1:5" ht="13.5" thickBot="1">
      <c r="A698" s="484"/>
      <c r="B698" s="489" t="s">
        <v>299</v>
      </c>
      <c r="C698" s="490">
        <f>C696-C688</f>
        <v>0</v>
      </c>
      <c r="D698" s="99"/>
      <c r="E698" s="157"/>
    </row>
    <row r="699" spans="1:5" ht="13" thickBot="1"/>
    <row r="700" spans="1:5" ht="13">
      <c r="A700" s="480">
        <v>42</v>
      </c>
      <c r="B700" s="497" t="s">
        <v>533</v>
      </c>
      <c r="C700" s="497"/>
      <c r="D700" s="497"/>
      <c r="E700" s="498"/>
    </row>
    <row r="701" spans="1:5">
      <c r="A701" s="483"/>
      <c r="B701" s="586" t="s">
        <v>534</v>
      </c>
      <c r="C701" s="587">
        <f>SUMIF(Equipos!$Q$6:$Q$55,A700,Equipos!$O$6:$O$55)</f>
        <v>0</v>
      </c>
      <c r="D701" s="586" t="s">
        <v>535</v>
      </c>
      <c r="E701" s="487">
        <v>0.11</v>
      </c>
    </row>
    <row r="702" spans="1:5">
      <c r="A702" s="483"/>
      <c r="B702" s="586" t="s">
        <v>536</v>
      </c>
      <c r="C702" s="588">
        <v>0</v>
      </c>
      <c r="D702" s="586" t="s">
        <v>537</v>
      </c>
      <c r="E702" s="487">
        <v>0</v>
      </c>
    </row>
    <row r="703" spans="1:5">
      <c r="A703" s="483"/>
      <c r="B703" s="586" t="s">
        <v>538</v>
      </c>
      <c r="C703" s="588">
        <v>0</v>
      </c>
      <c r="D703" s="586"/>
      <c r="E703" s="40"/>
    </row>
    <row r="704" spans="1:5">
      <c r="A704" s="483"/>
      <c r="B704" s="586"/>
      <c r="C704" s="586"/>
      <c r="D704" s="586"/>
      <c r="E704" s="40"/>
    </row>
    <row r="705" spans="1:5" ht="13">
      <c r="A705" s="483"/>
      <c r="B705" s="589" t="s">
        <v>539</v>
      </c>
      <c r="C705" s="590">
        <f>C701-C702-C703</f>
        <v>0</v>
      </c>
      <c r="D705" s="586"/>
      <c r="E705" s="40"/>
    </row>
    <row r="706" spans="1:5">
      <c r="A706" s="483"/>
      <c r="B706" s="586" t="s">
        <v>540</v>
      </c>
      <c r="C706" s="591">
        <v>4</v>
      </c>
      <c r="D706" s="586"/>
      <c r="E706" s="40"/>
    </row>
    <row r="707" spans="1:5">
      <c r="A707" s="483"/>
      <c r="B707" s="586" t="s">
        <v>541</v>
      </c>
      <c r="C707" s="592">
        <f>C706*12</f>
        <v>48</v>
      </c>
      <c r="D707" s="586"/>
      <c r="E707" s="40"/>
    </row>
    <row r="708" spans="1:5">
      <c r="A708" s="483"/>
      <c r="B708" s="586"/>
      <c r="C708" s="586"/>
      <c r="D708" s="586"/>
      <c r="E708" s="40"/>
    </row>
    <row r="709" spans="1:5" ht="13">
      <c r="A709" s="483"/>
      <c r="B709" s="589" t="s">
        <v>542</v>
      </c>
      <c r="C709" s="590">
        <f>-PMT(E701/12,C707,C705)</f>
        <v>0</v>
      </c>
      <c r="D709" s="589" t="s">
        <v>543</v>
      </c>
      <c r="E709" s="488">
        <f>C709*12</f>
        <v>0</v>
      </c>
    </row>
    <row r="710" spans="1:5">
      <c r="A710" s="483"/>
      <c r="B710" s="586"/>
      <c r="C710" s="586"/>
      <c r="D710" s="586"/>
      <c r="E710" s="40"/>
    </row>
    <row r="711" spans="1:5">
      <c r="A711" s="483"/>
      <c r="B711" s="586"/>
      <c r="C711" s="586"/>
      <c r="D711" s="586"/>
      <c r="E711" s="40"/>
    </row>
    <row r="712" spans="1:5">
      <c r="A712" s="483"/>
      <c r="B712" s="586" t="s">
        <v>241</v>
      </c>
      <c r="C712" s="586"/>
      <c r="D712" s="586"/>
      <c r="E712" s="40"/>
    </row>
    <row r="713" spans="1:5">
      <c r="A713" s="483"/>
      <c r="B713" s="586" t="s">
        <v>544</v>
      </c>
      <c r="C713" s="587">
        <f>C709*C707</f>
        <v>0</v>
      </c>
      <c r="D713" s="586"/>
      <c r="E713" s="40"/>
    </row>
    <row r="714" spans="1:5">
      <c r="A714" s="483"/>
      <c r="B714" s="586"/>
      <c r="C714" s="586"/>
      <c r="D714" s="586"/>
      <c r="E714" s="40"/>
    </row>
    <row r="715" spans="1:5" ht="13.5" thickBot="1">
      <c r="A715" s="484"/>
      <c r="B715" s="489" t="s">
        <v>299</v>
      </c>
      <c r="C715" s="490">
        <f>C713-C705</f>
        <v>0</v>
      </c>
      <c r="D715" s="99"/>
      <c r="E715" s="157"/>
    </row>
    <row r="716" spans="1:5" ht="13" thickBot="1"/>
    <row r="717" spans="1:5" ht="13">
      <c r="A717" s="480">
        <v>43</v>
      </c>
      <c r="B717" s="497" t="s">
        <v>533</v>
      </c>
      <c r="C717" s="497"/>
      <c r="D717" s="497"/>
      <c r="E717" s="498"/>
    </row>
    <row r="718" spans="1:5">
      <c r="A718" s="483"/>
      <c r="B718" s="586" t="s">
        <v>534</v>
      </c>
      <c r="C718" s="587">
        <f>SUMIF(Equipos!$Q$6:$Q$55,A717,Equipos!$O$6:$O$55)</f>
        <v>0</v>
      </c>
      <c r="D718" s="586" t="s">
        <v>535</v>
      </c>
      <c r="E718" s="487">
        <v>0.11</v>
      </c>
    </row>
    <row r="719" spans="1:5">
      <c r="A719" s="483"/>
      <c r="B719" s="586" t="s">
        <v>536</v>
      </c>
      <c r="C719" s="588">
        <v>0</v>
      </c>
      <c r="D719" s="586" t="s">
        <v>537</v>
      </c>
      <c r="E719" s="487">
        <v>0</v>
      </c>
    </row>
    <row r="720" spans="1:5">
      <c r="A720" s="483"/>
      <c r="B720" s="586" t="s">
        <v>538</v>
      </c>
      <c r="C720" s="588">
        <v>0</v>
      </c>
      <c r="D720" s="586"/>
      <c r="E720" s="40"/>
    </row>
    <row r="721" spans="1:5">
      <c r="A721" s="483"/>
      <c r="B721" s="586"/>
      <c r="C721" s="586"/>
      <c r="D721" s="586"/>
      <c r="E721" s="40"/>
    </row>
    <row r="722" spans="1:5" ht="13">
      <c r="A722" s="483"/>
      <c r="B722" s="589" t="s">
        <v>539</v>
      </c>
      <c r="C722" s="590">
        <f>C718-C719-C720</f>
        <v>0</v>
      </c>
      <c r="D722" s="586"/>
      <c r="E722" s="40"/>
    </row>
    <row r="723" spans="1:5">
      <c r="A723" s="483"/>
      <c r="B723" s="586" t="s">
        <v>540</v>
      </c>
      <c r="C723" s="591">
        <v>4</v>
      </c>
      <c r="D723" s="586"/>
      <c r="E723" s="40"/>
    </row>
    <row r="724" spans="1:5">
      <c r="A724" s="483"/>
      <c r="B724" s="586" t="s">
        <v>541</v>
      </c>
      <c r="C724" s="592">
        <f>C723*12</f>
        <v>48</v>
      </c>
      <c r="D724" s="586"/>
      <c r="E724" s="40"/>
    </row>
    <row r="725" spans="1:5">
      <c r="A725" s="483"/>
      <c r="B725" s="586"/>
      <c r="C725" s="586"/>
      <c r="D725" s="586"/>
      <c r="E725" s="40"/>
    </row>
    <row r="726" spans="1:5" ht="13">
      <c r="A726" s="483"/>
      <c r="B726" s="589" t="s">
        <v>542</v>
      </c>
      <c r="C726" s="590">
        <f>-PMT(E718/12,C724,C722)</f>
        <v>0</v>
      </c>
      <c r="D726" s="589" t="s">
        <v>543</v>
      </c>
      <c r="E726" s="488">
        <f>C726*12</f>
        <v>0</v>
      </c>
    </row>
    <row r="727" spans="1:5">
      <c r="A727" s="483"/>
      <c r="B727" s="586"/>
      <c r="C727" s="586"/>
      <c r="D727" s="586"/>
      <c r="E727" s="40"/>
    </row>
    <row r="728" spans="1:5">
      <c r="A728" s="483"/>
      <c r="B728" s="586"/>
      <c r="C728" s="586"/>
      <c r="D728" s="586"/>
      <c r="E728" s="40"/>
    </row>
    <row r="729" spans="1:5">
      <c r="A729" s="483"/>
      <c r="B729" s="586" t="s">
        <v>241</v>
      </c>
      <c r="C729" s="586"/>
      <c r="D729" s="586"/>
      <c r="E729" s="40"/>
    </row>
    <row r="730" spans="1:5">
      <c r="A730" s="483"/>
      <c r="B730" s="586" t="s">
        <v>544</v>
      </c>
      <c r="C730" s="587">
        <f>C726*C724</f>
        <v>0</v>
      </c>
      <c r="D730" s="586"/>
      <c r="E730" s="40"/>
    </row>
    <row r="731" spans="1:5">
      <c r="A731" s="483"/>
      <c r="B731" s="586"/>
      <c r="C731" s="586"/>
      <c r="D731" s="586"/>
      <c r="E731" s="40"/>
    </row>
    <row r="732" spans="1:5" ht="13.5" thickBot="1">
      <c r="A732" s="484"/>
      <c r="B732" s="489" t="s">
        <v>299</v>
      </c>
      <c r="C732" s="490">
        <f>C730-C722</f>
        <v>0</v>
      </c>
      <c r="D732" s="99"/>
      <c r="E732" s="157"/>
    </row>
    <row r="733" spans="1:5" ht="13" thickBot="1"/>
    <row r="734" spans="1:5" ht="13">
      <c r="A734" s="480">
        <v>44</v>
      </c>
      <c r="B734" s="497" t="s">
        <v>533</v>
      </c>
      <c r="C734" s="497"/>
      <c r="D734" s="497"/>
      <c r="E734" s="498"/>
    </row>
    <row r="735" spans="1:5">
      <c r="A735" s="483"/>
      <c r="B735" s="586" t="s">
        <v>534</v>
      </c>
      <c r="C735" s="587">
        <f>SUMIF(Equipos!$Q$6:$Q$55,A734,Equipos!$O$6:$O$55)</f>
        <v>0</v>
      </c>
      <c r="D735" s="586" t="s">
        <v>535</v>
      </c>
      <c r="E735" s="487">
        <v>0.11</v>
      </c>
    </row>
    <row r="736" spans="1:5">
      <c r="A736" s="483"/>
      <c r="B736" s="586" t="s">
        <v>536</v>
      </c>
      <c r="C736" s="588">
        <v>0</v>
      </c>
      <c r="D736" s="586" t="s">
        <v>537</v>
      </c>
      <c r="E736" s="487">
        <v>0</v>
      </c>
    </row>
    <row r="737" spans="1:5">
      <c r="A737" s="483"/>
      <c r="B737" s="586" t="s">
        <v>538</v>
      </c>
      <c r="C737" s="588">
        <v>0</v>
      </c>
      <c r="D737" s="586"/>
      <c r="E737" s="40"/>
    </row>
    <row r="738" spans="1:5">
      <c r="A738" s="483"/>
      <c r="B738" s="586"/>
      <c r="C738" s="586"/>
      <c r="D738" s="586"/>
      <c r="E738" s="40"/>
    </row>
    <row r="739" spans="1:5" ht="13">
      <c r="A739" s="483"/>
      <c r="B739" s="589" t="s">
        <v>539</v>
      </c>
      <c r="C739" s="590">
        <f>C735-C736-C737</f>
        <v>0</v>
      </c>
      <c r="D739" s="586"/>
      <c r="E739" s="40"/>
    </row>
    <row r="740" spans="1:5">
      <c r="A740" s="483"/>
      <c r="B740" s="586" t="s">
        <v>540</v>
      </c>
      <c r="C740" s="591">
        <v>4</v>
      </c>
      <c r="D740" s="586"/>
      <c r="E740" s="40"/>
    </row>
    <row r="741" spans="1:5">
      <c r="A741" s="483"/>
      <c r="B741" s="586" t="s">
        <v>541</v>
      </c>
      <c r="C741" s="592">
        <f>C740*12</f>
        <v>48</v>
      </c>
      <c r="D741" s="586"/>
      <c r="E741" s="40"/>
    </row>
    <row r="742" spans="1:5">
      <c r="A742" s="483"/>
      <c r="B742" s="586"/>
      <c r="C742" s="586"/>
      <c r="D742" s="586"/>
      <c r="E742" s="40"/>
    </row>
    <row r="743" spans="1:5" ht="13">
      <c r="A743" s="483"/>
      <c r="B743" s="589" t="s">
        <v>542</v>
      </c>
      <c r="C743" s="590">
        <f>-PMT(E735/12,C741,C739)</f>
        <v>0</v>
      </c>
      <c r="D743" s="589" t="s">
        <v>543</v>
      </c>
      <c r="E743" s="488">
        <f>C743*12</f>
        <v>0</v>
      </c>
    </row>
    <row r="744" spans="1:5">
      <c r="A744" s="483"/>
      <c r="B744" s="586"/>
      <c r="C744" s="586"/>
      <c r="D744" s="586"/>
      <c r="E744" s="40"/>
    </row>
    <row r="745" spans="1:5">
      <c r="A745" s="483"/>
      <c r="B745" s="586"/>
      <c r="C745" s="586"/>
      <c r="D745" s="586"/>
      <c r="E745" s="40"/>
    </row>
    <row r="746" spans="1:5">
      <c r="A746" s="483"/>
      <c r="B746" s="586" t="s">
        <v>241</v>
      </c>
      <c r="C746" s="586"/>
      <c r="D746" s="586"/>
      <c r="E746" s="40"/>
    </row>
    <row r="747" spans="1:5">
      <c r="A747" s="483"/>
      <c r="B747" s="586" t="s">
        <v>544</v>
      </c>
      <c r="C747" s="587">
        <f>C743*C741</f>
        <v>0</v>
      </c>
      <c r="D747" s="586"/>
      <c r="E747" s="40"/>
    </row>
    <row r="748" spans="1:5">
      <c r="A748" s="483"/>
      <c r="B748" s="586"/>
      <c r="C748" s="586"/>
      <c r="D748" s="586"/>
      <c r="E748" s="40"/>
    </row>
    <row r="749" spans="1:5" ht="13.5" thickBot="1">
      <c r="A749" s="484"/>
      <c r="B749" s="489" t="s">
        <v>299</v>
      </c>
      <c r="C749" s="490">
        <f>C747-C739</f>
        <v>0</v>
      </c>
      <c r="D749" s="99"/>
      <c r="E749" s="157"/>
    </row>
    <row r="750" spans="1:5" ht="13" thickBot="1"/>
    <row r="751" spans="1:5" ht="13">
      <c r="A751" s="480">
        <v>45</v>
      </c>
      <c r="B751" s="497" t="s">
        <v>533</v>
      </c>
      <c r="C751" s="497"/>
      <c r="D751" s="497"/>
      <c r="E751" s="498"/>
    </row>
    <row r="752" spans="1:5">
      <c r="A752" s="483"/>
      <c r="B752" s="586" t="s">
        <v>534</v>
      </c>
      <c r="C752" s="587">
        <f>SUMIF(Equipos!$Q$6:$Q$55,A751,Equipos!$O$6:$O$55)</f>
        <v>0</v>
      </c>
      <c r="D752" s="586" t="s">
        <v>535</v>
      </c>
      <c r="E752" s="487">
        <v>0.11</v>
      </c>
    </row>
    <row r="753" spans="1:5">
      <c r="A753" s="483"/>
      <c r="B753" s="586" t="s">
        <v>536</v>
      </c>
      <c r="C753" s="588">
        <v>0</v>
      </c>
      <c r="D753" s="586" t="s">
        <v>537</v>
      </c>
      <c r="E753" s="487">
        <v>0</v>
      </c>
    </row>
    <row r="754" spans="1:5">
      <c r="A754" s="483"/>
      <c r="B754" s="586" t="s">
        <v>538</v>
      </c>
      <c r="C754" s="588">
        <v>0</v>
      </c>
      <c r="D754" s="586"/>
      <c r="E754" s="40"/>
    </row>
    <row r="755" spans="1:5">
      <c r="A755" s="483"/>
      <c r="B755" s="586"/>
      <c r="C755" s="586"/>
      <c r="D755" s="586"/>
      <c r="E755" s="40"/>
    </row>
    <row r="756" spans="1:5" ht="13">
      <c r="A756" s="483"/>
      <c r="B756" s="589" t="s">
        <v>539</v>
      </c>
      <c r="C756" s="590">
        <f>C752-C753-C754</f>
        <v>0</v>
      </c>
      <c r="D756" s="586"/>
      <c r="E756" s="40"/>
    </row>
    <row r="757" spans="1:5">
      <c r="A757" s="483"/>
      <c r="B757" s="586" t="s">
        <v>540</v>
      </c>
      <c r="C757" s="591">
        <v>4</v>
      </c>
      <c r="D757" s="586"/>
      <c r="E757" s="40"/>
    </row>
    <row r="758" spans="1:5">
      <c r="A758" s="483"/>
      <c r="B758" s="586" t="s">
        <v>541</v>
      </c>
      <c r="C758" s="592">
        <f>C757*12</f>
        <v>48</v>
      </c>
      <c r="D758" s="586"/>
      <c r="E758" s="40"/>
    </row>
    <row r="759" spans="1:5">
      <c r="A759" s="483"/>
      <c r="B759" s="586"/>
      <c r="C759" s="586"/>
      <c r="D759" s="586"/>
      <c r="E759" s="40"/>
    </row>
    <row r="760" spans="1:5" ht="13">
      <c r="A760" s="483"/>
      <c r="B760" s="589" t="s">
        <v>542</v>
      </c>
      <c r="C760" s="590">
        <f>-PMT(E752/12,C758,C756)</f>
        <v>0</v>
      </c>
      <c r="D760" s="589" t="s">
        <v>543</v>
      </c>
      <c r="E760" s="488">
        <f>C760*12</f>
        <v>0</v>
      </c>
    </row>
    <row r="761" spans="1:5">
      <c r="A761" s="483"/>
      <c r="B761" s="586"/>
      <c r="C761" s="586"/>
      <c r="D761" s="586"/>
      <c r="E761" s="40"/>
    </row>
    <row r="762" spans="1:5">
      <c r="A762" s="483"/>
      <c r="B762" s="586"/>
      <c r="C762" s="586"/>
      <c r="D762" s="586"/>
      <c r="E762" s="40"/>
    </row>
    <row r="763" spans="1:5">
      <c r="A763" s="483"/>
      <c r="B763" s="586" t="s">
        <v>241</v>
      </c>
      <c r="C763" s="586"/>
      <c r="D763" s="586"/>
      <c r="E763" s="40"/>
    </row>
    <row r="764" spans="1:5">
      <c r="A764" s="483"/>
      <c r="B764" s="586" t="s">
        <v>544</v>
      </c>
      <c r="C764" s="587">
        <f>C760*C758</f>
        <v>0</v>
      </c>
      <c r="D764" s="586"/>
      <c r="E764" s="40"/>
    </row>
    <row r="765" spans="1:5">
      <c r="A765" s="483"/>
      <c r="B765" s="586"/>
      <c r="C765" s="586"/>
      <c r="D765" s="586"/>
      <c r="E765" s="40"/>
    </row>
    <row r="766" spans="1:5" ht="13.5" thickBot="1">
      <c r="A766" s="484"/>
      <c r="B766" s="489" t="s">
        <v>299</v>
      </c>
      <c r="C766" s="490">
        <f>C764-C756</f>
        <v>0</v>
      </c>
      <c r="D766" s="99"/>
      <c r="E766" s="157"/>
    </row>
    <row r="767" spans="1:5" ht="13" thickBot="1"/>
    <row r="768" spans="1:5" ht="13">
      <c r="A768" s="480">
        <v>46</v>
      </c>
      <c r="B768" s="497" t="s">
        <v>533</v>
      </c>
      <c r="C768" s="497"/>
      <c r="D768" s="497"/>
      <c r="E768" s="498"/>
    </row>
    <row r="769" spans="1:5">
      <c r="A769" s="483"/>
      <c r="B769" s="586" t="s">
        <v>534</v>
      </c>
      <c r="C769" s="587">
        <f>SUMIF(Equipos!$Q$6:$Q$55,A768,Equipos!$O$6:$O$55)</f>
        <v>0</v>
      </c>
      <c r="D769" s="586" t="s">
        <v>535</v>
      </c>
      <c r="E769" s="487">
        <v>0.11</v>
      </c>
    </row>
    <row r="770" spans="1:5">
      <c r="A770" s="483"/>
      <c r="B770" s="586" t="s">
        <v>536</v>
      </c>
      <c r="C770" s="588">
        <v>0</v>
      </c>
      <c r="D770" s="586" t="s">
        <v>537</v>
      </c>
      <c r="E770" s="487">
        <v>0</v>
      </c>
    </row>
    <row r="771" spans="1:5">
      <c r="A771" s="483"/>
      <c r="B771" s="586" t="s">
        <v>538</v>
      </c>
      <c r="C771" s="588">
        <v>0</v>
      </c>
      <c r="D771" s="586"/>
      <c r="E771" s="40"/>
    </row>
    <row r="772" spans="1:5">
      <c r="A772" s="483"/>
      <c r="B772" s="586"/>
      <c r="C772" s="586"/>
      <c r="D772" s="586"/>
      <c r="E772" s="40"/>
    </row>
    <row r="773" spans="1:5" ht="13">
      <c r="A773" s="483"/>
      <c r="B773" s="589" t="s">
        <v>539</v>
      </c>
      <c r="C773" s="590">
        <f>C769-C770-C771</f>
        <v>0</v>
      </c>
      <c r="D773" s="586"/>
      <c r="E773" s="40"/>
    </row>
    <row r="774" spans="1:5">
      <c r="A774" s="483"/>
      <c r="B774" s="586" t="s">
        <v>540</v>
      </c>
      <c r="C774" s="591">
        <v>4</v>
      </c>
      <c r="D774" s="586"/>
      <c r="E774" s="40"/>
    </row>
    <row r="775" spans="1:5">
      <c r="A775" s="483"/>
      <c r="B775" s="586" t="s">
        <v>541</v>
      </c>
      <c r="C775" s="592">
        <f>C774*12</f>
        <v>48</v>
      </c>
      <c r="D775" s="586"/>
      <c r="E775" s="40"/>
    </row>
    <row r="776" spans="1:5">
      <c r="A776" s="483"/>
      <c r="B776" s="586"/>
      <c r="C776" s="586"/>
      <c r="D776" s="586"/>
      <c r="E776" s="40"/>
    </row>
    <row r="777" spans="1:5" ht="13">
      <c r="A777" s="483"/>
      <c r="B777" s="589" t="s">
        <v>542</v>
      </c>
      <c r="C777" s="590">
        <f>-PMT(E769/12,C775,C773)</f>
        <v>0</v>
      </c>
      <c r="D777" s="589" t="s">
        <v>543</v>
      </c>
      <c r="E777" s="488">
        <f>C777*12</f>
        <v>0</v>
      </c>
    </row>
    <row r="778" spans="1:5">
      <c r="A778" s="483"/>
      <c r="B778" s="586"/>
      <c r="C778" s="586"/>
      <c r="D778" s="586"/>
      <c r="E778" s="40"/>
    </row>
    <row r="779" spans="1:5">
      <c r="A779" s="483"/>
      <c r="B779" s="586"/>
      <c r="C779" s="586"/>
      <c r="D779" s="586"/>
      <c r="E779" s="40"/>
    </row>
    <row r="780" spans="1:5">
      <c r="A780" s="483"/>
      <c r="B780" s="586" t="s">
        <v>241</v>
      </c>
      <c r="C780" s="586"/>
      <c r="D780" s="586"/>
      <c r="E780" s="40"/>
    </row>
    <row r="781" spans="1:5">
      <c r="A781" s="483"/>
      <c r="B781" s="586" t="s">
        <v>544</v>
      </c>
      <c r="C781" s="587">
        <f>C777*C775</f>
        <v>0</v>
      </c>
      <c r="D781" s="586"/>
      <c r="E781" s="40"/>
    </row>
    <row r="782" spans="1:5">
      <c r="A782" s="483"/>
      <c r="B782" s="586"/>
      <c r="C782" s="586"/>
      <c r="D782" s="586"/>
      <c r="E782" s="40"/>
    </row>
    <row r="783" spans="1:5" ht="13.5" thickBot="1">
      <c r="A783" s="484"/>
      <c r="B783" s="489" t="s">
        <v>299</v>
      </c>
      <c r="C783" s="490">
        <f>C781-C773</f>
        <v>0</v>
      </c>
      <c r="D783" s="99"/>
      <c r="E783" s="157"/>
    </row>
    <row r="784" spans="1:5" ht="13" thickBot="1"/>
    <row r="785" spans="1:5" ht="13">
      <c r="A785" s="480">
        <v>47</v>
      </c>
      <c r="B785" s="497" t="s">
        <v>533</v>
      </c>
      <c r="C785" s="497"/>
      <c r="D785" s="497"/>
      <c r="E785" s="498"/>
    </row>
    <row r="786" spans="1:5">
      <c r="A786" s="483"/>
      <c r="B786" s="586" t="s">
        <v>534</v>
      </c>
      <c r="C786" s="587">
        <f>SUMIF(Equipos!$Q$6:$Q$55,A785,Equipos!$O$6:$O$55)</f>
        <v>0</v>
      </c>
      <c r="D786" s="586" t="s">
        <v>535</v>
      </c>
      <c r="E786" s="487">
        <v>0.11</v>
      </c>
    </row>
    <row r="787" spans="1:5">
      <c r="A787" s="483"/>
      <c r="B787" s="586" t="s">
        <v>536</v>
      </c>
      <c r="C787" s="588">
        <v>0</v>
      </c>
      <c r="D787" s="586" t="s">
        <v>537</v>
      </c>
      <c r="E787" s="487">
        <v>0</v>
      </c>
    </row>
    <row r="788" spans="1:5">
      <c r="A788" s="483"/>
      <c r="B788" s="586" t="s">
        <v>538</v>
      </c>
      <c r="C788" s="588">
        <v>0</v>
      </c>
      <c r="D788" s="586"/>
      <c r="E788" s="40"/>
    </row>
    <row r="789" spans="1:5">
      <c r="A789" s="483"/>
      <c r="B789" s="586"/>
      <c r="C789" s="586"/>
      <c r="D789" s="586"/>
      <c r="E789" s="40"/>
    </row>
    <row r="790" spans="1:5" ht="13">
      <c r="A790" s="483"/>
      <c r="B790" s="589" t="s">
        <v>539</v>
      </c>
      <c r="C790" s="590">
        <f>C786-C787-C788</f>
        <v>0</v>
      </c>
      <c r="D790" s="586"/>
      <c r="E790" s="40"/>
    </row>
    <row r="791" spans="1:5">
      <c r="A791" s="483"/>
      <c r="B791" s="586" t="s">
        <v>540</v>
      </c>
      <c r="C791" s="591">
        <v>4</v>
      </c>
      <c r="D791" s="586"/>
      <c r="E791" s="40"/>
    </row>
    <row r="792" spans="1:5">
      <c r="A792" s="483"/>
      <c r="B792" s="586" t="s">
        <v>541</v>
      </c>
      <c r="C792" s="592">
        <f>C791*12</f>
        <v>48</v>
      </c>
      <c r="D792" s="586"/>
      <c r="E792" s="40"/>
    </row>
    <row r="793" spans="1:5">
      <c r="A793" s="483"/>
      <c r="B793" s="586"/>
      <c r="C793" s="586"/>
      <c r="D793" s="586"/>
      <c r="E793" s="40"/>
    </row>
    <row r="794" spans="1:5" ht="13">
      <c r="A794" s="483"/>
      <c r="B794" s="589" t="s">
        <v>542</v>
      </c>
      <c r="C794" s="590">
        <f>-PMT(E786/12,C792,C790)</f>
        <v>0</v>
      </c>
      <c r="D794" s="589" t="s">
        <v>543</v>
      </c>
      <c r="E794" s="488">
        <f>C794*12</f>
        <v>0</v>
      </c>
    </row>
    <row r="795" spans="1:5">
      <c r="A795" s="483"/>
      <c r="B795" s="586"/>
      <c r="C795" s="586"/>
      <c r="D795" s="586"/>
      <c r="E795" s="40"/>
    </row>
    <row r="796" spans="1:5">
      <c r="A796" s="483"/>
      <c r="B796" s="586"/>
      <c r="C796" s="586"/>
      <c r="D796" s="586"/>
      <c r="E796" s="40"/>
    </row>
    <row r="797" spans="1:5">
      <c r="A797" s="483"/>
      <c r="B797" s="586" t="s">
        <v>241</v>
      </c>
      <c r="C797" s="586"/>
      <c r="D797" s="586"/>
      <c r="E797" s="40"/>
    </row>
    <row r="798" spans="1:5">
      <c r="A798" s="483"/>
      <c r="B798" s="586" t="s">
        <v>544</v>
      </c>
      <c r="C798" s="587">
        <f>C794*C792</f>
        <v>0</v>
      </c>
      <c r="D798" s="586"/>
      <c r="E798" s="40"/>
    </row>
    <row r="799" spans="1:5">
      <c r="A799" s="483"/>
      <c r="B799" s="586"/>
      <c r="C799" s="586"/>
      <c r="D799" s="586"/>
      <c r="E799" s="40"/>
    </row>
    <row r="800" spans="1:5" ht="13.5" thickBot="1">
      <c r="A800" s="484"/>
      <c r="B800" s="489" t="s">
        <v>299</v>
      </c>
      <c r="C800" s="490">
        <f>C798-C790</f>
        <v>0</v>
      </c>
      <c r="D800" s="99"/>
      <c r="E800" s="157"/>
    </row>
    <row r="801" spans="1:5" ht="13" thickBot="1"/>
    <row r="802" spans="1:5" ht="13">
      <c r="A802" s="480">
        <v>48</v>
      </c>
      <c r="B802" s="497" t="s">
        <v>533</v>
      </c>
      <c r="C802" s="497"/>
      <c r="D802" s="497"/>
      <c r="E802" s="498"/>
    </row>
    <row r="803" spans="1:5">
      <c r="A803" s="483"/>
      <c r="B803" s="586" t="s">
        <v>534</v>
      </c>
      <c r="C803" s="587">
        <f>SUMIF(Equipos!$Q$6:$Q$55,A802,Equipos!$O$6:$O$55)</f>
        <v>0</v>
      </c>
      <c r="D803" s="586" t="s">
        <v>535</v>
      </c>
      <c r="E803" s="487">
        <v>0.11</v>
      </c>
    </row>
    <row r="804" spans="1:5">
      <c r="A804" s="483"/>
      <c r="B804" s="586" t="s">
        <v>536</v>
      </c>
      <c r="C804" s="588">
        <v>0</v>
      </c>
      <c r="D804" s="586" t="s">
        <v>537</v>
      </c>
      <c r="E804" s="487">
        <v>0</v>
      </c>
    </row>
    <row r="805" spans="1:5">
      <c r="A805" s="483"/>
      <c r="B805" s="586" t="s">
        <v>538</v>
      </c>
      <c r="C805" s="588">
        <v>0</v>
      </c>
      <c r="D805" s="586"/>
      <c r="E805" s="40"/>
    </row>
    <row r="806" spans="1:5">
      <c r="A806" s="483"/>
      <c r="B806" s="586"/>
      <c r="C806" s="586"/>
      <c r="D806" s="586"/>
      <c r="E806" s="40"/>
    </row>
    <row r="807" spans="1:5" ht="13">
      <c r="A807" s="483"/>
      <c r="B807" s="589" t="s">
        <v>539</v>
      </c>
      <c r="C807" s="590">
        <f>C803-C804-C805</f>
        <v>0</v>
      </c>
      <c r="D807" s="586"/>
      <c r="E807" s="40"/>
    </row>
    <row r="808" spans="1:5">
      <c r="A808" s="483"/>
      <c r="B808" s="586" t="s">
        <v>540</v>
      </c>
      <c r="C808" s="591">
        <v>4</v>
      </c>
      <c r="D808" s="586"/>
      <c r="E808" s="40"/>
    </row>
    <row r="809" spans="1:5">
      <c r="A809" s="483"/>
      <c r="B809" s="586" t="s">
        <v>541</v>
      </c>
      <c r="C809" s="592">
        <f>C808*12</f>
        <v>48</v>
      </c>
      <c r="D809" s="586"/>
      <c r="E809" s="40"/>
    </row>
    <row r="810" spans="1:5">
      <c r="A810" s="483"/>
      <c r="B810" s="586"/>
      <c r="C810" s="586"/>
      <c r="D810" s="586"/>
      <c r="E810" s="40"/>
    </row>
    <row r="811" spans="1:5" ht="13">
      <c r="A811" s="483"/>
      <c r="B811" s="589" t="s">
        <v>542</v>
      </c>
      <c r="C811" s="590">
        <f>-PMT(E803/12,C809,C807)</f>
        <v>0</v>
      </c>
      <c r="D811" s="589" t="s">
        <v>543</v>
      </c>
      <c r="E811" s="488">
        <f>C811*12</f>
        <v>0</v>
      </c>
    </row>
    <row r="812" spans="1:5">
      <c r="A812" s="483"/>
      <c r="B812" s="586"/>
      <c r="C812" s="586"/>
      <c r="D812" s="586"/>
      <c r="E812" s="40"/>
    </row>
    <row r="813" spans="1:5">
      <c r="A813" s="483"/>
      <c r="B813" s="586"/>
      <c r="C813" s="586"/>
      <c r="D813" s="586"/>
      <c r="E813" s="40"/>
    </row>
    <row r="814" spans="1:5">
      <c r="A814" s="483"/>
      <c r="B814" s="586" t="s">
        <v>241</v>
      </c>
      <c r="C814" s="586"/>
      <c r="D814" s="586"/>
      <c r="E814" s="40"/>
    </row>
    <row r="815" spans="1:5">
      <c r="A815" s="483"/>
      <c r="B815" s="586" t="s">
        <v>544</v>
      </c>
      <c r="C815" s="587">
        <f>C811*C809</f>
        <v>0</v>
      </c>
      <c r="D815" s="586"/>
      <c r="E815" s="40"/>
    </row>
    <row r="816" spans="1:5">
      <c r="A816" s="483"/>
      <c r="B816" s="586"/>
      <c r="C816" s="586"/>
      <c r="D816" s="586"/>
      <c r="E816" s="40"/>
    </row>
    <row r="817" spans="1:5" ht="13.5" thickBot="1">
      <c r="A817" s="484"/>
      <c r="B817" s="489" t="s">
        <v>299</v>
      </c>
      <c r="C817" s="490">
        <f>C815-C807</f>
        <v>0</v>
      </c>
      <c r="D817" s="99"/>
      <c r="E817" s="157"/>
    </row>
    <row r="818" spans="1:5" ht="13" thickBot="1"/>
    <row r="819" spans="1:5" ht="13">
      <c r="A819" s="480">
        <v>49</v>
      </c>
      <c r="B819" s="497" t="s">
        <v>533</v>
      </c>
      <c r="C819" s="497"/>
      <c r="D819" s="497"/>
      <c r="E819" s="498"/>
    </row>
    <row r="820" spans="1:5">
      <c r="A820" s="483"/>
      <c r="B820" s="586" t="s">
        <v>534</v>
      </c>
      <c r="C820" s="587">
        <f>SUMIF(Equipos!$Q$6:$Q$55,A819,Equipos!$O$6:$O$55)</f>
        <v>0</v>
      </c>
      <c r="D820" s="586" t="s">
        <v>535</v>
      </c>
      <c r="E820" s="487">
        <v>0.11</v>
      </c>
    </row>
    <row r="821" spans="1:5">
      <c r="A821" s="483"/>
      <c r="B821" s="586" t="s">
        <v>536</v>
      </c>
      <c r="C821" s="588">
        <v>0</v>
      </c>
      <c r="D821" s="586" t="s">
        <v>537</v>
      </c>
      <c r="E821" s="487">
        <v>0</v>
      </c>
    </row>
    <row r="822" spans="1:5">
      <c r="A822" s="483"/>
      <c r="B822" s="586" t="s">
        <v>538</v>
      </c>
      <c r="C822" s="588">
        <v>0</v>
      </c>
      <c r="D822" s="586"/>
      <c r="E822" s="40"/>
    </row>
    <row r="823" spans="1:5">
      <c r="A823" s="483"/>
      <c r="B823" s="586"/>
      <c r="C823" s="586"/>
      <c r="D823" s="586"/>
      <c r="E823" s="40"/>
    </row>
    <row r="824" spans="1:5" ht="13">
      <c r="A824" s="483"/>
      <c r="B824" s="589" t="s">
        <v>539</v>
      </c>
      <c r="C824" s="590">
        <f>C820-C821-C822</f>
        <v>0</v>
      </c>
      <c r="D824" s="586"/>
      <c r="E824" s="40"/>
    </row>
    <row r="825" spans="1:5">
      <c r="A825" s="483"/>
      <c r="B825" s="586" t="s">
        <v>540</v>
      </c>
      <c r="C825" s="591">
        <v>4</v>
      </c>
      <c r="D825" s="586"/>
      <c r="E825" s="40"/>
    </row>
    <row r="826" spans="1:5">
      <c r="A826" s="483"/>
      <c r="B826" s="586" t="s">
        <v>541</v>
      </c>
      <c r="C826" s="592">
        <f>C825*12</f>
        <v>48</v>
      </c>
      <c r="D826" s="586"/>
      <c r="E826" s="40"/>
    </row>
    <row r="827" spans="1:5">
      <c r="A827" s="483"/>
      <c r="B827" s="586"/>
      <c r="C827" s="586"/>
      <c r="D827" s="586"/>
      <c r="E827" s="40"/>
    </row>
    <row r="828" spans="1:5" ht="13">
      <c r="A828" s="483"/>
      <c r="B828" s="589" t="s">
        <v>542</v>
      </c>
      <c r="C828" s="590">
        <f>-PMT(E820/12,C826,C824)</f>
        <v>0</v>
      </c>
      <c r="D828" s="589" t="s">
        <v>543</v>
      </c>
      <c r="E828" s="488">
        <f>C828*12</f>
        <v>0</v>
      </c>
    </row>
    <row r="829" spans="1:5">
      <c r="A829" s="483"/>
      <c r="B829" s="586"/>
      <c r="C829" s="586"/>
      <c r="D829" s="586"/>
      <c r="E829" s="40"/>
    </row>
    <row r="830" spans="1:5">
      <c r="A830" s="483"/>
      <c r="B830" s="586"/>
      <c r="C830" s="586"/>
      <c r="D830" s="586"/>
      <c r="E830" s="40"/>
    </row>
    <row r="831" spans="1:5">
      <c r="A831" s="483"/>
      <c r="B831" s="586" t="s">
        <v>241</v>
      </c>
      <c r="C831" s="586"/>
      <c r="D831" s="586"/>
      <c r="E831" s="40"/>
    </row>
    <row r="832" spans="1:5">
      <c r="A832" s="483"/>
      <c r="B832" s="586" t="s">
        <v>544</v>
      </c>
      <c r="C832" s="587">
        <f>C828*C826</f>
        <v>0</v>
      </c>
      <c r="D832" s="586"/>
      <c r="E832" s="40"/>
    </row>
    <row r="833" spans="1:5">
      <c r="A833" s="483"/>
      <c r="B833" s="586"/>
      <c r="C833" s="586"/>
      <c r="D833" s="586"/>
      <c r="E833" s="40"/>
    </row>
    <row r="834" spans="1:5" ht="13.5" thickBot="1">
      <c r="A834" s="484"/>
      <c r="B834" s="489" t="s">
        <v>299</v>
      </c>
      <c r="C834" s="490">
        <f>C832-C824</f>
        <v>0</v>
      </c>
      <c r="D834" s="99"/>
      <c r="E834" s="157"/>
    </row>
    <row r="835" spans="1:5" ht="13" thickBot="1"/>
    <row r="836" spans="1:5" ht="13">
      <c r="A836" s="480">
        <v>50</v>
      </c>
      <c r="B836" s="497" t="s">
        <v>533</v>
      </c>
      <c r="C836" s="497"/>
      <c r="D836" s="497"/>
      <c r="E836" s="498"/>
    </row>
    <row r="837" spans="1:5">
      <c r="A837" s="483"/>
      <c r="B837" s="586" t="s">
        <v>534</v>
      </c>
      <c r="C837" s="587">
        <f>SUMIF(Equipos!$Q$6:$Q$55,A836,Equipos!$O$6:$O$55)</f>
        <v>0</v>
      </c>
      <c r="D837" s="586" t="s">
        <v>535</v>
      </c>
      <c r="E837" s="487">
        <v>0.11</v>
      </c>
    </row>
    <row r="838" spans="1:5">
      <c r="A838" s="483"/>
      <c r="B838" s="586" t="s">
        <v>536</v>
      </c>
      <c r="C838" s="588">
        <v>0</v>
      </c>
      <c r="D838" s="586" t="s">
        <v>537</v>
      </c>
      <c r="E838" s="487">
        <v>0</v>
      </c>
    </row>
    <row r="839" spans="1:5">
      <c r="A839" s="483"/>
      <c r="B839" s="586" t="s">
        <v>538</v>
      </c>
      <c r="C839" s="588">
        <v>0</v>
      </c>
      <c r="D839" s="586"/>
      <c r="E839" s="40"/>
    </row>
    <row r="840" spans="1:5">
      <c r="A840" s="483"/>
      <c r="B840" s="586"/>
      <c r="C840" s="586"/>
      <c r="D840" s="586"/>
      <c r="E840" s="40"/>
    </row>
    <row r="841" spans="1:5" ht="13">
      <c r="A841" s="483"/>
      <c r="B841" s="589" t="s">
        <v>539</v>
      </c>
      <c r="C841" s="590">
        <f>C837-C838-C839</f>
        <v>0</v>
      </c>
      <c r="D841" s="586"/>
      <c r="E841" s="40"/>
    </row>
    <row r="842" spans="1:5">
      <c r="A842" s="483"/>
      <c r="B842" s="586" t="s">
        <v>540</v>
      </c>
      <c r="C842" s="591">
        <v>4</v>
      </c>
      <c r="D842" s="586"/>
      <c r="E842" s="40"/>
    </row>
    <row r="843" spans="1:5">
      <c r="A843" s="483"/>
      <c r="B843" s="586" t="s">
        <v>541</v>
      </c>
      <c r="C843" s="592">
        <f>C842*12</f>
        <v>48</v>
      </c>
      <c r="D843" s="586"/>
      <c r="E843" s="40"/>
    </row>
    <row r="844" spans="1:5">
      <c r="A844" s="483"/>
      <c r="B844" s="586"/>
      <c r="C844" s="586"/>
      <c r="D844" s="586"/>
      <c r="E844" s="40"/>
    </row>
    <row r="845" spans="1:5" ht="13">
      <c r="A845" s="483"/>
      <c r="B845" s="589" t="s">
        <v>542</v>
      </c>
      <c r="C845" s="590">
        <f>-PMT(E837/12,C843,C841)</f>
        <v>0</v>
      </c>
      <c r="D845" s="589" t="s">
        <v>543</v>
      </c>
      <c r="E845" s="488">
        <f>C845*12</f>
        <v>0</v>
      </c>
    </row>
    <row r="846" spans="1:5">
      <c r="A846" s="483"/>
      <c r="B846" s="586"/>
      <c r="C846" s="586"/>
      <c r="D846" s="586"/>
      <c r="E846" s="40"/>
    </row>
    <row r="847" spans="1:5">
      <c r="A847" s="483"/>
      <c r="B847" s="586"/>
      <c r="C847" s="586"/>
      <c r="D847" s="586"/>
      <c r="E847" s="40"/>
    </row>
    <row r="848" spans="1:5">
      <c r="A848" s="483"/>
      <c r="B848" s="586" t="s">
        <v>241</v>
      </c>
      <c r="C848" s="586"/>
      <c r="D848" s="586"/>
      <c r="E848" s="40"/>
    </row>
    <row r="849" spans="1:5">
      <c r="A849" s="483"/>
      <c r="B849" s="586" t="s">
        <v>544</v>
      </c>
      <c r="C849" s="587">
        <f>C845*C843</f>
        <v>0</v>
      </c>
      <c r="D849" s="586"/>
      <c r="E849" s="40"/>
    </row>
    <row r="850" spans="1:5">
      <c r="A850" s="483"/>
      <c r="B850" s="586"/>
      <c r="C850" s="586"/>
      <c r="D850" s="586"/>
      <c r="E850" s="40"/>
    </row>
    <row r="851" spans="1:5" ht="13.5" thickBot="1">
      <c r="A851" s="484"/>
      <c r="B851" s="489" t="s">
        <v>299</v>
      </c>
      <c r="C851" s="490">
        <f>C849-C841</f>
        <v>0</v>
      </c>
      <c r="D851" s="99"/>
      <c r="E851" s="157"/>
    </row>
  </sheetData>
  <mergeCells count="109">
    <mergeCell ref="B207:E207"/>
    <mergeCell ref="B224:E224"/>
    <mergeCell ref="H3:K3"/>
    <mergeCell ref="H20:K20"/>
    <mergeCell ref="H37:K37"/>
    <mergeCell ref="H54:K54"/>
    <mergeCell ref="H71:K71"/>
    <mergeCell ref="H88:K88"/>
    <mergeCell ref="H105:K105"/>
    <mergeCell ref="H122:K122"/>
    <mergeCell ref="B105:E105"/>
    <mergeCell ref="B122:E122"/>
    <mergeCell ref="B139:E139"/>
    <mergeCell ref="B156:E156"/>
    <mergeCell ref="B173:E173"/>
    <mergeCell ref="B190:E190"/>
    <mergeCell ref="B88:E88"/>
    <mergeCell ref="B3:E3"/>
    <mergeCell ref="B20:E20"/>
    <mergeCell ref="B37:E37"/>
    <mergeCell ref="B54:E54"/>
    <mergeCell ref="B71:E71"/>
    <mergeCell ref="N224:Q224"/>
    <mergeCell ref="H139:K139"/>
    <mergeCell ref="H156:K156"/>
    <mergeCell ref="N3:Q3"/>
    <mergeCell ref="N20:Q20"/>
    <mergeCell ref="N37:Q37"/>
    <mergeCell ref="N54:Q54"/>
    <mergeCell ref="N71:Q71"/>
    <mergeCell ref="N88:Q88"/>
    <mergeCell ref="N105:Q105"/>
    <mergeCell ref="N122:Q122"/>
    <mergeCell ref="N139:Q139"/>
    <mergeCell ref="N156:Q156"/>
    <mergeCell ref="N173:Q173"/>
    <mergeCell ref="N190:Q190"/>
    <mergeCell ref="N207:Q207"/>
    <mergeCell ref="N479:Q479"/>
    <mergeCell ref="N496:Q496"/>
    <mergeCell ref="N513:Q513"/>
    <mergeCell ref="N530:Q530"/>
    <mergeCell ref="N428:Q428"/>
    <mergeCell ref="N241:Q241"/>
    <mergeCell ref="N258:Q258"/>
    <mergeCell ref="N275:Q275"/>
    <mergeCell ref="N292:Q292"/>
    <mergeCell ref="N309:Q309"/>
    <mergeCell ref="N326:Q326"/>
    <mergeCell ref="N343:Q343"/>
    <mergeCell ref="N360:Q360"/>
    <mergeCell ref="N377:Q377"/>
    <mergeCell ref="N394:Q394"/>
    <mergeCell ref="N411:Q411"/>
    <mergeCell ref="B241:E241"/>
    <mergeCell ref="B258:E258"/>
    <mergeCell ref="B275:E275"/>
    <mergeCell ref="B292:E292"/>
    <mergeCell ref="B309:E309"/>
    <mergeCell ref="T156:W156"/>
    <mergeCell ref="N649:Q649"/>
    <mergeCell ref="T3:W3"/>
    <mergeCell ref="T20:W20"/>
    <mergeCell ref="T37:W37"/>
    <mergeCell ref="T54:W54"/>
    <mergeCell ref="T71:W71"/>
    <mergeCell ref="T88:W88"/>
    <mergeCell ref="T105:W105"/>
    <mergeCell ref="T122:W122"/>
    <mergeCell ref="T139:W139"/>
    <mergeCell ref="N547:Q547"/>
    <mergeCell ref="N564:Q564"/>
    <mergeCell ref="N581:Q581"/>
    <mergeCell ref="N598:Q598"/>
    <mergeCell ref="N615:Q615"/>
    <mergeCell ref="N632:Q632"/>
    <mergeCell ref="N445:Q445"/>
    <mergeCell ref="N462:Q462"/>
    <mergeCell ref="B411:E411"/>
    <mergeCell ref="B428:E428"/>
    <mergeCell ref="B445:E445"/>
    <mergeCell ref="B462:E462"/>
    <mergeCell ref="B479:E479"/>
    <mergeCell ref="B326:E326"/>
    <mergeCell ref="B343:E343"/>
    <mergeCell ref="B360:E360"/>
    <mergeCell ref="B377:E377"/>
    <mergeCell ref="B394:E394"/>
    <mergeCell ref="B581:E581"/>
    <mergeCell ref="B598:E598"/>
    <mergeCell ref="B615:E615"/>
    <mergeCell ref="B632:E632"/>
    <mergeCell ref="B649:E649"/>
    <mergeCell ref="B496:E496"/>
    <mergeCell ref="B513:E513"/>
    <mergeCell ref="B530:E530"/>
    <mergeCell ref="B547:E547"/>
    <mergeCell ref="B564:E564"/>
    <mergeCell ref="B836:E836"/>
    <mergeCell ref="B751:E751"/>
    <mergeCell ref="B768:E768"/>
    <mergeCell ref="B785:E785"/>
    <mergeCell ref="B802:E802"/>
    <mergeCell ref="B819:E819"/>
    <mergeCell ref="B666:E666"/>
    <mergeCell ref="B683:E683"/>
    <mergeCell ref="B700:E700"/>
    <mergeCell ref="B717:E717"/>
    <mergeCell ref="B734:E73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EC2E-7D5E-47D2-AD70-232E7D3B63ED}">
  <dimension ref="A1:K118"/>
  <sheetViews>
    <sheetView workbookViewId="0"/>
  </sheetViews>
  <sheetFormatPr defaultRowHeight="12.5"/>
  <cols>
    <col min="1" max="1" width="8.6328125" customWidth="1"/>
    <col min="2" max="2" width="13.6328125" customWidth="1"/>
    <col min="3" max="3" width="38.6328125" customWidth="1"/>
    <col min="4" max="4" width="15.6328125" customWidth="1"/>
    <col min="5" max="7" width="14.6328125" customWidth="1"/>
    <col min="8" max="8" width="13.6328125" customWidth="1"/>
    <col min="9" max="9" width="36.6328125" customWidth="1"/>
    <col min="10" max="11" width="15.6328125" customWidth="1"/>
  </cols>
  <sheetData>
    <row r="1" spans="1:11" ht="18">
      <c r="A1" s="478" t="s">
        <v>545</v>
      </c>
    </row>
    <row r="3" spans="1:11" ht="13" thickBot="1"/>
    <row r="4" spans="1:11" ht="13">
      <c r="B4" s="480" t="s">
        <v>546</v>
      </c>
      <c r="C4" s="481"/>
      <c r="D4" s="482"/>
      <c r="I4" s="480" t="s">
        <v>547</v>
      </c>
      <c r="J4" s="481"/>
      <c r="K4" s="482"/>
    </row>
    <row r="5" spans="1:11" ht="13">
      <c r="B5" s="483"/>
      <c r="C5" s="586" t="s">
        <v>548</v>
      </c>
      <c r="D5" s="492">
        <v>0</v>
      </c>
      <c r="I5" s="483" t="s">
        <v>556</v>
      </c>
      <c r="J5" s="590">
        <f>-PMT(D6/D8,D12,D5)</f>
        <v>0</v>
      </c>
      <c r="K5" s="40"/>
    </row>
    <row r="6" spans="1:11">
      <c r="B6" s="483"/>
      <c r="C6" s="586" t="s">
        <v>549</v>
      </c>
      <c r="D6" s="487">
        <v>0.11</v>
      </c>
      <c r="I6" s="483" t="s">
        <v>557</v>
      </c>
      <c r="J6" s="592">
        <f>D12</f>
        <v>48</v>
      </c>
      <c r="K6" s="40"/>
    </row>
    <row r="7" spans="1:11">
      <c r="B7" s="483"/>
      <c r="C7" s="586" t="s">
        <v>550</v>
      </c>
      <c r="D7" s="493">
        <v>4</v>
      </c>
      <c r="I7" s="483" t="s">
        <v>558</v>
      </c>
      <c r="J7" s="592">
        <f>D8</f>
        <v>12</v>
      </c>
      <c r="K7" s="40"/>
    </row>
    <row r="8" spans="1:11">
      <c r="B8" s="483"/>
      <c r="C8" s="586" t="s">
        <v>551</v>
      </c>
      <c r="D8" s="493">
        <v>12</v>
      </c>
      <c r="I8" s="483" t="s">
        <v>559</v>
      </c>
      <c r="J8" s="587">
        <f>SUM(E19:E118)</f>
        <v>0</v>
      </c>
      <c r="K8" s="40"/>
    </row>
    <row r="9" spans="1:11">
      <c r="B9" s="483"/>
      <c r="C9" s="586" t="s">
        <v>552</v>
      </c>
      <c r="D9" s="491">
        <v>46279</v>
      </c>
      <c r="I9" s="483" t="s">
        <v>560</v>
      </c>
      <c r="J9" s="587">
        <f>SUM(H19:H118)</f>
        <v>0</v>
      </c>
      <c r="K9" s="40"/>
    </row>
    <row r="10" spans="1:11">
      <c r="B10" s="483"/>
      <c r="C10" s="586" t="s">
        <v>553</v>
      </c>
      <c r="D10" s="492">
        <v>0</v>
      </c>
      <c r="I10" s="483"/>
      <c r="J10" s="586"/>
      <c r="K10" s="40"/>
    </row>
    <row r="11" spans="1:11">
      <c r="B11" s="483"/>
      <c r="C11" s="586" t="s">
        <v>554</v>
      </c>
      <c r="D11" s="493">
        <v>0</v>
      </c>
      <c r="I11" s="483"/>
      <c r="J11" s="586"/>
      <c r="K11" s="40"/>
    </row>
    <row r="12" spans="1:11" ht="13.5" thickBot="1">
      <c r="B12" s="484"/>
      <c r="C12" s="99" t="s">
        <v>555</v>
      </c>
      <c r="D12" s="494">
        <f>D7*D8</f>
        <v>48</v>
      </c>
      <c r="I12" s="484" t="s">
        <v>561</v>
      </c>
      <c r="J12" s="99"/>
      <c r="K12" s="495">
        <f>D5+J9</f>
        <v>0</v>
      </c>
    </row>
    <row r="17" spans="1:10" ht="26">
      <c r="A17" s="496" t="s">
        <v>562</v>
      </c>
      <c r="B17" s="496" t="s">
        <v>563</v>
      </c>
      <c r="C17" s="496" t="s">
        <v>564</v>
      </c>
      <c r="D17" s="496" t="s">
        <v>556</v>
      </c>
      <c r="E17" s="496" t="s">
        <v>565</v>
      </c>
      <c r="F17" s="496" t="s">
        <v>566</v>
      </c>
      <c r="G17" s="496" t="s">
        <v>567</v>
      </c>
      <c r="H17" s="496" t="s">
        <v>568</v>
      </c>
      <c r="I17" s="496" t="s">
        <v>569</v>
      </c>
      <c r="J17" s="496" t="s">
        <v>570</v>
      </c>
    </row>
    <row r="19" spans="1:10">
      <c r="A19" s="486" t="str">
        <f t="shared" ref="A19:A50" si="0">IF(AND(N($D$5)&gt;0,ROW()-19+1&lt;=$D$12),ROW()-19+1,"")</f>
        <v/>
      </c>
      <c r="B19" s="441" t="str">
        <f t="shared" ref="B19:B50" si="1">IF($A19="","",EDATE($D$9,$A19))</f>
        <v/>
      </c>
      <c r="C19" s="485" t="str">
        <f>IF($A19="","",$D$5)</f>
        <v/>
      </c>
      <c r="D19" s="485" t="str">
        <f t="shared" ref="D19:D50" si="2">IF($A19="","",$J$5)</f>
        <v/>
      </c>
      <c r="E19" s="485" t="str">
        <f t="shared" ref="E19:E50" si="3">IF($A19="","",$D$10)</f>
        <v/>
      </c>
      <c r="F19" s="485" t="str">
        <f t="shared" ref="F19:F50" si="4">IF($A19="","",D19+E19)</f>
        <v/>
      </c>
      <c r="G19" s="485" t="str">
        <f t="shared" ref="G19:G50" si="5">IF($A19="","",MIN(F19-H19,C19))</f>
        <v/>
      </c>
      <c r="H19" s="485" t="str">
        <f t="shared" ref="H19:H50" si="6">IF($A19="","",C19*($D$6/$D$8))</f>
        <v/>
      </c>
      <c r="I19" s="485" t="str">
        <f t="shared" ref="I19:I50" si="7">IF($A19="","",C19-G19)</f>
        <v/>
      </c>
      <c r="J19" s="485" t="str">
        <f>IF($A19="","",H19)</f>
        <v/>
      </c>
    </row>
    <row r="20" spans="1:10">
      <c r="A20" s="486" t="str">
        <f t="shared" si="0"/>
        <v/>
      </c>
      <c r="B20" s="441" t="str">
        <f t="shared" si="1"/>
        <v/>
      </c>
      <c r="C20" s="485" t="str">
        <f t="shared" ref="C20:C51" si="8">IF($A20="","",I19)</f>
        <v/>
      </c>
      <c r="D20" s="485" t="str">
        <f t="shared" si="2"/>
        <v/>
      </c>
      <c r="E20" s="485" t="str">
        <f t="shared" si="3"/>
        <v/>
      </c>
      <c r="F20" s="485" t="str">
        <f t="shared" si="4"/>
        <v/>
      </c>
      <c r="G20" s="485" t="str">
        <f t="shared" si="5"/>
        <v/>
      </c>
      <c r="H20" s="485" t="str">
        <f t="shared" si="6"/>
        <v/>
      </c>
      <c r="I20" s="485" t="str">
        <f t="shared" si="7"/>
        <v/>
      </c>
      <c r="J20" s="485" t="str">
        <f t="shared" ref="J20:J51" si="9">IF($A20="","",J19+H20)</f>
        <v/>
      </c>
    </row>
    <row r="21" spans="1:10">
      <c r="A21" s="486" t="str">
        <f t="shared" si="0"/>
        <v/>
      </c>
      <c r="B21" s="441" t="str">
        <f t="shared" si="1"/>
        <v/>
      </c>
      <c r="C21" s="485" t="str">
        <f t="shared" si="8"/>
        <v/>
      </c>
      <c r="D21" s="485" t="str">
        <f t="shared" si="2"/>
        <v/>
      </c>
      <c r="E21" s="485" t="str">
        <f t="shared" si="3"/>
        <v/>
      </c>
      <c r="F21" s="485" t="str">
        <f t="shared" si="4"/>
        <v/>
      </c>
      <c r="G21" s="485" t="str">
        <f t="shared" si="5"/>
        <v/>
      </c>
      <c r="H21" s="485" t="str">
        <f t="shared" si="6"/>
        <v/>
      </c>
      <c r="I21" s="485" t="str">
        <f t="shared" si="7"/>
        <v/>
      </c>
      <c r="J21" s="485" t="str">
        <f t="shared" si="9"/>
        <v/>
      </c>
    </row>
    <row r="22" spans="1:10">
      <c r="A22" s="486" t="str">
        <f t="shared" si="0"/>
        <v/>
      </c>
      <c r="B22" s="441" t="str">
        <f t="shared" si="1"/>
        <v/>
      </c>
      <c r="C22" s="485" t="str">
        <f t="shared" si="8"/>
        <v/>
      </c>
      <c r="D22" s="485" t="str">
        <f t="shared" si="2"/>
        <v/>
      </c>
      <c r="E22" s="485" t="str">
        <f t="shared" si="3"/>
        <v/>
      </c>
      <c r="F22" s="485" t="str">
        <f t="shared" si="4"/>
        <v/>
      </c>
      <c r="G22" s="485" t="str">
        <f t="shared" si="5"/>
        <v/>
      </c>
      <c r="H22" s="485" t="str">
        <f t="shared" si="6"/>
        <v/>
      </c>
      <c r="I22" s="485" t="str">
        <f t="shared" si="7"/>
        <v/>
      </c>
      <c r="J22" s="485" t="str">
        <f t="shared" si="9"/>
        <v/>
      </c>
    </row>
    <row r="23" spans="1:10">
      <c r="A23" s="486" t="str">
        <f t="shared" si="0"/>
        <v/>
      </c>
      <c r="B23" s="441" t="str">
        <f t="shared" si="1"/>
        <v/>
      </c>
      <c r="C23" s="485" t="str">
        <f t="shared" si="8"/>
        <v/>
      </c>
      <c r="D23" s="485" t="str">
        <f t="shared" si="2"/>
        <v/>
      </c>
      <c r="E23" s="485" t="str">
        <f t="shared" si="3"/>
        <v/>
      </c>
      <c r="F23" s="485" t="str">
        <f t="shared" si="4"/>
        <v/>
      </c>
      <c r="G23" s="485" t="str">
        <f t="shared" si="5"/>
        <v/>
      </c>
      <c r="H23" s="485" t="str">
        <f t="shared" si="6"/>
        <v/>
      </c>
      <c r="I23" s="485" t="str">
        <f t="shared" si="7"/>
        <v/>
      </c>
      <c r="J23" s="485" t="str">
        <f t="shared" si="9"/>
        <v/>
      </c>
    </row>
    <row r="24" spans="1:10">
      <c r="A24" s="486" t="str">
        <f t="shared" si="0"/>
        <v/>
      </c>
      <c r="B24" s="441" t="str">
        <f t="shared" si="1"/>
        <v/>
      </c>
      <c r="C24" s="485" t="str">
        <f t="shared" si="8"/>
        <v/>
      </c>
      <c r="D24" s="485" t="str">
        <f t="shared" si="2"/>
        <v/>
      </c>
      <c r="E24" s="485" t="str">
        <f t="shared" si="3"/>
        <v/>
      </c>
      <c r="F24" s="485" t="str">
        <f t="shared" si="4"/>
        <v/>
      </c>
      <c r="G24" s="485" t="str">
        <f t="shared" si="5"/>
        <v/>
      </c>
      <c r="H24" s="485" t="str">
        <f t="shared" si="6"/>
        <v/>
      </c>
      <c r="I24" s="485" t="str">
        <f t="shared" si="7"/>
        <v/>
      </c>
      <c r="J24" s="485" t="str">
        <f t="shared" si="9"/>
        <v/>
      </c>
    </row>
    <row r="25" spans="1:10">
      <c r="A25" s="486" t="str">
        <f t="shared" si="0"/>
        <v/>
      </c>
      <c r="B25" s="441" t="str">
        <f t="shared" si="1"/>
        <v/>
      </c>
      <c r="C25" s="485" t="str">
        <f t="shared" si="8"/>
        <v/>
      </c>
      <c r="D25" s="485" t="str">
        <f t="shared" si="2"/>
        <v/>
      </c>
      <c r="E25" s="485" t="str">
        <f t="shared" si="3"/>
        <v/>
      </c>
      <c r="F25" s="485" t="str">
        <f t="shared" si="4"/>
        <v/>
      </c>
      <c r="G25" s="485" t="str">
        <f t="shared" si="5"/>
        <v/>
      </c>
      <c r="H25" s="485" t="str">
        <f t="shared" si="6"/>
        <v/>
      </c>
      <c r="I25" s="485" t="str">
        <f t="shared" si="7"/>
        <v/>
      </c>
      <c r="J25" s="485" t="str">
        <f t="shared" si="9"/>
        <v/>
      </c>
    </row>
    <row r="26" spans="1:10">
      <c r="A26" s="486" t="str">
        <f t="shared" si="0"/>
        <v/>
      </c>
      <c r="B26" s="441" t="str">
        <f t="shared" si="1"/>
        <v/>
      </c>
      <c r="C26" s="485" t="str">
        <f t="shared" si="8"/>
        <v/>
      </c>
      <c r="D26" s="485" t="str">
        <f t="shared" si="2"/>
        <v/>
      </c>
      <c r="E26" s="485" t="str">
        <f t="shared" si="3"/>
        <v/>
      </c>
      <c r="F26" s="485" t="str">
        <f t="shared" si="4"/>
        <v/>
      </c>
      <c r="G26" s="485" t="str">
        <f t="shared" si="5"/>
        <v/>
      </c>
      <c r="H26" s="485" t="str">
        <f t="shared" si="6"/>
        <v/>
      </c>
      <c r="I26" s="485" t="str">
        <f t="shared" si="7"/>
        <v/>
      </c>
      <c r="J26" s="485" t="str">
        <f t="shared" si="9"/>
        <v/>
      </c>
    </row>
    <row r="27" spans="1:10">
      <c r="A27" s="486" t="str">
        <f t="shared" si="0"/>
        <v/>
      </c>
      <c r="B27" s="441" t="str">
        <f t="shared" si="1"/>
        <v/>
      </c>
      <c r="C27" s="485" t="str">
        <f t="shared" si="8"/>
        <v/>
      </c>
      <c r="D27" s="485" t="str">
        <f t="shared" si="2"/>
        <v/>
      </c>
      <c r="E27" s="485" t="str">
        <f t="shared" si="3"/>
        <v/>
      </c>
      <c r="F27" s="485" t="str">
        <f t="shared" si="4"/>
        <v/>
      </c>
      <c r="G27" s="485" t="str">
        <f t="shared" si="5"/>
        <v/>
      </c>
      <c r="H27" s="485" t="str">
        <f t="shared" si="6"/>
        <v/>
      </c>
      <c r="I27" s="485" t="str">
        <f t="shared" si="7"/>
        <v/>
      </c>
      <c r="J27" s="485" t="str">
        <f t="shared" si="9"/>
        <v/>
      </c>
    </row>
    <row r="28" spans="1:10">
      <c r="A28" s="486" t="str">
        <f t="shared" si="0"/>
        <v/>
      </c>
      <c r="B28" s="441" t="str">
        <f t="shared" si="1"/>
        <v/>
      </c>
      <c r="C28" s="485" t="str">
        <f t="shared" si="8"/>
        <v/>
      </c>
      <c r="D28" s="485" t="str">
        <f t="shared" si="2"/>
        <v/>
      </c>
      <c r="E28" s="485" t="str">
        <f t="shared" si="3"/>
        <v/>
      </c>
      <c r="F28" s="485" t="str">
        <f t="shared" si="4"/>
        <v/>
      </c>
      <c r="G28" s="485" t="str">
        <f t="shared" si="5"/>
        <v/>
      </c>
      <c r="H28" s="485" t="str">
        <f t="shared" si="6"/>
        <v/>
      </c>
      <c r="I28" s="485" t="str">
        <f t="shared" si="7"/>
        <v/>
      </c>
      <c r="J28" s="485" t="str">
        <f t="shared" si="9"/>
        <v/>
      </c>
    </row>
    <row r="29" spans="1:10">
      <c r="A29" s="486" t="str">
        <f t="shared" si="0"/>
        <v/>
      </c>
      <c r="B29" s="441" t="str">
        <f t="shared" si="1"/>
        <v/>
      </c>
      <c r="C29" s="485" t="str">
        <f t="shared" si="8"/>
        <v/>
      </c>
      <c r="D29" s="485" t="str">
        <f t="shared" si="2"/>
        <v/>
      </c>
      <c r="E29" s="485" t="str">
        <f t="shared" si="3"/>
        <v/>
      </c>
      <c r="F29" s="485" t="str">
        <f t="shared" si="4"/>
        <v/>
      </c>
      <c r="G29" s="485" t="str">
        <f t="shared" si="5"/>
        <v/>
      </c>
      <c r="H29" s="485" t="str">
        <f t="shared" si="6"/>
        <v/>
      </c>
      <c r="I29" s="485" t="str">
        <f t="shared" si="7"/>
        <v/>
      </c>
      <c r="J29" s="485" t="str">
        <f t="shared" si="9"/>
        <v/>
      </c>
    </row>
    <row r="30" spans="1:10">
      <c r="A30" s="486" t="str">
        <f t="shared" si="0"/>
        <v/>
      </c>
      <c r="B30" s="441" t="str">
        <f t="shared" si="1"/>
        <v/>
      </c>
      <c r="C30" s="485" t="str">
        <f t="shared" si="8"/>
        <v/>
      </c>
      <c r="D30" s="485" t="str">
        <f t="shared" si="2"/>
        <v/>
      </c>
      <c r="E30" s="485" t="str">
        <f t="shared" si="3"/>
        <v/>
      </c>
      <c r="F30" s="485" t="str">
        <f t="shared" si="4"/>
        <v/>
      </c>
      <c r="G30" s="485" t="str">
        <f t="shared" si="5"/>
        <v/>
      </c>
      <c r="H30" s="485" t="str">
        <f t="shared" si="6"/>
        <v/>
      </c>
      <c r="I30" s="485" t="str">
        <f t="shared" si="7"/>
        <v/>
      </c>
      <c r="J30" s="485" t="str">
        <f t="shared" si="9"/>
        <v/>
      </c>
    </row>
    <row r="31" spans="1:10">
      <c r="A31" s="486" t="str">
        <f t="shared" si="0"/>
        <v/>
      </c>
      <c r="B31" s="441" t="str">
        <f t="shared" si="1"/>
        <v/>
      </c>
      <c r="C31" s="485" t="str">
        <f t="shared" si="8"/>
        <v/>
      </c>
      <c r="D31" s="485" t="str">
        <f t="shared" si="2"/>
        <v/>
      </c>
      <c r="E31" s="485" t="str">
        <f t="shared" si="3"/>
        <v/>
      </c>
      <c r="F31" s="485" t="str">
        <f t="shared" si="4"/>
        <v/>
      </c>
      <c r="G31" s="485" t="str">
        <f t="shared" si="5"/>
        <v/>
      </c>
      <c r="H31" s="485" t="str">
        <f t="shared" si="6"/>
        <v/>
      </c>
      <c r="I31" s="485" t="str">
        <f t="shared" si="7"/>
        <v/>
      </c>
      <c r="J31" s="485" t="str">
        <f t="shared" si="9"/>
        <v/>
      </c>
    </row>
    <row r="32" spans="1:10">
      <c r="A32" s="486" t="str">
        <f t="shared" si="0"/>
        <v/>
      </c>
      <c r="B32" s="441" t="str">
        <f t="shared" si="1"/>
        <v/>
      </c>
      <c r="C32" s="485" t="str">
        <f t="shared" si="8"/>
        <v/>
      </c>
      <c r="D32" s="485" t="str">
        <f t="shared" si="2"/>
        <v/>
      </c>
      <c r="E32" s="485" t="str">
        <f t="shared" si="3"/>
        <v/>
      </c>
      <c r="F32" s="485" t="str">
        <f t="shared" si="4"/>
        <v/>
      </c>
      <c r="G32" s="485" t="str">
        <f t="shared" si="5"/>
        <v/>
      </c>
      <c r="H32" s="485" t="str">
        <f t="shared" si="6"/>
        <v/>
      </c>
      <c r="I32" s="485" t="str">
        <f t="shared" si="7"/>
        <v/>
      </c>
      <c r="J32" s="485" t="str">
        <f t="shared" si="9"/>
        <v/>
      </c>
    </row>
    <row r="33" spans="1:10">
      <c r="A33" s="486" t="str">
        <f t="shared" si="0"/>
        <v/>
      </c>
      <c r="B33" s="441" t="str">
        <f t="shared" si="1"/>
        <v/>
      </c>
      <c r="C33" s="485" t="str">
        <f t="shared" si="8"/>
        <v/>
      </c>
      <c r="D33" s="485" t="str">
        <f t="shared" si="2"/>
        <v/>
      </c>
      <c r="E33" s="485" t="str">
        <f t="shared" si="3"/>
        <v/>
      </c>
      <c r="F33" s="485" t="str">
        <f t="shared" si="4"/>
        <v/>
      </c>
      <c r="G33" s="485" t="str">
        <f t="shared" si="5"/>
        <v/>
      </c>
      <c r="H33" s="485" t="str">
        <f t="shared" si="6"/>
        <v/>
      </c>
      <c r="I33" s="485" t="str">
        <f t="shared" si="7"/>
        <v/>
      </c>
      <c r="J33" s="485" t="str">
        <f t="shared" si="9"/>
        <v/>
      </c>
    </row>
    <row r="34" spans="1:10">
      <c r="A34" s="486" t="str">
        <f t="shared" si="0"/>
        <v/>
      </c>
      <c r="B34" s="441" t="str">
        <f t="shared" si="1"/>
        <v/>
      </c>
      <c r="C34" s="485" t="str">
        <f t="shared" si="8"/>
        <v/>
      </c>
      <c r="D34" s="485" t="str">
        <f t="shared" si="2"/>
        <v/>
      </c>
      <c r="E34" s="485" t="str">
        <f t="shared" si="3"/>
        <v/>
      </c>
      <c r="F34" s="485" t="str">
        <f t="shared" si="4"/>
        <v/>
      </c>
      <c r="G34" s="485" t="str">
        <f t="shared" si="5"/>
        <v/>
      </c>
      <c r="H34" s="485" t="str">
        <f t="shared" si="6"/>
        <v/>
      </c>
      <c r="I34" s="485" t="str">
        <f t="shared" si="7"/>
        <v/>
      </c>
      <c r="J34" s="485" t="str">
        <f t="shared" si="9"/>
        <v/>
      </c>
    </row>
    <row r="35" spans="1:10">
      <c r="A35" s="486" t="str">
        <f t="shared" si="0"/>
        <v/>
      </c>
      <c r="B35" s="441" t="str">
        <f t="shared" si="1"/>
        <v/>
      </c>
      <c r="C35" s="485" t="str">
        <f t="shared" si="8"/>
        <v/>
      </c>
      <c r="D35" s="485" t="str">
        <f t="shared" si="2"/>
        <v/>
      </c>
      <c r="E35" s="485" t="str">
        <f t="shared" si="3"/>
        <v/>
      </c>
      <c r="F35" s="485" t="str">
        <f t="shared" si="4"/>
        <v/>
      </c>
      <c r="G35" s="485" t="str">
        <f t="shared" si="5"/>
        <v/>
      </c>
      <c r="H35" s="485" t="str">
        <f t="shared" si="6"/>
        <v/>
      </c>
      <c r="I35" s="485" t="str">
        <f t="shared" si="7"/>
        <v/>
      </c>
      <c r="J35" s="485" t="str">
        <f t="shared" si="9"/>
        <v/>
      </c>
    </row>
    <row r="36" spans="1:10">
      <c r="A36" s="486" t="str">
        <f t="shared" si="0"/>
        <v/>
      </c>
      <c r="B36" s="441" t="str">
        <f t="shared" si="1"/>
        <v/>
      </c>
      <c r="C36" s="485" t="str">
        <f t="shared" si="8"/>
        <v/>
      </c>
      <c r="D36" s="485" t="str">
        <f t="shared" si="2"/>
        <v/>
      </c>
      <c r="E36" s="485" t="str">
        <f t="shared" si="3"/>
        <v/>
      </c>
      <c r="F36" s="485" t="str">
        <f t="shared" si="4"/>
        <v/>
      </c>
      <c r="G36" s="485" t="str">
        <f t="shared" si="5"/>
        <v/>
      </c>
      <c r="H36" s="485" t="str">
        <f t="shared" si="6"/>
        <v/>
      </c>
      <c r="I36" s="485" t="str">
        <f t="shared" si="7"/>
        <v/>
      </c>
      <c r="J36" s="485" t="str">
        <f t="shared" si="9"/>
        <v/>
      </c>
    </row>
    <row r="37" spans="1:10">
      <c r="A37" s="486" t="str">
        <f t="shared" si="0"/>
        <v/>
      </c>
      <c r="B37" s="441" t="str">
        <f t="shared" si="1"/>
        <v/>
      </c>
      <c r="C37" s="485" t="str">
        <f t="shared" si="8"/>
        <v/>
      </c>
      <c r="D37" s="485" t="str">
        <f t="shared" si="2"/>
        <v/>
      </c>
      <c r="E37" s="485" t="str">
        <f t="shared" si="3"/>
        <v/>
      </c>
      <c r="F37" s="485" t="str">
        <f t="shared" si="4"/>
        <v/>
      </c>
      <c r="G37" s="485" t="str">
        <f t="shared" si="5"/>
        <v/>
      </c>
      <c r="H37" s="485" t="str">
        <f t="shared" si="6"/>
        <v/>
      </c>
      <c r="I37" s="485" t="str">
        <f t="shared" si="7"/>
        <v/>
      </c>
      <c r="J37" s="485" t="str">
        <f t="shared" si="9"/>
        <v/>
      </c>
    </row>
    <row r="38" spans="1:10">
      <c r="A38" s="486" t="str">
        <f t="shared" si="0"/>
        <v/>
      </c>
      <c r="B38" s="441" t="str">
        <f t="shared" si="1"/>
        <v/>
      </c>
      <c r="C38" s="485" t="str">
        <f t="shared" si="8"/>
        <v/>
      </c>
      <c r="D38" s="485" t="str">
        <f t="shared" si="2"/>
        <v/>
      </c>
      <c r="E38" s="485" t="str">
        <f t="shared" si="3"/>
        <v/>
      </c>
      <c r="F38" s="485" t="str">
        <f t="shared" si="4"/>
        <v/>
      </c>
      <c r="G38" s="485" t="str">
        <f t="shared" si="5"/>
        <v/>
      </c>
      <c r="H38" s="485" t="str">
        <f t="shared" si="6"/>
        <v/>
      </c>
      <c r="I38" s="485" t="str">
        <f t="shared" si="7"/>
        <v/>
      </c>
      <c r="J38" s="485" t="str">
        <f t="shared" si="9"/>
        <v/>
      </c>
    </row>
    <row r="39" spans="1:10">
      <c r="A39" s="486" t="str">
        <f t="shared" si="0"/>
        <v/>
      </c>
      <c r="B39" s="441" t="str">
        <f t="shared" si="1"/>
        <v/>
      </c>
      <c r="C39" s="485" t="str">
        <f t="shared" si="8"/>
        <v/>
      </c>
      <c r="D39" s="485" t="str">
        <f t="shared" si="2"/>
        <v/>
      </c>
      <c r="E39" s="485" t="str">
        <f t="shared" si="3"/>
        <v/>
      </c>
      <c r="F39" s="485" t="str">
        <f t="shared" si="4"/>
        <v/>
      </c>
      <c r="G39" s="485" t="str">
        <f t="shared" si="5"/>
        <v/>
      </c>
      <c r="H39" s="485" t="str">
        <f t="shared" si="6"/>
        <v/>
      </c>
      <c r="I39" s="485" t="str">
        <f t="shared" si="7"/>
        <v/>
      </c>
      <c r="J39" s="485" t="str">
        <f t="shared" si="9"/>
        <v/>
      </c>
    </row>
    <row r="40" spans="1:10">
      <c r="A40" s="486" t="str">
        <f t="shared" si="0"/>
        <v/>
      </c>
      <c r="B40" s="441" t="str">
        <f t="shared" si="1"/>
        <v/>
      </c>
      <c r="C40" s="485" t="str">
        <f t="shared" si="8"/>
        <v/>
      </c>
      <c r="D40" s="485" t="str">
        <f t="shared" si="2"/>
        <v/>
      </c>
      <c r="E40" s="485" t="str">
        <f t="shared" si="3"/>
        <v/>
      </c>
      <c r="F40" s="485" t="str">
        <f t="shared" si="4"/>
        <v/>
      </c>
      <c r="G40" s="485" t="str">
        <f t="shared" si="5"/>
        <v/>
      </c>
      <c r="H40" s="485" t="str">
        <f t="shared" si="6"/>
        <v/>
      </c>
      <c r="I40" s="485" t="str">
        <f t="shared" si="7"/>
        <v/>
      </c>
      <c r="J40" s="485" t="str">
        <f t="shared" si="9"/>
        <v/>
      </c>
    </row>
    <row r="41" spans="1:10">
      <c r="A41" s="486" t="str">
        <f t="shared" si="0"/>
        <v/>
      </c>
      <c r="B41" s="441" t="str">
        <f t="shared" si="1"/>
        <v/>
      </c>
      <c r="C41" s="485" t="str">
        <f t="shared" si="8"/>
        <v/>
      </c>
      <c r="D41" s="485" t="str">
        <f t="shared" si="2"/>
        <v/>
      </c>
      <c r="E41" s="485" t="str">
        <f t="shared" si="3"/>
        <v/>
      </c>
      <c r="F41" s="485" t="str">
        <f t="shared" si="4"/>
        <v/>
      </c>
      <c r="G41" s="485" t="str">
        <f t="shared" si="5"/>
        <v/>
      </c>
      <c r="H41" s="485" t="str">
        <f t="shared" si="6"/>
        <v/>
      </c>
      <c r="I41" s="485" t="str">
        <f t="shared" si="7"/>
        <v/>
      </c>
      <c r="J41" s="485" t="str">
        <f t="shared" si="9"/>
        <v/>
      </c>
    </row>
    <row r="42" spans="1:10">
      <c r="A42" s="486" t="str">
        <f t="shared" si="0"/>
        <v/>
      </c>
      <c r="B42" s="441" t="str">
        <f t="shared" si="1"/>
        <v/>
      </c>
      <c r="C42" s="485" t="str">
        <f t="shared" si="8"/>
        <v/>
      </c>
      <c r="D42" s="485" t="str">
        <f t="shared" si="2"/>
        <v/>
      </c>
      <c r="E42" s="485" t="str">
        <f t="shared" si="3"/>
        <v/>
      </c>
      <c r="F42" s="485" t="str">
        <f t="shared" si="4"/>
        <v/>
      </c>
      <c r="G42" s="485" t="str">
        <f t="shared" si="5"/>
        <v/>
      </c>
      <c r="H42" s="485" t="str">
        <f t="shared" si="6"/>
        <v/>
      </c>
      <c r="I42" s="485" t="str">
        <f t="shared" si="7"/>
        <v/>
      </c>
      <c r="J42" s="485" t="str">
        <f t="shared" si="9"/>
        <v/>
      </c>
    </row>
    <row r="43" spans="1:10">
      <c r="A43" s="486" t="str">
        <f t="shared" si="0"/>
        <v/>
      </c>
      <c r="B43" s="441" t="str">
        <f t="shared" si="1"/>
        <v/>
      </c>
      <c r="C43" s="485" t="str">
        <f t="shared" si="8"/>
        <v/>
      </c>
      <c r="D43" s="485" t="str">
        <f t="shared" si="2"/>
        <v/>
      </c>
      <c r="E43" s="485" t="str">
        <f t="shared" si="3"/>
        <v/>
      </c>
      <c r="F43" s="485" t="str">
        <f t="shared" si="4"/>
        <v/>
      </c>
      <c r="G43" s="485" t="str">
        <f t="shared" si="5"/>
        <v/>
      </c>
      <c r="H43" s="485" t="str">
        <f t="shared" si="6"/>
        <v/>
      </c>
      <c r="I43" s="485" t="str">
        <f t="shared" si="7"/>
        <v/>
      </c>
      <c r="J43" s="485" t="str">
        <f t="shared" si="9"/>
        <v/>
      </c>
    </row>
    <row r="44" spans="1:10">
      <c r="A44" s="486" t="str">
        <f t="shared" si="0"/>
        <v/>
      </c>
      <c r="B44" s="441" t="str">
        <f t="shared" si="1"/>
        <v/>
      </c>
      <c r="C44" s="485" t="str">
        <f t="shared" si="8"/>
        <v/>
      </c>
      <c r="D44" s="485" t="str">
        <f t="shared" si="2"/>
        <v/>
      </c>
      <c r="E44" s="485" t="str">
        <f t="shared" si="3"/>
        <v/>
      </c>
      <c r="F44" s="485" t="str">
        <f t="shared" si="4"/>
        <v/>
      </c>
      <c r="G44" s="485" t="str">
        <f t="shared" si="5"/>
        <v/>
      </c>
      <c r="H44" s="485" t="str">
        <f t="shared" si="6"/>
        <v/>
      </c>
      <c r="I44" s="485" t="str">
        <f t="shared" si="7"/>
        <v/>
      </c>
      <c r="J44" s="485" t="str">
        <f t="shared" si="9"/>
        <v/>
      </c>
    </row>
    <row r="45" spans="1:10">
      <c r="A45" s="486" t="str">
        <f t="shared" si="0"/>
        <v/>
      </c>
      <c r="B45" s="441" t="str">
        <f t="shared" si="1"/>
        <v/>
      </c>
      <c r="C45" s="485" t="str">
        <f t="shared" si="8"/>
        <v/>
      </c>
      <c r="D45" s="485" t="str">
        <f t="shared" si="2"/>
        <v/>
      </c>
      <c r="E45" s="485" t="str">
        <f t="shared" si="3"/>
        <v/>
      </c>
      <c r="F45" s="485" t="str">
        <f t="shared" si="4"/>
        <v/>
      </c>
      <c r="G45" s="485" t="str">
        <f t="shared" si="5"/>
        <v/>
      </c>
      <c r="H45" s="485" t="str">
        <f t="shared" si="6"/>
        <v/>
      </c>
      <c r="I45" s="485" t="str">
        <f t="shared" si="7"/>
        <v/>
      </c>
      <c r="J45" s="485" t="str">
        <f t="shared" si="9"/>
        <v/>
      </c>
    </row>
    <row r="46" spans="1:10">
      <c r="A46" s="486" t="str">
        <f t="shared" si="0"/>
        <v/>
      </c>
      <c r="B46" s="441" t="str">
        <f t="shared" si="1"/>
        <v/>
      </c>
      <c r="C46" s="485" t="str">
        <f t="shared" si="8"/>
        <v/>
      </c>
      <c r="D46" s="485" t="str">
        <f t="shared" si="2"/>
        <v/>
      </c>
      <c r="E46" s="485" t="str">
        <f t="shared" si="3"/>
        <v/>
      </c>
      <c r="F46" s="485" t="str">
        <f t="shared" si="4"/>
        <v/>
      </c>
      <c r="G46" s="485" t="str">
        <f t="shared" si="5"/>
        <v/>
      </c>
      <c r="H46" s="485" t="str">
        <f t="shared" si="6"/>
        <v/>
      </c>
      <c r="I46" s="485" t="str">
        <f t="shared" si="7"/>
        <v/>
      </c>
      <c r="J46" s="485" t="str">
        <f t="shared" si="9"/>
        <v/>
      </c>
    </row>
    <row r="47" spans="1:10">
      <c r="A47" s="486" t="str">
        <f t="shared" si="0"/>
        <v/>
      </c>
      <c r="B47" s="441" t="str">
        <f t="shared" si="1"/>
        <v/>
      </c>
      <c r="C47" s="485" t="str">
        <f t="shared" si="8"/>
        <v/>
      </c>
      <c r="D47" s="485" t="str">
        <f t="shared" si="2"/>
        <v/>
      </c>
      <c r="E47" s="485" t="str">
        <f t="shared" si="3"/>
        <v/>
      </c>
      <c r="F47" s="485" t="str">
        <f t="shared" si="4"/>
        <v/>
      </c>
      <c r="G47" s="485" t="str">
        <f t="shared" si="5"/>
        <v/>
      </c>
      <c r="H47" s="485" t="str">
        <f t="shared" si="6"/>
        <v/>
      </c>
      <c r="I47" s="485" t="str">
        <f t="shared" si="7"/>
        <v/>
      </c>
      <c r="J47" s="485" t="str">
        <f t="shared" si="9"/>
        <v/>
      </c>
    </row>
    <row r="48" spans="1:10">
      <c r="A48" s="486" t="str">
        <f t="shared" si="0"/>
        <v/>
      </c>
      <c r="B48" s="441" t="str">
        <f t="shared" si="1"/>
        <v/>
      </c>
      <c r="C48" s="485" t="str">
        <f t="shared" si="8"/>
        <v/>
      </c>
      <c r="D48" s="485" t="str">
        <f t="shared" si="2"/>
        <v/>
      </c>
      <c r="E48" s="485" t="str">
        <f t="shared" si="3"/>
        <v/>
      </c>
      <c r="F48" s="485" t="str">
        <f t="shared" si="4"/>
        <v/>
      </c>
      <c r="G48" s="485" t="str">
        <f t="shared" si="5"/>
        <v/>
      </c>
      <c r="H48" s="485" t="str">
        <f t="shared" si="6"/>
        <v/>
      </c>
      <c r="I48" s="485" t="str">
        <f t="shared" si="7"/>
        <v/>
      </c>
      <c r="J48" s="485" t="str">
        <f t="shared" si="9"/>
        <v/>
      </c>
    </row>
    <row r="49" spans="1:10">
      <c r="A49" s="486" t="str">
        <f t="shared" si="0"/>
        <v/>
      </c>
      <c r="B49" s="441" t="str">
        <f t="shared" si="1"/>
        <v/>
      </c>
      <c r="C49" s="485" t="str">
        <f t="shared" si="8"/>
        <v/>
      </c>
      <c r="D49" s="485" t="str">
        <f t="shared" si="2"/>
        <v/>
      </c>
      <c r="E49" s="485" t="str">
        <f t="shared" si="3"/>
        <v/>
      </c>
      <c r="F49" s="485" t="str">
        <f t="shared" si="4"/>
        <v/>
      </c>
      <c r="G49" s="485" t="str">
        <f t="shared" si="5"/>
        <v/>
      </c>
      <c r="H49" s="485" t="str">
        <f t="shared" si="6"/>
        <v/>
      </c>
      <c r="I49" s="485" t="str">
        <f t="shared" si="7"/>
        <v/>
      </c>
      <c r="J49" s="485" t="str">
        <f t="shared" si="9"/>
        <v/>
      </c>
    </row>
    <row r="50" spans="1:10">
      <c r="A50" s="486" t="str">
        <f t="shared" si="0"/>
        <v/>
      </c>
      <c r="B50" s="441" t="str">
        <f t="shared" si="1"/>
        <v/>
      </c>
      <c r="C50" s="485" t="str">
        <f t="shared" si="8"/>
        <v/>
      </c>
      <c r="D50" s="485" t="str">
        <f t="shared" si="2"/>
        <v/>
      </c>
      <c r="E50" s="485" t="str">
        <f t="shared" si="3"/>
        <v/>
      </c>
      <c r="F50" s="485" t="str">
        <f t="shared" si="4"/>
        <v/>
      </c>
      <c r="G50" s="485" t="str">
        <f t="shared" si="5"/>
        <v/>
      </c>
      <c r="H50" s="485" t="str">
        <f t="shared" si="6"/>
        <v/>
      </c>
      <c r="I50" s="485" t="str">
        <f t="shared" si="7"/>
        <v/>
      </c>
      <c r="J50" s="485" t="str">
        <f t="shared" si="9"/>
        <v/>
      </c>
    </row>
    <row r="51" spans="1:10">
      <c r="A51" s="486" t="str">
        <f t="shared" ref="A51:A82" si="10">IF(AND(N($D$5)&gt;0,ROW()-19+1&lt;=$D$12),ROW()-19+1,"")</f>
        <v/>
      </c>
      <c r="B51" s="441" t="str">
        <f t="shared" ref="B51:B82" si="11">IF($A51="","",EDATE($D$9,$A51))</f>
        <v/>
      </c>
      <c r="C51" s="485" t="str">
        <f t="shared" si="8"/>
        <v/>
      </c>
      <c r="D51" s="485" t="str">
        <f t="shared" ref="D51:D82" si="12">IF($A51="","",$J$5)</f>
        <v/>
      </c>
      <c r="E51" s="485" t="str">
        <f t="shared" ref="E51:E82" si="13">IF($A51="","",$D$10)</f>
        <v/>
      </c>
      <c r="F51" s="485" t="str">
        <f t="shared" ref="F51:F82" si="14">IF($A51="","",D51+E51)</f>
        <v/>
      </c>
      <c r="G51" s="485" t="str">
        <f t="shared" ref="G51:G82" si="15">IF($A51="","",MIN(F51-H51,C51))</f>
        <v/>
      </c>
      <c r="H51" s="485" t="str">
        <f t="shared" ref="H51:H82" si="16">IF($A51="","",C51*($D$6/$D$8))</f>
        <v/>
      </c>
      <c r="I51" s="485" t="str">
        <f t="shared" ref="I51:I82" si="17">IF($A51="","",C51-G51)</f>
        <v/>
      </c>
      <c r="J51" s="485" t="str">
        <f t="shared" si="9"/>
        <v/>
      </c>
    </row>
    <row r="52" spans="1:10">
      <c r="A52" s="486" t="str">
        <f t="shared" si="10"/>
        <v/>
      </c>
      <c r="B52" s="441" t="str">
        <f t="shared" si="11"/>
        <v/>
      </c>
      <c r="C52" s="485" t="str">
        <f t="shared" ref="C52:C83" si="18">IF($A52="","",I51)</f>
        <v/>
      </c>
      <c r="D52" s="485" t="str">
        <f t="shared" si="12"/>
        <v/>
      </c>
      <c r="E52" s="485" t="str">
        <f t="shared" si="13"/>
        <v/>
      </c>
      <c r="F52" s="485" t="str">
        <f t="shared" si="14"/>
        <v/>
      </c>
      <c r="G52" s="485" t="str">
        <f t="shared" si="15"/>
        <v/>
      </c>
      <c r="H52" s="485" t="str">
        <f t="shared" si="16"/>
        <v/>
      </c>
      <c r="I52" s="485" t="str">
        <f t="shared" si="17"/>
        <v/>
      </c>
      <c r="J52" s="485" t="str">
        <f t="shared" ref="J52:J83" si="19">IF($A52="","",J51+H52)</f>
        <v/>
      </c>
    </row>
    <row r="53" spans="1:10">
      <c r="A53" s="486" t="str">
        <f t="shared" si="10"/>
        <v/>
      </c>
      <c r="B53" s="441" t="str">
        <f t="shared" si="11"/>
        <v/>
      </c>
      <c r="C53" s="485" t="str">
        <f t="shared" si="18"/>
        <v/>
      </c>
      <c r="D53" s="485" t="str">
        <f t="shared" si="12"/>
        <v/>
      </c>
      <c r="E53" s="485" t="str">
        <f t="shared" si="13"/>
        <v/>
      </c>
      <c r="F53" s="485" t="str">
        <f t="shared" si="14"/>
        <v/>
      </c>
      <c r="G53" s="485" t="str">
        <f t="shared" si="15"/>
        <v/>
      </c>
      <c r="H53" s="485" t="str">
        <f t="shared" si="16"/>
        <v/>
      </c>
      <c r="I53" s="485" t="str">
        <f t="shared" si="17"/>
        <v/>
      </c>
      <c r="J53" s="485" t="str">
        <f t="shared" si="19"/>
        <v/>
      </c>
    </row>
    <row r="54" spans="1:10">
      <c r="A54" s="486" t="str">
        <f t="shared" si="10"/>
        <v/>
      </c>
      <c r="B54" s="441" t="str">
        <f t="shared" si="11"/>
        <v/>
      </c>
      <c r="C54" s="485" t="str">
        <f t="shared" si="18"/>
        <v/>
      </c>
      <c r="D54" s="485" t="str">
        <f t="shared" si="12"/>
        <v/>
      </c>
      <c r="E54" s="485" t="str">
        <f t="shared" si="13"/>
        <v/>
      </c>
      <c r="F54" s="485" t="str">
        <f t="shared" si="14"/>
        <v/>
      </c>
      <c r="G54" s="485" t="str">
        <f t="shared" si="15"/>
        <v/>
      </c>
      <c r="H54" s="485" t="str">
        <f t="shared" si="16"/>
        <v/>
      </c>
      <c r="I54" s="485" t="str">
        <f t="shared" si="17"/>
        <v/>
      </c>
      <c r="J54" s="485" t="str">
        <f t="shared" si="19"/>
        <v/>
      </c>
    </row>
    <row r="55" spans="1:10">
      <c r="A55" s="486" t="str">
        <f t="shared" si="10"/>
        <v/>
      </c>
      <c r="B55" s="441" t="str">
        <f t="shared" si="11"/>
        <v/>
      </c>
      <c r="C55" s="485" t="str">
        <f t="shared" si="18"/>
        <v/>
      </c>
      <c r="D55" s="485" t="str">
        <f t="shared" si="12"/>
        <v/>
      </c>
      <c r="E55" s="485" t="str">
        <f t="shared" si="13"/>
        <v/>
      </c>
      <c r="F55" s="485" t="str">
        <f t="shared" si="14"/>
        <v/>
      </c>
      <c r="G55" s="485" t="str">
        <f t="shared" si="15"/>
        <v/>
      </c>
      <c r="H55" s="485" t="str">
        <f t="shared" si="16"/>
        <v/>
      </c>
      <c r="I55" s="485" t="str">
        <f t="shared" si="17"/>
        <v/>
      </c>
      <c r="J55" s="485" t="str">
        <f t="shared" si="19"/>
        <v/>
      </c>
    </row>
    <row r="56" spans="1:10">
      <c r="A56" s="486" t="str">
        <f t="shared" si="10"/>
        <v/>
      </c>
      <c r="B56" s="441" t="str">
        <f t="shared" si="11"/>
        <v/>
      </c>
      <c r="C56" s="485" t="str">
        <f t="shared" si="18"/>
        <v/>
      </c>
      <c r="D56" s="485" t="str">
        <f t="shared" si="12"/>
        <v/>
      </c>
      <c r="E56" s="485" t="str">
        <f t="shared" si="13"/>
        <v/>
      </c>
      <c r="F56" s="485" t="str">
        <f t="shared" si="14"/>
        <v/>
      </c>
      <c r="G56" s="485" t="str">
        <f t="shared" si="15"/>
        <v/>
      </c>
      <c r="H56" s="485" t="str">
        <f t="shared" si="16"/>
        <v/>
      </c>
      <c r="I56" s="485" t="str">
        <f t="shared" si="17"/>
        <v/>
      </c>
      <c r="J56" s="485" t="str">
        <f t="shared" si="19"/>
        <v/>
      </c>
    </row>
    <row r="57" spans="1:10">
      <c r="A57" s="486" t="str">
        <f t="shared" si="10"/>
        <v/>
      </c>
      <c r="B57" s="441" t="str">
        <f t="shared" si="11"/>
        <v/>
      </c>
      <c r="C57" s="485" t="str">
        <f t="shared" si="18"/>
        <v/>
      </c>
      <c r="D57" s="485" t="str">
        <f t="shared" si="12"/>
        <v/>
      </c>
      <c r="E57" s="485" t="str">
        <f t="shared" si="13"/>
        <v/>
      </c>
      <c r="F57" s="485" t="str">
        <f t="shared" si="14"/>
        <v/>
      </c>
      <c r="G57" s="485" t="str">
        <f t="shared" si="15"/>
        <v/>
      </c>
      <c r="H57" s="485" t="str">
        <f t="shared" si="16"/>
        <v/>
      </c>
      <c r="I57" s="485" t="str">
        <f t="shared" si="17"/>
        <v/>
      </c>
      <c r="J57" s="485" t="str">
        <f t="shared" si="19"/>
        <v/>
      </c>
    </row>
    <row r="58" spans="1:10">
      <c r="A58" s="486" t="str">
        <f t="shared" si="10"/>
        <v/>
      </c>
      <c r="B58" s="441" t="str">
        <f t="shared" si="11"/>
        <v/>
      </c>
      <c r="C58" s="485" t="str">
        <f t="shared" si="18"/>
        <v/>
      </c>
      <c r="D58" s="485" t="str">
        <f t="shared" si="12"/>
        <v/>
      </c>
      <c r="E58" s="485" t="str">
        <f t="shared" si="13"/>
        <v/>
      </c>
      <c r="F58" s="485" t="str">
        <f t="shared" si="14"/>
        <v/>
      </c>
      <c r="G58" s="485" t="str">
        <f t="shared" si="15"/>
        <v/>
      </c>
      <c r="H58" s="485" t="str">
        <f t="shared" si="16"/>
        <v/>
      </c>
      <c r="I58" s="485" t="str">
        <f t="shared" si="17"/>
        <v/>
      </c>
      <c r="J58" s="485" t="str">
        <f t="shared" si="19"/>
        <v/>
      </c>
    </row>
    <row r="59" spans="1:10">
      <c r="A59" s="486" t="str">
        <f t="shared" si="10"/>
        <v/>
      </c>
      <c r="B59" s="441" t="str">
        <f t="shared" si="11"/>
        <v/>
      </c>
      <c r="C59" s="485" t="str">
        <f t="shared" si="18"/>
        <v/>
      </c>
      <c r="D59" s="485" t="str">
        <f t="shared" si="12"/>
        <v/>
      </c>
      <c r="E59" s="485" t="str">
        <f t="shared" si="13"/>
        <v/>
      </c>
      <c r="F59" s="485" t="str">
        <f t="shared" si="14"/>
        <v/>
      </c>
      <c r="G59" s="485" t="str">
        <f t="shared" si="15"/>
        <v/>
      </c>
      <c r="H59" s="485" t="str">
        <f t="shared" si="16"/>
        <v/>
      </c>
      <c r="I59" s="485" t="str">
        <f t="shared" si="17"/>
        <v/>
      </c>
      <c r="J59" s="485" t="str">
        <f t="shared" si="19"/>
        <v/>
      </c>
    </row>
    <row r="60" spans="1:10">
      <c r="A60" s="486" t="str">
        <f t="shared" si="10"/>
        <v/>
      </c>
      <c r="B60" s="441" t="str">
        <f t="shared" si="11"/>
        <v/>
      </c>
      <c r="C60" s="485" t="str">
        <f t="shared" si="18"/>
        <v/>
      </c>
      <c r="D60" s="485" t="str">
        <f t="shared" si="12"/>
        <v/>
      </c>
      <c r="E60" s="485" t="str">
        <f t="shared" si="13"/>
        <v/>
      </c>
      <c r="F60" s="485" t="str">
        <f t="shared" si="14"/>
        <v/>
      </c>
      <c r="G60" s="485" t="str">
        <f t="shared" si="15"/>
        <v/>
      </c>
      <c r="H60" s="485" t="str">
        <f t="shared" si="16"/>
        <v/>
      </c>
      <c r="I60" s="485" t="str">
        <f t="shared" si="17"/>
        <v/>
      </c>
      <c r="J60" s="485" t="str">
        <f t="shared" si="19"/>
        <v/>
      </c>
    </row>
    <row r="61" spans="1:10">
      <c r="A61" s="486" t="str">
        <f t="shared" si="10"/>
        <v/>
      </c>
      <c r="B61" s="441" t="str">
        <f t="shared" si="11"/>
        <v/>
      </c>
      <c r="C61" s="485" t="str">
        <f t="shared" si="18"/>
        <v/>
      </c>
      <c r="D61" s="485" t="str">
        <f t="shared" si="12"/>
        <v/>
      </c>
      <c r="E61" s="485" t="str">
        <f t="shared" si="13"/>
        <v/>
      </c>
      <c r="F61" s="485" t="str">
        <f t="shared" si="14"/>
        <v/>
      </c>
      <c r="G61" s="485" t="str">
        <f t="shared" si="15"/>
        <v/>
      </c>
      <c r="H61" s="485" t="str">
        <f t="shared" si="16"/>
        <v/>
      </c>
      <c r="I61" s="485" t="str">
        <f t="shared" si="17"/>
        <v/>
      </c>
      <c r="J61" s="485" t="str">
        <f t="shared" si="19"/>
        <v/>
      </c>
    </row>
    <row r="62" spans="1:10">
      <c r="A62" s="486" t="str">
        <f t="shared" si="10"/>
        <v/>
      </c>
      <c r="B62" s="441" t="str">
        <f t="shared" si="11"/>
        <v/>
      </c>
      <c r="C62" s="485" t="str">
        <f t="shared" si="18"/>
        <v/>
      </c>
      <c r="D62" s="485" t="str">
        <f t="shared" si="12"/>
        <v/>
      </c>
      <c r="E62" s="485" t="str">
        <f t="shared" si="13"/>
        <v/>
      </c>
      <c r="F62" s="485" t="str">
        <f t="shared" si="14"/>
        <v/>
      </c>
      <c r="G62" s="485" t="str">
        <f t="shared" si="15"/>
        <v/>
      </c>
      <c r="H62" s="485" t="str">
        <f t="shared" si="16"/>
        <v/>
      </c>
      <c r="I62" s="485" t="str">
        <f t="shared" si="17"/>
        <v/>
      </c>
      <c r="J62" s="485" t="str">
        <f t="shared" si="19"/>
        <v/>
      </c>
    </row>
    <row r="63" spans="1:10">
      <c r="A63" s="486" t="str">
        <f t="shared" si="10"/>
        <v/>
      </c>
      <c r="B63" s="441" t="str">
        <f t="shared" si="11"/>
        <v/>
      </c>
      <c r="C63" s="485" t="str">
        <f t="shared" si="18"/>
        <v/>
      </c>
      <c r="D63" s="485" t="str">
        <f t="shared" si="12"/>
        <v/>
      </c>
      <c r="E63" s="485" t="str">
        <f t="shared" si="13"/>
        <v/>
      </c>
      <c r="F63" s="485" t="str">
        <f t="shared" si="14"/>
        <v/>
      </c>
      <c r="G63" s="485" t="str">
        <f t="shared" si="15"/>
        <v/>
      </c>
      <c r="H63" s="485" t="str">
        <f t="shared" si="16"/>
        <v/>
      </c>
      <c r="I63" s="485" t="str">
        <f t="shared" si="17"/>
        <v/>
      </c>
      <c r="J63" s="485" t="str">
        <f t="shared" si="19"/>
        <v/>
      </c>
    </row>
    <row r="64" spans="1:10">
      <c r="A64" s="486" t="str">
        <f t="shared" si="10"/>
        <v/>
      </c>
      <c r="B64" s="441" t="str">
        <f t="shared" si="11"/>
        <v/>
      </c>
      <c r="C64" s="485" t="str">
        <f t="shared" si="18"/>
        <v/>
      </c>
      <c r="D64" s="485" t="str">
        <f t="shared" si="12"/>
        <v/>
      </c>
      <c r="E64" s="485" t="str">
        <f t="shared" si="13"/>
        <v/>
      </c>
      <c r="F64" s="485" t="str">
        <f t="shared" si="14"/>
        <v/>
      </c>
      <c r="G64" s="485" t="str">
        <f t="shared" si="15"/>
        <v/>
      </c>
      <c r="H64" s="485" t="str">
        <f t="shared" si="16"/>
        <v/>
      </c>
      <c r="I64" s="485" t="str">
        <f t="shared" si="17"/>
        <v/>
      </c>
      <c r="J64" s="485" t="str">
        <f t="shared" si="19"/>
        <v/>
      </c>
    </row>
    <row r="65" spans="1:10">
      <c r="A65" s="486" t="str">
        <f t="shared" si="10"/>
        <v/>
      </c>
      <c r="B65" s="441" t="str">
        <f t="shared" si="11"/>
        <v/>
      </c>
      <c r="C65" s="485" t="str">
        <f t="shared" si="18"/>
        <v/>
      </c>
      <c r="D65" s="485" t="str">
        <f t="shared" si="12"/>
        <v/>
      </c>
      <c r="E65" s="485" t="str">
        <f t="shared" si="13"/>
        <v/>
      </c>
      <c r="F65" s="485" t="str">
        <f t="shared" si="14"/>
        <v/>
      </c>
      <c r="G65" s="485" t="str">
        <f t="shared" si="15"/>
        <v/>
      </c>
      <c r="H65" s="485" t="str">
        <f t="shared" si="16"/>
        <v/>
      </c>
      <c r="I65" s="485" t="str">
        <f t="shared" si="17"/>
        <v/>
      </c>
      <c r="J65" s="485" t="str">
        <f t="shared" si="19"/>
        <v/>
      </c>
    </row>
    <row r="66" spans="1:10">
      <c r="A66" s="486" t="str">
        <f t="shared" si="10"/>
        <v/>
      </c>
      <c r="B66" s="441" t="str">
        <f t="shared" si="11"/>
        <v/>
      </c>
      <c r="C66" s="485" t="str">
        <f t="shared" si="18"/>
        <v/>
      </c>
      <c r="D66" s="485" t="str">
        <f t="shared" si="12"/>
        <v/>
      </c>
      <c r="E66" s="485" t="str">
        <f t="shared" si="13"/>
        <v/>
      </c>
      <c r="F66" s="485" t="str">
        <f t="shared" si="14"/>
        <v/>
      </c>
      <c r="G66" s="485" t="str">
        <f t="shared" si="15"/>
        <v/>
      </c>
      <c r="H66" s="485" t="str">
        <f t="shared" si="16"/>
        <v/>
      </c>
      <c r="I66" s="485" t="str">
        <f t="shared" si="17"/>
        <v/>
      </c>
      <c r="J66" s="485" t="str">
        <f t="shared" si="19"/>
        <v/>
      </c>
    </row>
    <row r="67" spans="1:10">
      <c r="A67" s="486" t="str">
        <f t="shared" si="10"/>
        <v/>
      </c>
      <c r="B67" s="441" t="str">
        <f t="shared" si="11"/>
        <v/>
      </c>
      <c r="C67" s="485" t="str">
        <f t="shared" si="18"/>
        <v/>
      </c>
      <c r="D67" s="485" t="str">
        <f t="shared" si="12"/>
        <v/>
      </c>
      <c r="E67" s="485" t="str">
        <f t="shared" si="13"/>
        <v/>
      </c>
      <c r="F67" s="485" t="str">
        <f t="shared" si="14"/>
        <v/>
      </c>
      <c r="G67" s="485" t="str">
        <f t="shared" si="15"/>
        <v/>
      </c>
      <c r="H67" s="485" t="str">
        <f t="shared" si="16"/>
        <v/>
      </c>
      <c r="I67" s="485" t="str">
        <f t="shared" si="17"/>
        <v/>
      </c>
      <c r="J67" s="485" t="str">
        <f t="shared" si="19"/>
        <v/>
      </c>
    </row>
    <row r="68" spans="1:10">
      <c r="A68" s="486" t="str">
        <f t="shared" si="10"/>
        <v/>
      </c>
      <c r="B68" s="441" t="str">
        <f t="shared" si="11"/>
        <v/>
      </c>
      <c r="C68" s="485" t="str">
        <f t="shared" si="18"/>
        <v/>
      </c>
      <c r="D68" s="485" t="str">
        <f t="shared" si="12"/>
        <v/>
      </c>
      <c r="E68" s="485" t="str">
        <f t="shared" si="13"/>
        <v/>
      </c>
      <c r="F68" s="485" t="str">
        <f t="shared" si="14"/>
        <v/>
      </c>
      <c r="G68" s="485" t="str">
        <f t="shared" si="15"/>
        <v/>
      </c>
      <c r="H68" s="485" t="str">
        <f t="shared" si="16"/>
        <v/>
      </c>
      <c r="I68" s="485" t="str">
        <f t="shared" si="17"/>
        <v/>
      </c>
      <c r="J68" s="485" t="str">
        <f t="shared" si="19"/>
        <v/>
      </c>
    </row>
    <row r="69" spans="1:10">
      <c r="A69" s="486" t="str">
        <f t="shared" si="10"/>
        <v/>
      </c>
      <c r="B69" s="441" t="str">
        <f t="shared" si="11"/>
        <v/>
      </c>
      <c r="C69" s="485" t="str">
        <f t="shared" si="18"/>
        <v/>
      </c>
      <c r="D69" s="485" t="str">
        <f t="shared" si="12"/>
        <v/>
      </c>
      <c r="E69" s="485" t="str">
        <f t="shared" si="13"/>
        <v/>
      </c>
      <c r="F69" s="485" t="str">
        <f t="shared" si="14"/>
        <v/>
      </c>
      <c r="G69" s="485" t="str">
        <f t="shared" si="15"/>
        <v/>
      </c>
      <c r="H69" s="485" t="str">
        <f t="shared" si="16"/>
        <v/>
      </c>
      <c r="I69" s="485" t="str">
        <f t="shared" si="17"/>
        <v/>
      </c>
      <c r="J69" s="485" t="str">
        <f t="shared" si="19"/>
        <v/>
      </c>
    </row>
    <row r="70" spans="1:10">
      <c r="A70" s="486" t="str">
        <f t="shared" si="10"/>
        <v/>
      </c>
      <c r="B70" s="441" t="str">
        <f t="shared" si="11"/>
        <v/>
      </c>
      <c r="C70" s="485" t="str">
        <f t="shared" si="18"/>
        <v/>
      </c>
      <c r="D70" s="485" t="str">
        <f t="shared" si="12"/>
        <v/>
      </c>
      <c r="E70" s="485" t="str">
        <f t="shared" si="13"/>
        <v/>
      </c>
      <c r="F70" s="485" t="str">
        <f t="shared" si="14"/>
        <v/>
      </c>
      <c r="G70" s="485" t="str">
        <f t="shared" si="15"/>
        <v/>
      </c>
      <c r="H70" s="485" t="str">
        <f t="shared" si="16"/>
        <v/>
      </c>
      <c r="I70" s="485" t="str">
        <f t="shared" si="17"/>
        <v/>
      </c>
      <c r="J70" s="485" t="str">
        <f t="shared" si="19"/>
        <v/>
      </c>
    </row>
    <row r="71" spans="1:10">
      <c r="A71" s="486" t="str">
        <f t="shared" si="10"/>
        <v/>
      </c>
      <c r="B71" s="441" t="str">
        <f t="shared" si="11"/>
        <v/>
      </c>
      <c r="C71" s="485" t="str">
        <f t="shared" si="18"/>
        <v/>
      </c>
      <c r="D71" s="485" t="str">
        <f t="shared" si="12"/>
        <v/>
      </c>
      <c r="E71" s="485" t="str">
        <f t="shared" si="13"/>
        <v/>
      </c>
      <c r="F71" s="485" t="str">
        <f t="shared" si="14"/>
        <v/>
      </c>
      <c r="G71" s="485" t="str">
        <f t="shared" si="15"/>
        <v/>
      </c>
      <c r="H71" s="485" t="str">
        <f t="shared" si="16"/>
        <v/>
      </c>
      <c r="I71" s="485" t="str">
        <f t="shared" si="17"/>
        <v/>
      </c>
      <c r="J71" s="485" t="str">
        <f t="shared" si="19"/>
        <v/>
      </c>
    </row>
    <row r="72" spans="1:10">
      <c r="A72" s="486" t="str">
        <f t="shared" si="10"/>
        <v/>
      </c>
      <c r="B72" s="441" t="str">
        <f t="shared" si="11"/>
        <v/>
      </c>
      <c r="C72" s="485" t="str">
        <f t="shared" si="18"/>
        <v/>
      </c>
      <c r="D72" s="485" t="str">
        <f t="shared" si="12"/>
        <v/>
      </c>
      <c r="E72" s="485" t="str">
        <f t="shared" si="13"/>
        <v/>
      </c>
      <c r="F72" s="485" t="str">
        <f t="shared" si="14"/>
        <v/>
      </c>
      <c r="G72" s="485" t="str">
        <f t="shared" si="15"/>
        <v/>
      </c>
      <c r="H72" s="485" t="str">
        <f t="shared" si="16"/>
        <v/>
      </c>
      <c r="I72" s="485" t="str">
        <f t="shared" si="17"/>
        <v/>
      </c>
      <c r="J72" s="485" t="str">
        <f t="shared" si="19"/>
        <v/>
      </c>
    </row>
    <row r="73" spans="1:10">
      <c r="A73" s="486" t="str">
        <f t="shared" si="10"/>
        <v/>
      </c>
      <c r="B73" s="441" t="str">
        <f t="shared" si="11"/>
        <v/>
      </c>
      <c r="C73" s="485" t="str">
        <f t="shared" si="18"/>
        <v/>
      </c>
      <c r="D73" s="485" t="str">
        <f t="shared" si="12"/>
        <v/>
      </c>
      <c r="E73" s="485" t="str">
        <f t="shared" si="13"/>
        <v/>
      </c>
      <c r="F73" s="485" t="str">
        <f t="shared" si="14"/>
        <v/>
      </c>
      <c r="G73" s="485" t="str">
        <f t="shared" si="15"/>
        <v/>
      </c>
      <c r="H73" s="485" t="str">
        <f t="shared" si="16"/>
        <v/>
      </c>
      <c r="I73" s="485" t="str">
        <f t="shared" si="17"/>
        <v/>
      </c>
      <c r="J73" s="485" t="str">
        <f t="shared" si="19"/>
        <v/>
      </c>
    </row>
    <row r="74" spans="1:10">
      <c r="A74" s="486" t="str">
        <f t="shared" si="10"/>
        <v/>
      </c>
      <c r="B74" s="441" t="str">
        <f t="shared" si="11"/>
        <v/>
      </c>
      <c r="C74" s="485" t="str">
        <f t="shared" si="18"/>
        <v/>
      </c>
      <c r="D74" s="485" t="str">
        <f t="shared" si="12"/>
        <v/>
      </c>
      <c r="E74" s="485" t="str">
        <f t="shared" si="13"/>
        <v/>
      </c>
      <c r="F74" s="485" t="str">
        <f t="shared" si="14"/>
        <v/>
      </c>
      <c r="G74" s="485" t="str">
        <f t="shared" si="15"/>
        <v/>
      </c>
      <c r="H74" s="485" t="str">
        <f t="shared" si="16"/>
        <v/>
      </c>
      <c r="I74" s="485" t="str">
        <f t="shared" si="17"/>
        <v/>
      </c>
      <c r="J74" s="485" t="str">
        <f t="shared" si="19"/>
        <v/>
      </c>
    </row>
    <row r="75" spans="1:10">
      <c r="A75" s="486" t="str">
        <f t="shared" si="10"/>
        <v/>
      </c>
      <c r="B75" s="441" t="str">
        <f t="shared" si="11"/>
        <v/>
      </c>
      <c r="C75" s="485" t="str">
        <f t="shared" si="18"/>
        <v/>
      </c>
      <c r="D75" s="485" t="str">
        <f t="shared" si="12"/>
        <v/>
      </c>
      <c r="E75" s="485" t="str">
        <f t="shared" si="13"/>
        <v/>
      </c>
      <c r="F75" s="485" t="str">
        <f t="shared" si="14"/>
        <v/>
      </c>
      <c r="G75" s="485" t="str">
        <f t="shared" si="15"/>
        <v/>
      </c>
      <c r="H75" s="485" t="str">
        <f t="shared" si="16"/>
        <v/>
      </c>
      <c r="I75" s="485" t="str">
        <f t="shared" si="17"/>
        <v/>
      </c>
      <c r="J75" s="485" t="str">
        <f t="shared" si="19"/>
        <v/>
      </c>
    </row>
    <row r="76" spans="1:10">
      <c r="A76" s="486" t="str">
        <f t="shared" si="10"/>
        <v/>
      </c>
      <c r="B76" s="441" t="str">
        <f t="shared" si="11"/>
        <v/>
      </c>
      <c r="C76" s="485" t="str">
        <f t="shared" si="18"/>
        <v/>
      </c>
      <c r="D76" s="485" t="str">
        <f t="shared" si="12"/>
        <v/>
      </c>
      <c r="E76" s="485" t="str">
        <f t="shared" si="13"/>
        <v/>
      </c>
      <c r="F76" s="485" t="str">
        <f t="shared" si="14"/>
        <v/>
      </c>
      <c r="G76" s="485" t="str">
        <f t="shared" si="15"/>
        <v/>
      </c>
      <c r="H76" s="485" t="str">
        <f t="shared" si="16"/>
        <v/>
      </c>
      <c r="I76" s="485" t="str">
        <f t="shared" si="17"/>
        <v/>
      </c>
      <c r="J76" s="485" t="str">
        <f t="shared" si="19"/>
        <v/>
      </c>
    </row>
    <row r="77" spans="1:10">
      <c r="A77" s="486" t="str">
        <f t="shared" si="10"/>
        <v/>
      </c>
      <c r="B77" s="441" t="str">
        <f t="shared" si="11"/>
        <v/>
      </c>
      <c r="C77" s="485" t="str">
        <f t="shared" si="18"/>
        <v/>
      </c>
      <c r="D77" s="485" t="str">
        <f t="shared" si="12"/>
        <v/>
      </c>
      <c r="E77" s="485" t="str">
        <f t="shared" si="13"/>
        <v/>
      </c>
      <c r="F77" s="485" t="str">
        <f t="shared" si="14"/>
        <v/>
      </c>
      <c r="G77" s="485" t="str">
        <f t="shared" si="15"/>
        <v/>
      </c>
      <c r="H77" s="485" t="str">
        <f t="shared" si="16"/>
        <v/>
      </c>
      <c r="I77" s="485" t="str">
        <f t="shared" si="17"/>
        <v/>
      </c>
      <c r="J77" s="485" t="str">
        <f t="shared" si="19"/>
        <v/>
      </c>
    </row>
    <row r="78" spans="1:10">
      <c r="A78" s="486" t="str">
        <f t="shared" si="10"/>
        <v/>
      </c>
      <c r="B78" s="441" t="str">
        <f t="shared" si="11"/>
        <v/>
      </c>
      <c r="C78" s="485" t="str">
        <f t="shared" si="18"/>
        <v/>
      </c>
      <c r="D78" s="485" t="str">
        <f t="shared" si="12"/>
        <v/>
      </c>
      <c r="E78" s="485" t="str">
        <f t="shared" si="13"/>
        <v/>
      </c>
      <c r="F78" s="485" t="str">
        <f t="shared" si="14"/>
        <v/>
      </c>
      <c r="G78" s="485" t="str">
        <f t="shared" si="15"/>
        <v/>
      </c>
      <c r="H78" s="485" t="str">
        <f t="shared" si="16"/>
        <v/>
      </c>
      <c r="I78" s="485" t="str">
        <f t="shared" si="17"/>
        <v/>
      </c>
      <c r="J78" s="485" t="str">
        <f t="shared" si="19"/>
        <v/>
      </c>
    </row>
    <row r="79" spans="1:10">
      <c r="A79" s="486" t="str">
        <f t="shared" si="10"/>
        <v/>
      </c>
      <c r="B79" s="441" t="str">
        <f t="shared" si="11"/>
        <v/>
      </c>
      <c r="C79" s="485" t="str">
        <f t="shared" si="18"/>
        <v/>
      </c>
      <c r="D79" s="485" t="str">
        <f t="shared" si="12"/>
        <v/>
      </c>
      <c r="E79" s="485" t="str">
        <f t="shared" si="13"/>
        <v/>
      </c>
      <c r="F79" s="485" t="str">
        <f t="shared" si="14"/>
        <v/>
      </c>
      <c r="G79" s="485" t="str">
        <f t="shared" si="15"/>
        <v/>
      </c>
      <c r="H79" s="485" t="str">
        <f t="shared" si="16"/>
        <v/>
      </c>
      <c r="I79" s="485" t="str">
        <f t="shared" si="17"/>
        <v/>
      </c>
      <c r="J79" s="485" t="str">
        <f t="shared" si="19"/>
        <v/>
      </c>
    </row>
    <row r="80" spans="1:10">
      <c r="A80" s="486" t="str">
        <f t="shared" si="10"/>
        <v/>
      </c>
      <c r="B80" s="441" t="str">
        <f t="shared" si="11"/>
        <v/>
      </c>
      <c r="C80" s="485" t="str">
        <f t="shared" si="18"/>
        <v/>
      </c>
      <c r="D80" s="485" t="str">
        <f t="shared" si="12"/>
        <v/>
      </c>
      <c r="E80" s="485" t="str">
        <f t="shared" si="13"/>
        <v/>
      </c>
      <c r="F80" s="485" t="str">
        <f t="shared" si="14"/>
        <v/>
      </c>
      <c r="G80" s="485" t="str">
        <f t="shared" si="15"/>
        <v/>
      </c>
      <c r="H80" s="485" t="str">
        <f t="shared" si="16"/>
        <v/>
      </c>
      <c r="I80" s="485" t="str">
        <f t="shared" si="17"/>
        <v/>
      </c>
      <c r="J80" s="485" t="str">
        <f t="shared" si="19"/>
        <v/>
      </c>
    </row>
    <row r="81" spans="1:10">
      <c r="A81" s="486" t="str">
        <f t="shared" si="10"/>
        <v/>
      </c>
      <c r="B81" s="441" t="str">
        <f t="shared" si="11"/>
        <v/>
      </c>
      <c r="C81" s="485" t="str">
        <f t="shared" si="18"/>
        <v/>
      </c>
      <c r="D81" s="485" t="str">
        <f t="shared" si="12"/>
        <v/>
      </c>
      <c r="E81" s="485" t="str">
        <f t="shared" si="13"/>
        <v/>
      </c>
      <c r="F81" s="485" t="str">
        <f t="shared" si="14"/>
        <v/>
      </c>
      <c r="G81" s="485" t="str">
        <f t="shared" si="15"/>
        <v/>
      </c>
      <c r="H81" s="485" t="str">
        <f t="shared" si="16"/>
        <v/>
      </c>
      <c r="I81" s="485" t="str">
        <f t="shared" si="17"/>
        <v/>
      </c>
      <c r="J81" s="485" t="str">
        <f t="shared" si="19"/>
        <v/>
      </c>
    </row>
    <row r="82" spans="1:10">
      <c r="A82" s="486" t="str">
        <f t="shared" si="10"/>
        <v/>
      </c>
      <c r="B82" s="441" t="str">
        <f t="shared" si="11"/>
        <v/>
      </c>
      <c r="C82" s="485" t="str">
        <f t="shared" si="18"/>
        <v/>
      </c>
      <c r="D82" s="485" t="str">
        <f t="shared" si="12"/>
        <v/>
      </c>
      <c r="E82" s="485" t="str">
        <f t="shared" si="13"/>
        <v/>
      </c>
      <c r="F82" s="485" t="str">
        <f t="shared" si="14"/>
        <v/>
      </c>
      <c r="G82" s="485" t="str">
        <f t="shared" si="15"/>
        <v/>
      </c>
      <c r="H82" s="485" t="str">
        <f t="shared" si="16"/>
        <v/>
      </c>
      <c r="I82" s="485" t="str">
        <f t="shared" si="17"/>
        <v/>
      </c>
      <c r="J82" s="485" t="str">
        <f t="shared" si="19"/>
        <v/>
      </c>
    </row>
    <row r="83" spans="1:10">
      <c r="A83" s="486" t="str">
        <f t="shared" ref="A83:A118" si="20">IF(AND(N($D$5)&gt;0,ROW()-19+1&lt;=$D$12),ROW()-19+1,"")</f>
        <v/>
      </c>
      <c r="B83" s="441" t="str">
        <f t="shared" ref="B83:B118" si="21">IF($A83="","",EDATE($D$9,$A83))</f>
        <v/>
      </c>
      <c r="C83" s="485" t="str">
        <f t="shared" si="18"/>
        <v/>
      </c>
      <c r="D83" s="485" t="str">
        <f t="shared" ref="D83:D118" si="22">IF($A83="","",$J$5)</f>
        <v/>
      </c>
      <c r="E83" s="485" t="str">
        <f t="shared" ref="E83:E118" si="23">IF($A83="","",$D$10)</f>
        <v/>
      </c>
      <c r="F83" s="485" t="str">
        <f t="shared" ref="F83:F114" si="24">IF($A83="","",D83+E83)</f>
        <v/>
      </c>
      <c r="G83" s="485" t="str">
        <f t="shared" ref="G83:G114" si="25">IF($A83="","",MIN(F83-H83,C83))</f>
        <v/>
      </c>
      <c r="H83" s="485" t="str">
        <f t="shared" ref="H83:H118" si="26">IF($A83="","",C83*($D$6/$D$8))</f>
        <v/>
      </c>
      <c r="I83" s="485" t="str">
        <f t="shared" ref="I83:I118" si="27">IF($A83="","",C83-G83)</f>
        <v/>
      </c>
      <c r="J83" s="485" t="str">
        <f t="shared" si="19"/>
        <v/>
      </c>
    </row>
    <row r="84" spans="1:10">
      <c r="A84" s="486" t="str">
        <f t="shared" si="20"/>
        <v/>
      </c>
      <c r="B84" s="441" t="str">
        <f t="shared" si="21"/>
        <v/>
      </c>
      <c r="C84" s="485" t="str">
        <f t="shared" ref="C84:C118" si="28">IF($A84="","",I83)</f>
        <v/>
      </c>
      <c r="D84" s="485" t="str">
        <f t="shared" si="22"/>
        <v/>
      </c>
      <c r="E84" s="485" t="str">
        <f t="shared" si="23"/>
        <v/>
      </c>
      <c r="F84" s="485" t="str">
        <f t="shared" si="24"/>
        <v/>
      </c>
      <c r="G84" s="485" t="str">
        <f t="shared" si="25"/>
        <v/>
      </c>
      <c r="H84" s="485" t="str">
        <f t="shared" si="26"/>
        <v/>
      </c>
      <c r="I84" s="485" t="str">
        <f t="shared" si="27"/>
        <v/>
      </c>
      <c r="J84" s="485" t="str">
        <f t="shared" ref="J84:J118" si="29">IF($A84="","",J83+H84)</f>
        <v/>
      </c>
    </row>
    <row r="85" spans="1:10">
      <c r="A85" s="486" t="str">
        <f t="shared" si="20"/>
        <v/>
      </c>
      <c r="B85" s="441" t="str">
        <f t="shared" si="21"/>
        <v/>
      </c>
      <c r="C85" s="485" t="str">
        <f t="shared" si="28"/>
        <v/>
      </c>
      <c r="D85" s="485" t="str">
        <f t="shared" si="22"/>
        <v/>
      </c>
      <c r="E85" s="485" t="str">
        <f t="shared" si="23"/>
        <v/>
      </c>
      <c r="F85" s="485" t="str">
        <f t="shared" si="24"/>
        <v/>
      </c>
      <c r="G85" s="485" t="str">
        <f t="shared" si="25"/>
        <v/>
      </c>
      <c r="H85" s="485" t="str">
        <f t="shared" si="26"/>
        <v/>
      </c>
      <c r="I85" s="485" t="str">
        <f t="shared" si="27"/>
        <v/>
      </c>
      <c r="J85" s="485" t="str">
        <f t="shared" si="29"/>
        <v/>
      </c>
    </row>
    <row r="86" spans="1:10">
      <c r="A86" s="486" t="str">
        <f t="shared" si="20"/>
        <v/>
      </c>
      <c r="B86" s="441" t="str">
        <f t="shared" si="21"/>
        <v/>
      </c>
      <c r="C86" s="485" t="str">
        <f t="shared" si="28"/>
        <v/>
      </c>
      <c r="D86" s="485" t="str">
        <f t="shared" si="22"/>
        <v/>
      </c>
      <c r="E86" s="485" t="str">
        <f t="shared" si="23"/>
        <v/>
      </c>
      <c r="F86" s="485" t="str">
        <f t="shared" si="24"/>
        <v/>
      </c>
      <c r="G86" s="485" t="str">
        <f t="shared" si="25"/>
        <v/>
      </c>
      <c r="H86" s="485" t="str">
        <f t="shared" si="26"/>
        <v/>
      </c>
      <c r="I86" s="485" t="str">
        <f t="shared" si="27"/>
        <v/>
      </c>
      <c r="J86" s="485" t="str">
        <f t="shared" si="29"/>
        <v/>
      </c>
    </row>
    <row r="87" spans="1:10">
      <c r="A87" s="486" t="str">
        <f t="shared" si="20"/>
        <v/>
      </c>
      <c r="B87" s="441" t="str">
        <f t="shared" si="21"/>
        <v/>
      </c>
      <c r="C87" s="485" t="str">
        <f t="shared" si="28"/>
        <v/>
      </c>
      <c r="D87" s="485" t="str">
        <f t="shared" si="22"/>
        <v/>
      </c>
      <c r="E87" s="485" t="str">
        <f t="shared" si="23"/>
        <v/>
      </c>
      <c r="F87" s="485" t="str">
        <f t="shared" si="24"/>
        <v/>
      </c>
      <c r="G87" s="485" t="str">
        <f t="shared" si="25"/>
        <v/>
      </c>
      <c r="H87" s="485" t="str">
        <f t="shared" si="26"/>
        <v/>
      </c>
      <c r="I87" s="485" t="str">
        <f t="shared" si="27"/>
        <v/>
      </c>
      <c r="J87" s="485" t="str">
        <f t="shared" si="29"/>
        <v/>
      </c>
    </row>
    <row r="88" spans="1:10">
      <c r="A88" s="486" t="str">
        <f t="shared" si="20"/>
        <v/>
      </c>
      <c r="B88" s="441" t="str">
        <f t="shared" si="21"/>
        <v/>
      </c>
      <c r="C88" s="485" t="str">
        <f t="shared" si="28"/>
        <v/>
      </c>
      <c r="D88" s="485" t="str">
        <f t="shared" si="22"/>
        <v/>
      </c>
      <c r="E88" s="485" t="str">
        <f t="shared" si="23"/>
        <v/>
      </c>
      <c r="F88" s="485" t="str">
        <f t="shared" si="24"/>
        <v/>
      </c>
      <c r="G88" s="485" t="str">
        <f t="shared" si="25"/>
        <v/>
      </c>
      <c r="H88" s="485" t="str">
        <f t="shared" si="26"/>
        <v/>
      </c>
      <c r="I88" s="485" t="str">
        <f t="shared" si="27"/>
        <v/>
      </c>
      <c r="J88" s="485" t="str">
        <f t="shared" si="29"/>
        <v/>
      </c>
    </row>
    <row r="89" spans="1:10">
      <c r="A89" s="486" t="str">
        <f t="shared" si="20"/>
        <v/>
      </c>
      <c r="B89" s="441" t="str">
        <f t="shared" si="21"/>
        <v/>
      </c>
      <c r="C89" s="485" t="str">
        <f t="shared" si="28"/>
        <v/>
      </c>
      <c r="D89" s="485" t="str">
        <f t="shared" si="22"/>
        <v/>
      </c>
      <c r="E89" s="485" t="str">
        <f t="shared" si="23"/>
        <v/>
      </c>
      <c r="F89" s="485" t="str">
        <f t="shared" si="24"/>
        <v/>
      </c>
      <c r="G89" s="485" t="str">
        <f t="shared" si="25"/>
        <v/>
      </c>
      <c r="H89" s="485" t="str">
        <f t="shared" si="26"/>
        <v/>
      </c>
      <c r="I89" s="485" t="str">
        <f t="shared" si="27"/>
        <v/>
      </c>
      <c r="J89" s="485" t="str">
        <f t="shared" si="29"/>
        <v/>
      </c>
    </row>
    <row r="90" spans="1:10">
      <c r="A90" s="486" t="str">
        <f t="shared" si="20"/>
        <v/>
      </c>
      <c r="B90" s="441" t="str">
        <f t="shared" si="21"/>
        <v/>
      </c>
      <c r="C90" s="485" t="str">
        <f t="shared" si="28"/>
        <v/>
      </c>
      <c r="D90" s="485" t="str">
        <f t="shared" si="22"/>
        <v/>
      </c>
      <c r="E90" s="485" t="str">
        <f t="shared" si="23"/>
        <v/>
      </c>
      <c r="F90" s="485" t="str">
        <f t="shared" si="24"/>
        <v/>
      </c>
      <c r="G90" s="485" t="str">
        <f t="shared" si="25"/>
        <v/>
      </c>
      <c r="H90" s="485" t="str">
        <f t="shared" si="26"/>
        <v/>
      </c>
      <c r="I90" s="485" t="str">
        <f t="shared" si="27"/>
        <v/>
      </c>
      <c r="J90" s="485" t="str">
        <f t="shared" si="29"/>
        <v/>
      </c>
    </row>
    <row r="91" spans="1:10">
      <c r="A91" s="486" t="str">
        <f t="shared" si="20"/>
        <v/>
      </c>
      <c r="B91" s="441" t="str">
        <f t="shared" si="21"/>
        <v/>
      </c>
      <c r="C91" s="485" t="str">
        <f t="shared" si="28"/>
        <v/>
      </c>
      <c r="D91" s="485" t="str">
        <f t="shared" si="22"/>
        <v/>
      </c>
      <c r="E91" s="485" t="str">
        <f t="shared" si="23"/>
        <v/>
      </c>
      <c r="F91" s="485" t="str">
        <f t="shared" si="24"/>
        <v/>
      </c>
      <c r="G91" s="485" t="str">
        <f t="shared" si="25"/>
        <v/>
      </c>
      <c r="H91" s="485" t="str">
        <f t="shared" si="26"/>
        <v/>
      </c>
      <c r="I91" s="485" t="str">
        <f t="shared" si="27"/>
        <v/>
      </c>
      <c r="J91" s="485" t="str">
        <f t="shared" si="29"/>
        <v/>
      </c>
    </row>
    <row r="92" spans="1:10">
      <c r="A92" s="486" t="str">
        <f t="shared" si="20"/>
        <v/>
      </c>
      <c r="B92" s="441" t="str">
        <f t="shared" si="21"/>
        <v/>
      </c>
      <c r="C92" s="485" t="str">
        <f t="shared" si="28"/>
        <v/>
      </c>
      <c r="D92" s="485" t="str">
        <f t="shared" si="22"/>
        <v/>
      </c>
      <c r="E92" s="485" t="str">
        <f t="shared" si="23"/>
        <v/>
      </c>
      <c r="F92" s="485" t="str">
        <f t="shared" si="24"/>
        <v/>
      </c>
      <c r="G92" s="485" t="str">
        <f t="shared" si="25"/>
        <v/>
      </c>
      <c r="H92" s="485" t="str">
        <f t="shared" si="26"/>
        <v/>
      </c>
      <c r="I92" s="485" t="str">
        <f t="shared" si="27"/>
        <v/>
      </c>
      <c r="J92" s="485" t="str">
        <f t="shared" si="29"/>
        <v/>
      </c>
    </row>
    <row r="93" spans="1:10">
      <c r="A93" s="486" t="str">
        <f t="shared" si="20"/>
        <v/>
      </c>
      <c r="B93" s="441" t="str">
        <f t="shared" si="21"/>
        <v/>
      </c>
      <c r="C93" s="485" t="str">
        <f t="shared" si="28"/>
        <v/>
      </c>
      <c r="D93" s="485" t="str">
        <f t="shared" si="22"/>
        <v/>
      </c>
      <c r="E93" s="485" t="str">
        <f t="shared" si="23"/>
        <v/>
      </c>
      <c r="F93" s="485" t="str">
        <f t="shared" si="24"/>
        <v/>
      </c>
      <c r="G93" s="485" t="str">
        <f t="shared" si="25"/>
        <v/>
      </c>
      <c r="H93" s="485" t="str">
        <f t="shared" si="26"/>
        <v/>
      </c>
      <c r="I93" s="485" t="str">
        <f t="shared" si="27"/>
        <v/>
      </c>
      <c r="J93" s="485" t="str">
        <f t="shared" si="29"/>
        <v/>
      </c>
    </row>
    <row r="94" spans="1:10">
      <c r="A94" s="486" t="str">
        <f t="shared" si="20"/>
        <v/>
      </c>
      <c r="B94" s="441" t="str">
        <f t="shared" si="21"/>
        <v/>
      </c>
      <c r="C94" s="485" t="str">
        <f t="shared" si="28"/>
        <v/>
      </c>
      <c r="D94" s="485" t="str">
        <f t="shared" si="22"/>
        <v/>
      </c>
      <c r="E94" s="485" t="str">
        <f t="shared" si="23"/>
        <v/>
      </c>
      <c r="F94" s="485" t="str">
        <f t="shared" si="24"/>
        <v/>
      </c>
      <c r="G94" s="485" t="str">
        <f t="shared" si="25"/>
        <v/>
      </c>
      <c r="H94" s="485" t="str">
        <f t="shared" si="26"/>
        <v/>
      </c>
      <c r="I94" s="485" t="str">
        <f t="shared" si="27"/>
        <v/>
      </c>
      <c r="J94" s="485" t="str">
        <f t="shared" si="29"/>
        <v/>
      </c>
    </row>
    <row r="95" spans="1:10">
      <c r="A95" s="486" t="str">
        <f t="shared" si="20"/>
        <v/>
      </c>
      <c r="B95" s="441" t="str">
        <f t="shared" si="21"/>
        <v/>
      </c>
      <c r="C95" s="485" t="str">
        <f t="shared" si="28"/>
        <v/>
      </c>
      <c r="D95" s="485" t="str">
        <f t="shared" si="22"/>
        <v/>
      </c>
      <c r="E95" s="485" t="str">
        <f t="shared" si="23"/>
        <v/>
      </c>
      <c r="F95" s="485" t="str">
        <f t="shared" si="24"/>
        <v/>
      </c>
      <c r="G95" s="485" t="str">
        <f t="shared" si="25"/>
        <v/>
      </c>
      <c r="H95" s="485" t="str">
        <f t="shared" si="26"/>
        <v/>
      </c>
      <c r="I95" s="485" t="str">
        <f t="shared" si="27"/>
        <v/>
      </c>
      <c r="J95" s="485" t="str">
        <f t="shared" si="29"/>
        <v/>
      </c>
    </row>
    <row r="96" spans="1:10">
      <c r="A96" s="486" t="str">
        <f t="shared" si="20"/>
        <v/>
      </c>
      <c r="B96" s="441" t="str">
        <f t="shared" si="21"/>
        <v/>
      </c>
      <c r="C96" s="485" t="str">
        <f t="shared" si="28"/>
        <v/>
      </c>
      <c r="D96" s="485" t="str">
        <f t="shared" si="22"/>
        <v/>
      </c>
      <c r="E96" s="485" t="str">
        <f t="shared" si="23"/>
        <v/>
      </c>
      <c r="F96" s="485" t="str">
        <f t="shared" si="24"/>
        <v/>
      </c>
      <c r="G96" s="485" t="str">
        <f t="shared" si="25"/>
        <v/>
      </c>
      <c r="H96" s="485" t="str">
        <f t="shared" si="26"/>
        <v/>
      </c>
      <c r="I96" s="485" t="str">
        <f t="shared" si="27"/>
        <v/>
      </c>
      <c r="J96" s="485" t="str">
        <f t="shared" si="29"/>
        <v/>
      </c>
    </row>
    <row r="97" spans="1:10">
      <c r="A97" s="486" t="str">
        <f t="shared" si="20"/>
        <v/>
      </c>
      <c r="B97" s="441" t="str">
        <f t="shared" si="21"/>
        <v/>
      </c>
      <c r="C97" s="485" t="str">
        <f t="shared" si="28"/>
        <v/>
      </c>
      <c r="D97" s="485" t="str">
        <f t="shared" si="22"/>
        <v/>
      </c>
      <c r="E97" s="485" t="str">
        <f t="shared" si="23"/>
        <v/>
      </c>
      <c r="F97" s="485" t="str">
        <f t="shared" si="24"/>
        <v/>
      </c>
      <c r="G97" s="485" t="str">
        <f t="shared" si="25"/>
        <v/>
      </c>
      <c r="H97" s="485" t="str">
        <f t="shared" si="26"/>
        <v/>
      </c>
      <c r="I97" s="485" t="str">
        <f t="shared" si="27"/>
        <v/>
      </c>
      <c r="J97" s="485" t="str">
        <f t="shared" si="29"/>
        <v/>
      </c>
    </row>
    <row r="98" spans="1:10">
      <c r="A98" s="486" t="str">
        <f t="shared" si="20"/>
        <v/>
      </c>
      <c r="B98" s="441" t="str">
        <f t="shared" si="21"/>
        <v/>
      </c>
      <c r="C98" s="485" t="str">
        <f t="shared" si="28"/>
        <v/>
      </c>
      <c r="D98" s="485" t="str">
        <f t="shared" si="22"/>
        <v/>
      </c>
      <c r="E98" s="485" t="str">
        <f t="shared" si="23"/>
        <v/>
      </c>
      <c r="F98" s="485" t="str">
        <f t="shared" si="24"/>
        <v/>
      </c>
      <c r="G98" s="485" t="str">
        <f t="shared" si="25"/>
        <v/>
      </c>
      <c r="H98" s="485" t="str">
        <f t="shared" si="26"/>
        <v/>
      </c>
      <c r="I98" s="485" t="str">
        <f t="shared" si="27"/>
        <v/>
      </c>
      <c r="J98" s="485" t="str">
        <f t="shared" si="29"/>
        <v/>
      </c>
    </row>
    <row r="99" spans="1:10">
      <c r="A99" s="486" t="str">
        <f t="shared" si="20"/>
        <v/>
      </c>
      <c r="B99" s="441" t="str">
        <f t="shared" si="21"/>
        <v/>
      </c>
      <c r="C99" s="485" t="str">
        <f t="shared" si="28"/>
        <v/>
      </c>
      <c r="D99" s="485" t="str">
        <f t="shared" si="22"/>
        <v/>
      </c>
      <c r="E99" s="485" t="str">
        <f t="shared" si="23"/>
        <v/>
      </c>
      <c r="F99" s="485" t="str">
        <f t="shared" si="24"/>
        <v/>
      </c>
      <c r="G99" s="485" t="str">
        <f t="shared" si="25"/>
        <v/>
      </c>
      <c r="H99" s="485" t="str">
        <f t="shared" si="26"/>
        <v/>
      </c>
      <c r="I99" s="485" t="str">
        <f t="shared" si="27"/>
        <v/>
      </c>
      <c r="J99" s="485" t="str">
        <f t="shared" si="29"/>
        <v/>
      </c>
    </row>
    <row r="100" spans="1:10">
      <c r="A100" s="486" t="str">
        <f t="shared" si="20"/>
        <v/>
      </c>
      <c r="B100" s="441" t="str">
        <f t="shared" si="21"/>
        <v/>
      </c>
      <c r="C100" s="485" t="str">
        <f t="shared" si="28"/>
        <v/>
      </c>
      <c r="D100" s="485" t="str">
        <f t="shared" si="22"/>
        <v/>
      </c>
      <c r="E100" s="485" t="str">
        <f t="shared" si="23"/>
        <v/>
      </c>
      <c r="F100" s="485" t="str">
        <f t="shared" si="24"/>
        <v/>
      </c>
      <c r="G100" s="485" t="str">
        <f t="shared" si="25"/>
        <v/>
      </c>
      <c r="H100" s="485" t="str">
        <f t="shared" si="26"/>
        <v/>
      </c>
      <c r="I100" s="485" t="str">
        <f t="shared" si="27"/>
        <v/>
      </c>
      <c r="J100" s="485" t="str">
        <f t="shared" si="29"/>
        <v/>
      </c>
    </row>
    <row r="101" spans="1:10">
      <c r="A101" s="486" t="str">
        <f t="shared" si="20"/>
        <v/>
      </c>
      <c r="B101" s="441" t="str">
        <f t="shared" si="21"/>
        <v/>
      </c>
      <c r="C101" s="485" t="str">
        <f t="shared" si="28"/>
        <v/>
      </c>
      <c r="D101" s="485" t="str">
        <f t="shared" si="22"/>
        <v/>
      </c>
      <c r="E101" s="485" t="str">
        <f t="shared" si="23"/>
        <v/>
      </c>
      <c r="F101" s="485" t="str">
        <f t="shared" si="24"/>
        <v/>
      </c>
      <c r="G101" s="485" t="str">
        <f t="shared" si="25"/>
        <v/>
      </c>
      <c r="H101" s="485" t="str">
        <f t="shared" si="26"/>
        <v/>
      </c>
      <c r="I101" s="485" t="str">
        <f t="shared" si="27"/>
        <v/>
      </c>
      <c r="J101" s="485" t="str">
        <f t="shared" si="29"/>
        <v/>
      </c>
    </row>
    <row r="102" spans="1:10">
      <c r="A102" s="486" t="str">
        <f t="shared" si="20"/>
        <v/>
      </c>
      <c r="B102" s="441" t="str">
        <f t="shared" si="21"/>
        <v/>
      </c>
      <c r="C102" s="485" t="str">
        <f t="shared" si="28"/>
        <v/>
      </c>
      <c r="D102" s="485" t="str">
        <f t="shared" si="22"/>
        <v/>
      </c>
      <c r="E102" s="485" t="str">
        <f t="shared" si="23"/>
        <v/>
      </c>
      <c r="F102" s="485" t="str">
        <f t="shared" si="24"/>
        <v/>
      </c>
      <c r="G102" s="485" t="str">
        <f t="shared" si="25"/>
        <v/>
      </c>
      <c r="H102" s="485" t="str">
        <f t="shared" si="26"/>
        <v/>
      </c>
      <c r="I102" s="485" t="str">
        <f t="shared" si="27"/>
        <v/>
      </c>
      <c r="J102" s="485" t="str">
        <f t="shared" si="29"/>
        <v/>
      </c>
    </row>
    <row r="103" spans="1:10">
      <c r="A103" s="486" t="str">
        <f t="shared" si="20"/>
        <v/>
      </c>
      <c r="B103" s="441" t="str">
        <f t="shared" si="21"/>
        <v/>
      </c>
      <c r="C103" s="485" t="str">
        <f t="shared" si="28"/>
        <v/>
      </c>
      <c r="D103" s="485" t="str">
        <f t="shared" si="22"/>
        <v/>
      </c>
      <c r="E103" s="485" t="str">
        <f t="shared" si="23"/>
        <v/>
      </c>
      <c r="F103" s="485" t="str">
        <f t="shared" si="24"/>
        <v/>
      </c>
      <c r="G103" s="485" t="str">
        <f t="shared" si="25"/>
        <v/>
      </c>
      <c r="H103" s="485" t="str">
        <f t="shared" si="26"/>
        <v/>
      </c>
      <c r="I103" s="485" t="str">
        <f t="shared" si="27"/>
        <v/>
      </c>
      <c r="J103" s="485" t="str">
        <f t="shared" si="29"/>
        <v/>
      </c>
    </row>
    <row r="104" spans="1:10">
      <c r="A104" s="486" t="str">
        <f t="shared" si="20"/>
        <v/>
      </c>
      <c r="B104" s="441" t="str">
        <f t="shared" si="21"/>
        <v/>
      </c>
      <c r="C104" s="485" t="str">
        <f t="shared" si="28"/>
        <v/>
      </c>
      <c r="D104" s="485" t="str">
        <f t="shared" si="22"/>
        <v/>
      </c>
      <c r="E104" s="485" t="str">
        <f t="shared" si="23"/>
        <v/>
      </c>
      <c r="F104" s="485" t="str">
        <f t="shared" si="24"/>
        <v/>
      </c>
      <c r="G104" s="485" t="str">
        <f t="shared" si="25"/>
        <v/>
      </c>
      <c r="H104" s="485" t="str">
        <f t="shared" si="26"/>
        <v/>
      </c>
      <c r="I104" s="485" t="str">
        <f t="shared" si="27"/>
        <v/>
      </c>
      <c r="J104" s="485" t="str">
        <f t="shared" si="29"/>
        <v/>
      </c>
    </row>
    <row r="105" spans="1:10">
      <c r="A105" s="486" t="str">
        <f t="shared" si="20"/>
        <v/>
      </c>
      <c r="B105" s="441" t="str">
        <f t="shared" si="21"/>
        <v/>
      </c>
      <c r="C105" s="485" t="str">
        <f t="shared" si="28"/>
        <v/>
      </c>
      <c r="D105" s="485" t="str">
        <f t="shared" si="22"/>
        <v/>
      </c>
      <c r="E105" s="485" t="str">
        <f t="shared" si="23"/>
        <v/>
      </c>
      <c r="F105" s="485" t="str">
        <f t="shared" si="24"/>
        <v/>
      </c>
      <c r="G105" s="485" t="str">
        <f t="shared" si="25"/>
        <v/>
      </c>
      <c r="H105" s="485" t="str">
        <f t="shared" si="26"/>
        <v/>
      </c>
      <c r="I105" s="485" t="str">
        <f t="shared" si="27"/>
        <v/>
      </c>
      <c r="J105" s="485" t="str">
        <f t="shared" si="29"/>
        <v/>
      </c>
    </row>
    <row r="106" spans="1:10">
      <c r="A106" s="486" t="str">
        <f t="shared" si="20"/>
        <v/>
      </c>
      <c r="B106" s="441" t="str">
        <f t="shared" si="21"/>
        <v/>
      </c>
      <c r="C106" s="485" t="str">
        <f t="shared" si="28"/>
        <v/>
      </c>
      <c r="D106" s="485" t="str">
        <f t="shared" si="22"/>
        <v/>
      </c>
      <c r="E106" s="485" t="str">
        <f t="shared" si="23"/>
        <v/>
      </c>
      <c r="F106" s="485" t="str">
        <f t="shared" si="24"/>
        <v/>
      </c>
      <c r="G106" s="485" t="str">
        <f t="shared" si="25"/>
        <v/>
      </c>
      <c r="H106" s="485" t="str">
        <f t="shared" si="26"/>
        <v/>
      </c>
      <c r="I106" s="485" t="str">
        <f t="shared" si="27"/>
        <v/>
      </c>
      <c r="J106" s="485" t="str">
        <f t="shared" si="29"/>
        <v/>
      </c>
    </row>
    <row r="107" spans="1:10">
      <c r="A107" s="486" t="str">
        <f t="shared" si="20"/>
        <v/>
      </c>
      <c r="B107" s="441" t="str">
        <f t="shared" si="21"/>
        <v/>
      </c>
      <c r="C107" s="485" t="str">
        <f t="shared" si="28"/>
        <v/>
      </c>
      <c r="D107" s="485" t="str">
        <f t="shared" si="22"/>
        <v/>
      </c>
      <c r="E107" s="485" t="str">
        <f t="shared" si="23"/>
        <v/>
      </c>
      <c r="F107" s="485" t="str">
        <f t="shared" si="24"/>
        <v/>
      </c>
      <c r="G107" s="485" t="str">
        <f t="shared" si="25"/>
        <v/>
      </c>
      <c r="H107" s="485" t="str">
        <f t="shared" si="26"/>
        <v/>
      </c>
      <c r="I107" s="485" t="str">
        <f t="shared" si="27"/>
        <v/>
      </c>
      <c r="J107" s="485" t="str">
        <f t="shared" si="29"/>
        <v/>
      </c>
    </row>
    <row r="108" spans="1:10">
      <c r="A108" s="486" t="str">
        <f t="shared" si="20"/>
        <v/>
      </c>
      <c r="B108" s="441" t="str">
        <f t="shared" si="21"/>
        <v/>
      </c>
      <c r="C108" s="485" t="str">
        <f t="shared" si="28"/>
        <v/>
      </c>
      <c r="D108" s="485" t="str">
        <f t="shared" si="22"/>
        <v/>
      </c>
      <c r="E108" s="485" t="str">
        <f t="shared" si="23"/>
        <v/>
      </c>
      <c r="F108" s="485" t="str">
        <f t="shared" si="24"/>
        <v/>
      </c>
      <c r="G108" s="485" t="str">
        <f t="shared" si="25"/>
        <v/>
      </c>
      <c r="H108" s="485" t="str">
        <f t="shared" si="26"/>
        <v/>
      </c>
      <c r="I108" s="485" t="str">
        <f t="shared" si="27"/>
        <v/>
      </c>
      <c r="J108" s="485" t="str">
        <f t="shared" si="29"/>
        <v/>
      </c>
    </row>
    <row r="109" spans="1:10">
      <c r="A109" s="486" t="str">
        <f t="shared" si="20"/>
        <v/>
      </c>
      <c r="B109" s="441" t="str">
        <f t="shared" si="21"/>
        <v/>
      </c>
      <c r="C109" s="485" t="str">
        <f t="shared" si="28"/>
        <v/>
      </c>
      <c r="D109" s="485" t="str">
        <f t="shared" si="22"/>
        <v/>
      </c>
      <c r="E109" s="485" t="str">
        <f t="shared" si="23"/>
        <v/>
      </c>
      <c r="F109" s="485" t="str">
        <f t="shared" si="24"/>
        <v/>
      </c>
      <c r="G109" s="485" t="str">
        <f t="shared" si="25"/>
        <v/>
      </c>
      <c r="H109" s="485" t="str">
        <f t="shared" si="26"/>
        <v/>
      </c>
      <c r="I109" s="485" t="str">
        <f t="shared" si="27"/>
        <v/>
      </c>
      <c r="J109" s="485" t="str">
        <f t="shared" si="29"/>
        <v/>
      </c>
    </row>
    <row r="110" spans="1:10">
      <c r="A110" s="486" t="str">
        <f t="shared" si="20"/>
        <v/>
      </c>
      <c r="B110" s="441" t="str">
        <f t="shared" si="21"/>
        <v/>
      </c>
      <c r="C110" s="485" t="str">
        <f t="shared" si="28"/>
        <v/>
      </c>
      <c r="D110" s="485" t="str">
        <f t="shared" si="22"/>
        <v/>
      </c>
      <c r="E110" s="485" t="str">
        <f t="shared" si="23"/>
        <v/>
      </c>
      <c r="F110" s="485" t="str">
        <f t="shared" si="24"/>
        <v/>
      </c>
      <c r="G110" s="485" t="str">
        <f t="shared" si="25"/>
        <v/>
      </c>
      <c r="H110" s="485" t="str">
        <f t="shared" si="26"/>
        <v/>
      </c>
      <c r="I110" s="485" t="str">
        <f t="shared" si="27"/>
        <v/>
      </c>
      <c r="J110" s="485" t="str">
        <f t="shared" si="29"/>
        <v/>
      </c>
    </row>
    <row r="111" spans="1:10">
      <c r="A111" s="486" t="str">
        <f t="shared" si="20"/>
        <v/>
      </c>
      <c r="B111" s="441" t="str">
        <f t="shared" si="21"/>
        <v/>
      </c>
      <c r="C111" s="485" t="str">
        <f t="shared" si="28"/>
        <v/>
      </c>
      <c r="D111" s="485" t="str">
        <f t="shared" si="22"/>
        <v/>
      </c>
      <c r="E111" s="485" t="str">
        <f t="shared" si="23"/>
        <v/>
      </c>
      <c r="F111" s="485" t="str">
        <f t="shared" si="24"/>
        <v/>
      </c>
      <c r="G111" s="485" t="str">
        <f t="shared" si="25"/>
        <v/>
      </c>
      <c r="H111" s="485" t="str">
        <f t="shared" si="26"/>
        <v/>
      </c>
      <c r="I111" s="485" t="str">
        <f t="shared" si="27"/>
        <v/>
      </c>
      <c r="J111" s="485" t="str">
        <f t="shared" si="29"/>
        <v/>
      </c>
    </row>
    <row r="112" spans="1:10">
      <c r="A112" s="486" t="str">
        <f t="shared" si="20"/>
        <v/>
      </c>
      <c r="B112" s="441" t="str">
        <f t="shared" si="21"/>
        <v/>
      </c>
      <c r="C112" s="485" t="str">
        <f t="shared" si="28"/>
        <v/>
      </c>
      <c r="D112" s="485" t="str">
        <f t="shared" si="22"/>
        <v/>
      </c>
      <c r="E112" s="485" t="str">
        <f t="shared" si="23"/>
        <v/>
      </c>
      <c r="F112" s="485" t="str">
        <f t="shared" si="24"/>
        <v/>
      </c>
      <c r="G112" s="485" t="str">
        <f t="shared" si="25"/>
        <v/>
      </c>
      <c r="H112" s="485" t="str">
        <f t="shared" si="26"/>
        <v/>
      </c>
      <c r="I112" s="485" t="str">
        <f t="shared" si="27"/>
        <v/>
      </c>
      <c r="J112" s="485" t="str">
        <f t="shared" si="29"/>
        <v/>
      </c>
    </row>
    <row r="113" spans="1:10">
      <c r="A113" s="486" t="str">
        <f t="shared" si="20"/>
        <v/>
      </c>
      <c r="B113" s="441" t="str">
        <f t="shared" si="21"/>
        <v/>
      </c>
      <c r="C113" s="485" t="str">
        <f t="shared" si="28"/>
        <v/>
      </c>
      <c r="D113" s="485" t="str">
        <f t="shared" si="22"/>
        <v/>
      </c>
      <c r="E113" s="485" t="str">
        <f t="shared" si="23"/>
        <v/>
      </c>
      <c r="F113" s="485" t="str">
        <f t="shared" si="24"/>
        <v/>
      </c>
      <c r="G113" s="485" t="str">
        <f t="shared" si="25"/>
        <v/>
      </c>
      <c r="H113" s="485" t="str">
        <f t="shared" si="26"/>
        <v/>
      </c>
      <c r="I113" s="485" t="str">
        <f t="shared" si="27"/>
        <v/>
      </c>
      <c r="J113" s="485" t="str">
        <f t="shared" si="29"/>
        <v/>
      </c>
    </row>
    <row r="114" spans="1:10">
      <c r="A114" s="486" t="str">
        <f t="shared" si="20"/>
        <v/>
      </c>
      <c r="B114" s="441" t="str">
        <f t="shared" si="21"/>
        <v/>
      </c>
      <c r="C114" s="485" t="str">
        <f t="shared" si="28"/>
        <v/>
      </c>
      <c r="D114" s="485" t="str">
        <f t="shared" si="22"/>
        <v/>
      </c>
      <c r="E114" s="485" t="str">
        <f t="shared" si="23"/>
        <v/>
      </c>
      <c r="F114" s="485" t="str">
        <f t="shared" si="24"/>
        <v/>
      </c>
      <c r="G114" s="485" t="str">
        <f t="shared" si="25"/>
        <v/>
      </c>
      <c r="H114" s="485" t="str">
        <f t="shared" si="26"/>
        <v/>
      </c>
      <c r="I114" s="485" t="str">
        <f t="shared" si="27"/>
        <v/>
      </c>
      <c r="J114" s="485" t="str">
        <f t="shared" si="29"/>
        <v/>
      </c>
    </row>
    <row r="115" spans="1:10">
      <c r="A115" s="486" t="str">
        <f t="shared" si="20"/>
        <v/>
      </c>
      <c r="B115" s="441" t="str">
        <f t="shared" si="21"/>
        <v/>
      </c>
      <c r="C115" s="485" t="str">
        <f t="shared" si="28"/>
        <v/>
      </c>
      <c r="D115" s="485" t="str">
        <f t="shared" si="22"/>
        <v/>
      </c>
      <c r="E115" s="485" t="str">
        <f t="shared" si="23"/>
        <v/>
      </c>
      <c r="F115" s="485" t="str">
        <f t="shared" ref="F115:F118" si="30">IF($A115="","",D115+E115)</f>
        <v/>
      </c>
      <c r="G115" s="485" t="str">
        <f t="shared" ref="G115:G118" si="31">IF($A115="","",MIN(F115-H115,C115))</f>
        <v/>
      </c>
      <c r="H115" s="485" t="str">
        <f t="shared" si="26"/>
        <v/>
      </c>
      <c r="I115" s="485" t="str">
        <f t="shared" si="27"/>
        <v/>
      </c>
      <c r="J115" s="485" t="str">
        <f t="shared" si="29"/>
        <v/>
      </c>
    </row>
    <row r="116" spans="1:10">
      <c r="A116" s="486" t="str">
        <f t="shared" si="20"/>
        <v/>
      </c>
      <c r="B116" s="441" t="str">
        <f t="shared" si="21"/>
        <v/>
      </c>
      <c r="C116" s="485" t="str">
        <f t="shared" si="28"/>
        <v/>
      </c>
      <c r="D116" s="485" t="str">
        <f t="shared" si="22"/>
        <v/>
      </c>
      <c r="E116" s="485" t="str">
        <f t="shared" si="23"/>
        <v/>
      </c>
      <c r="F116" s="485" t="str">
        <f t="shared" si="30"/>
        <v/>
      </c>
      <c r="G116" s="485" t="str">
        <f t="shared" si="31"/>
        <v/>
      </c>
      <c r="H116" s="485" t="str">
        <f t="shared" si="26"/>
        <v/>
      </c>
      <c r="I116" s="485" t="str">
        <f t="shared" si="27"/>
        <v/>
      </c>
      <c r="J116" s="485" t="str">
        <f t="shared" si="29"/>
        <v/>
      </c>
    </row>
    <row r="117" spans="1:10">
      <c r="A117" s="486" t="str">
        <f t="shared" si="20"/>
        <v/>
      </c>
      <c r="B117" s="441" t="str">
        <f t="shared" si="21"/>
        <v/>
      </c>
      <c r="C117" s="485" t="str">
        <f t="shared" si="28"/>
        <v/>
      </c>
      <c r="D117" s="485" t="str">
        <f t="shared" si="22"/>
        <v/>
      </c>
      <c r="E117" s="485" t="str">
        <f t="shared" si="23"/>
        <v/>
      </c>
      <c r="F117" s="485" t="str">
        <f t="shared" si="30"/>
        <v/>
      </c>
      <c r="G117" s="485" t="str">
        <f t="shared" si="31"/>
        <v/>
      </c>
      <c r="H117" s="485" t="str">
        <f t="shared" si="26"/>
        <v/>
      </c>
      <c r="I117" s="485" t="str">
        <f t="shared" si="27"/>
        <v/>
      </c>
      <c r="J117" s="485" t="str">
        <f t="shared" si="29"/>
        <v/>
      </c>
    </row>
    <row r="118" spans="1:10">
      <c r="A118" s="486" t="str">
        <f t="shared" si="20"/>
        <v/>
      </c>
      <c r="B118" s="441" t="str">
        <f t="shared" si="21"/>
        <v/>
      </c>
      <c r="C118" s="485" t="str">
        <f t="shared" si="28"/>
        <v/>
      </c>
      <c r="D118" s="485" t="str">
        <f t="shared" si="22"/>
        <v/>
      </c>
      <c r="E118" s="485" t="str">
        <f t="shared" si="23"/>
        <v/>
      </c>
      <c r="F118" s="485" t="str">
        <f t="shared" si="30"/>
        <v/>
      </c>
      <c r="G118" s="485" t="str">
        <f t="shared" si="31"/>
        <v/>
      </c>
      <c r="H118" s="485" t="str">
        <f t="shared" si="26"/>
        <v/>
      </c>
      <c r="I118" s="485" t="str">
        <f t="shared" si="27"/>
        <v/>
      </c>
      <c r="J118" s="485" t="str">
        <f t="shared" si="29"/>
        <v/>
      </c>
    </row>
  </sheetData>
  <conditionalFormatting sqref="A19:J118">
    <cfRule type="expression" dxfId="0" priority="1" stopIfTrue="1">
      <formula>$A19&lt;&gt;""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FFFC-A891-49E8-A282-599546468ECD}">
  <sheetPr>
    <tabColor theme="3" tint="-0.249977111117893"/>
  </sheetPr>
  <dimension ref="A1:R28"/>
  <sheetViews>
    <sheetView showGridLines="0" zoomScale="90" zoomScaleNormal="90" workbookViewId="0">
      <selection activeCell="L22" sqref="L22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412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C7967142-149E-4215-AD6A-2DA027D20A94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9379-4866-45FD-80C6-5C42B6986072}">
  <sheetPr>
    <tabColor theme="3" tint="-0.249977111117893"/>
  </sheetPr>
  <dimension ref="A1:R28"/>
  <sheetViews>
    <sheetView showGridLines="0" zoomScale="90" zoomScaleNormal="90" workbookViewId="0">
      <selection activeCell="L22" sqref="L22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413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44160100-5394-46DD-9ADB-F6CF9A94EEC6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5C8F-A5EC-42AD-93A4-66BBE1B03465}">
  <sheetPr>
    <tabColor rgb="FF0070C0"/>
  </sheetPr>
  <dimension ref="A1:R28"/>
  <sheetViews>
    <sheetView showGridLines="0" zoomScale="90" zoomScaleNormal="90" workbookViewId="0">
      <selection activeCell="L22" sqref="L22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414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E5C98F04-77FE-4B85-A380-5680C21B2BC8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FC2F-727E-4284-8093-AA86643E1194}">
  <sheetPr>
    <tabColor rgb="FF0070C0"/>
  </sheetPr>
  <dimension ref="A1:R28"/>
  <sheetViews>
    <sheetView showGridLines="0" zoomScale="90" zoomScaleNormal="90" workbookViewId="0">
      <selection activeCell="F6" sqref="F6:F20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415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587360F6-FA19-47EB-AE46-CAD83C417C2D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AAE6-9151-40F2-B460-60E37AE49EA4}">
  <sheetPr>
    <tabColor rgb="FF0070C0"/>
  </sheetPr>
  <dimension ref="A1:R28"/>
  <sheetViews>
    <sheetView showGridLines="0" zoomScale="90" zoomScaleNormal="90" workbookViewId="0">
      <selection activeCell="F6" sqref="F6:F20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416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1F695E72-CF58-45B4-87ED-6A5ADCD99E31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7514-2899-410F-8CCB-85904433EAB7}">
  <sheetPr>
    <tabColor rgb="FF0070C0"/>
  </sheetPr>
  <dimension ref="A1:R28"/>
  <sheetViews>
    <sheetView showGridLines="0" zoomScale="90" zoomScaleNormal="90" workbookViewId="0">
      <selection activeCell="F6" sqref="F6:F20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417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5C2A30B2-B709-4440-ACC5-62A589833138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4899-C5AC-4EFE-8C57-7B59BAA565B6}">
  <sheetPr>
    <tabColor rgb="FFFFFF00"/>
  </sheetPr>
  <dimension ref="A1:R28"/>
  <sheetViews>
    <sheetView showGridLines="0" zoomScale="90" zoomScaleNormal="90" workbookViewId="0">
      <selection activeCell="F6" sqref="F6:F20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418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54E19A3D-36E0-4741-934F-A6F3ED04E1EC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62DC-86ED-4676-9829-4FB9B4EB65D6}">
  <sheetPr>
    <tabColor rgb="FFFFFF00"/>
  </sheetPr>
  <dimension ref="A1:R28"/>
  <sheetViews>
    <sheetView showGridLines="0" zoomScale="90" zoomScaleNormal="90" workbookViewId="0">
      <selection activeCell="F6" sqref="F6:F20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419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EF5E2E0C-EF76-4844-8508-5C1CAACCDD04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5312-D2ED-4894-AD71-D222A4BBF9B4}">
  <sheetPr>
    <tabColor rgb="FFFFFF00"/>
  </sheetPr>
  <dimension ref="A1:R28"/>
  <sheetViews>
    <sheetView showGridLines="0" zoomScale="90" zoomScaleNormal="90" workbookViewId="0">
      <selection activeCell="F6" sqref="F6:F20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6" ht="15.5">
      <c r="A1" s="557" t="s">
        <v>355</v>
      </c>
      <c r="B1" s="557"/>
      <c r="C1" s="557"/>
      <c r="D1" s="557"/>
      <c r="E1" s="207">
        <f>+Equipos!E1</f>
        <v>0</v>
      </c>
    </row>
    <row r="2" spans="1:16">
      <c r="A2" s="1"/>
      <c r="B2" s="1"/>
      <c r="C2" s="1"/>
      <c r="D2" s="1"/>
      <c r="E2" s="2"/>
    </row>
    <row r="3" spans="1:16" ht="13">
      <c r="A3" s="560" t="s">
        <v>420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6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</v>
      </c>
      <c r="G4" s="7">
        <v>0</v>
      </c>
      <c r="H4" s="6">
        <v>0</v>
      </c>
      <c r="I4" s="203">
        <v>0</v>
      </c>
      <c r="J4" s="23" t="s">
        <v>366</v>
      </c>
      <c r="K4" s="209">
        <v>0.03</v>
      </c>
      <c r="L4" s="25" t="s">
        <v>377</v>
      </c>
      <c r="M4" s="26">
        <v>0.23</v>
      </c>
      <c r="N4" s="191" t="s">
        <v>367</v>
      </c>
      <c r="O4" s="24" t="s">
        <v>14</v>
      </c>
    </row>
    <row r="5" spans="1:16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6">
      <c r="A6" s="407"/>
      <c r="B6" s="407" t="s">
        <v>369</v>
      </c>
      <c r="C6" s="408">
        <v>0</v>
      </c>
      <c r="D6" s="406">
        <v>0</v>
      </c>
      <c r="E6" s="409">
        <f>+D6*C6</f>
        <v>0</v>
      </c>
      <c r="F6" s="401">
        <f>IF(B6="si",D6*$F$4,0)</f>
        <v>0</v>
      </c>
      <c r="G6" s="401">
        <v>0</v>
      </c>
      <c r="H6" s="401">
        <f>(D6+F6+G6)*$H$4</f>
        <v>0</v>
      </c>
      <c r="I6" s="401">
        <f>IF(B6="si",(D6+F6+G6+H6)*$I$4,0)</f>
        <v>0</v>
      </c>
      <c r="J6" s="401">
        <f>D6+F6+G6+H6+I6</f>
        <v>0</v>
      </c>
      <c r="K6" s="401">
        <f>J6*$K$4</f>
        <v>0</v>
      </c>
      <c r="L6" s="403">
        <f>J6*C6</f>
        <v>0</v>
      </c>
      <c r="M6" s="401">
        <f>(J6+K6)*$M$4/(1-$M$4)</f>
        <v>0</v>
      </c>
      <c r="N6" s="401">
        <f>M6+J6+K6</f>
        <v>0</v>
      </c>
      <c r="O6" s="401">
        <f>N6*C6</f>
        <v>0</v>
      </c>
      <c r="P6" s="10"/>
    </row>
    <row r="7" spans="1:16">
      <c r="A7" s="407"/>
      <c r="B7" s="407" t="s">
        <v>369</v>
      </c>
      <c r="C7" s="408">
        <v>0</v>
      </c>
      <c r="D7" s="406">
        <v>0</v>
      </c>
      <c r="E7" s="409">
        <f>+D7*C7</f>
        <v>0</v>
      </c>
      <c r="F7" s="401">
        <f t="shared" ref="F7:F20" si="0">IF(B7="si",D7*$F$4,0)</f>
        <v>0</v>
      </c>
      <c r="G7" s="411">
        <f>(D7+F7)*$G$4</f>
        <v>0</v>
      </c>
      <c r="H7" s="411">
        <f>(D7+F7+G7)*$H$4</f>
        <v>0</v>
      </c>
      <c r="I7" s="401">
        <f t="shared" ref="I7:I20" si="1">IF(B7="si",(D7+F7+G7+H7)*$I$4,0)</f>
        <v>0</v>
      </c>
      <c r="J7" s="411">
        <f>D7+F7+G7+H7+I7</f>
        <v>0</v>
      </c>
      <c r="K7" s="401">
        <f t="shared" ref="K7:K20" si="2">J7*$K$4</f>
        <v>0</v>
      </c>
      <c r="L7" s="416">
        <f>J7*C7</f>
        <v>0</v>
      </c>
      <c r="M7" s="411">
        <f>J7*$M$4/(1-$M$4)</f>
        <v>0</v>
      </c>
      <c r="N7" s="411">
        <f>M7+J7</f>
        <v>0</v>
      </c>
      <c r="O7" s="411">
        <f>N7*C7</f>
        <v>0</v>
      </c>
    </row>
    <row r="8" spans="1:16">
      <c r="A8" s="410"/>
      <c r="B8" s="407" t="s">
        <v>369</v>
      </c>
      <c r="C8" s="408">
        <v>0</v>
      </c>
      <c r="D8" s="406">
        <v>0</v>
      </c>
      <c r="E8" s="409">
        <f t="shared" ref="E8:E12" si="3">+D8*C8</f>
        <v>0</v>
      </c>
      <c r="F8" s="401">
        <f t="shared" si="0"/>
        <v>0</v>
      </c>
      <c r="G8" s="411">
        <f t="shared" ref="G8:G12" si="4">(D8+F8)*$G$4</f>
        <v>0</v>
      </c>
      <c r="H8" s="411">
        <f t="shared" ref="H8:H12" si="5">(D8+F8+G8)*$H$4</f>
        <v>0</v>
      </c>
      <c r="I8" s="401">
        <f t="shared" si="1"/>
        <v>0</v>
      </c>
      <c r="J8" s="411">
        <f t="shared" ref="J8:J12" si="6">D8+F8+G8+H8+I8</f>
        <v>0</v>
      </c>
      <c r="K8" s="401">
        <f t="shared" si="2"/>
        <v>0</v>
      </c>
      <c r="L8" s="416">
        <f t="shared" ref="L8:L12" si="7">J8*C8</f>
        <v>0</v>
      </c>
      <c r="M8" s="411">
        <f t="shared" ref="M8:M12" si="8">J8*$M$4/(1-$M$4)</f>
        <v>0</v>
      </c>
      <c r="N8" s="411">
        <f t="shared" ref="N8:N12" si="9">M8+J8</f>
        <v>0</v>
      </c>
      <c r="O8" s="411">
        <f t="shared" ref="O8:O12" si="10">N8*C8</f>
        <v>0</v>
      </c>
    </row>
    <row r="9" spans="1:16">
      <c r="A9" s="410"/>
      <c r="B9" s="407" t="s">
        <v>369</v>
      </c>
      <c r="C9" s="421"/>
      <c r="D9" s="422">
        <v>0</v>
      </c>
      <c r="E9" s="409">
        <f t="shared" si="3"/>
        <v>0</v>
      </c>
      <c r="F9" s="401">
        <f t="shared" si="0"/>
        <v>0</v>
      </c>
      <c r="G9" s="411">
        <f t="shared" si="4"/>
        <v>0</v>
      </c>
      <c r="H9" s="411">
        <f t="shared" si="5"/>
        <v>0</v>
      </c>
      <c r="I9" s="401">
        <f t="shared" si="1"/>
        <v>0</v>
      </c>
      <c r="J9" s="411">
        <f t="shared" si="6"/>
        <v>0</v>
      </c>
      <c r="K9" s="401">
        <f t="shared" si="2"/>
        <v>0</v>
      </c>
      <c r="L9" s="416">
        <f t="shared" si="7"/>
        <v>0</v>
      </c>
      <c r="M9" s="411">
        <f t="shared" si="8"/>
        <v>0</v>
      </c>
      <c r="N9" s="411">
        <f t="shared" si="9"/>
        <v>0</v>
      </c>
      <c r="O9" s="411">
        <f t="shared" si="10"/>
        <v>0</v>
      </c>
    </row>
    <row r="10" spans="1:16">
      <c r="A10" s="410"/>
      <c r="B10" s="407" t="s">
        <v>369</v>
      </c>
      <c r="C10" s="421"/>
      <c r="D10" s="422">
        <v>0</v>
      </c>
      <c r="E10" s="409">
        <f t="shared" si="3"/>
        <v>0</v>
      </c>
      <c r="F10" s="401">
        <f t="shared" si="0"/>
        <v>0</v>
      </c>
      <c r="G10" s="411">
        <f t="shared" si="4"/>
        <v>0</v>
      </c>
      <c r="H10" s="411">
        <f t="shared" si="5"/>
        <v>0</v>
      </c>
      <c r="I10" s="401">
        <f t="shared" si="1"/>
        <v>0</v>
      </c>
      <c r="J10" s="411">
        <f t="shared" si="6"/>
        <v>0</v>
      </c>
      <c r="K10" s="401">
        <f t="shared" si="2"/>
        <v>0</v>
      </c>
      <c r="L10" s="416">
        <f t="shared" si="7"/>
        <v>0</v>
      </c>
      <c r="M10" s="411">
        <f t="shared" si="8"/>
        <v>0</v>
      </c>
      <c r="N10" s="411">
        <f t="shared" si="9"/>
        <v>0</v>
      </c>
      <c r="O10" s="411">
        <f t="shared" si="10"/>
        <v>0</v>
      </c>
    </row>
    <row r="11" spans="1:16">
      <c r="A11" s="412"/>
      <c r="B11" s="407" t="s">
        <v>369</v>
      </c>
      <c r="C11" s="423"/>
      <c r="D11" s="422">
        <v>0</v>
      </c>
      <c r="E11" s="409">
        <f t="shared" si="3"/>
        <v>0</v>
      </c>
      <c r="F11" s="401">
        <f t="shared" si="0"/>
        <v>0</v>
      </c>
      <c r="G11" s="411">
        <f t="shared" si="4"/>
        <v>0</v>
      </c>
      <c r="H11" s="411">
        <f t="shared" si="5"/>
        <v>0</v>
      </c>
      <c r="I11" s="401">
        <f t="shared" si="1"/>
        <v>0</v>
      </c>
      <c r="J11" s="411">
        <f t="shared" si="6"/>
        <v>0</v>
      </c>
      <c r="K11" s="401">
        <f t="shared" si="2"/>
        <v>0</v>
      </c>
      <c r="L11" s="416">
        <f t="shared" si="7"/>
        <v>0</v>
      </c>
      <c r="M11" s="411">
        <f t="shared" si="8"/>
        <v>0</v>
      </c>
      <c r="N11" s="411">
        <f t="shared" si="9"/>
        <v>0</v>
      </c>
      <c r="O11" s="411">
        <f t="shared" si="10"/>
        <v>0</v>
      </c>
    </row>
    <row r="12" spans="1:16">
      <c r="A12" s="412"/>
      <c r="B12" s="407" t="s">
        <v>369</v>
      </c>
      <c r="C12" s="423"/>
      <c r="D12" s="422">
        <v>0</v>
      </c>
      <c r="E12" s="409">
        <f t="shared" si="3"/>
        <v>0</v>
      </c>
      <c r="F12" s="401">
        <f t="shared" si="0"/>
        <v>0</v>
      </c>
      <c r="G12" s="411">
        <f t="shared" si="4"/>
        <v>0</v>
      </c>
      <c r="H12" s="411">
        <f t="shared" si="5"/>
        <v>0</v>
      </c>
      <c r="I12" s="401">
        <f t="shared" si="1"/>
        <v>0</v>
      </c>
      <c r="J12" s="411">
        <f t="shared" si="6"/>
        <v>0</v>
      </c>
      <c r="K12" s="401">
        <f t="shared" si="2"/>
        <v>0</v>
      </c>
      <c r="L12" s="416">
        <f t="shared" si="7"/>
        <v>0</v>
      </c>
      <c r="M12" s="411">
        <f t="shared" si="8"/>
        <v>0</v>
      </c>
      <c r="N12" s="411">
        <f t="shared" si="9"/>
        <v>0</v>
      </c>
      <c r="O12" s="411">
        <f t="shared" si="10"/>
        <v>0</v>
      </c>
    </row>
    <row r="13" spans="1:16" ht="13">
      <c r="A13" s="78" t="s">
        <v>378</v>
      </c>
      <c r="B13" s="72"/>
      <c r="C13" s="72"/>
      <c r="D13" s="72"/>
      <c r="E13" s="72"/>
      <c r="F13" s="401">
        <f t="shared" si="0"/>
        <v>0</v>
      </c>
      <c r="G13" s="74"/>
      <c r="H13" s="73"/>
      <c r="I13" s="401">
        <f t="shared" si="1"/>
        <v>0</v>
      </c>
      <c r="J13" s="75"/>
      <c r="K13" s="75"/>
      <c r="L13" s="75"/>
      <c r="M13" s="76"/>
      <c r="N13" s="75"/>
      <c r="O13" s="75"/>
    </row>
    <row r="14" spans="1:16">
      <c r="A14" s="407"/>
      <c r="B14" s="407"/>
      <c r="C14" s="417"/>
      <c r="D14" s="420">
        <v>0</v>
      </c>
      <c r="E14" s="402">
        <f>+C14*D14*(1-C23)</f>
        <v>0</v>
      </c>
      <c r="F14" s="401">
        <f t="shared" si="0"/>
        <v>0</v>
      </c>
      <c r="G14" s="401">
        <f t="shared" ref="G14:G18" si="11">(D14+F14)*$G$4</f>
        <v>0</v>
      </c>
      <c r="H14" s="401">
        <f t="shared" ref="H14:H18" si="12">(D14+F14+G14)*$H$4</f>
        <v>0</v>
      </c>
      <c r="I14" s="401">
        <f t="shared" si="1"/>
        <v>0</v>
      </c>
      <c r="J14" s="401">
        <f t="shared" ref="J14:J18" si="13">D14+F14+G14+H14+I14</f>
        <v>0</v>
      </c>
      <c r="K14" s="401">
        <f t="shared" si="2"/>
        <v>0</v>
      </c>
      <c r="L14" s="403">
        <f t="shared" ref="L14:L18" si="14">J14*C14</f>
        <v>0</v>
      </c>
      <c r="M14" s="401">
        <f t="shared" ref="M14:M18" si="15">J14*$M$4/(1-$M$4)</f>
        <v>0</v>
      </c>
      <c r="N14" s="401">
        <f t="shared" ref="N14:N18" si="16">M14+J14</f>
        <v>0</v>
      </c>
      <c r="O14" s="401">
        <f t="shared" ref="O14:O18" si="17">N14*C14</f>
        <v>0</v>
      </c>
    </row>
    <row r="15" spans="1:16">
      <c r="A15" s="413"/>
      <c r="B15" s="407"/>
      <c r="C15" s="417"/>
      <c r="D15" s="420">
        <v>0</v>
      </c>
      <c r="E15" s="402">
        <f>+C15*D15</f>
        <v>0</v>
      </c>
      <c r="F15" s="401">
        <f t="shared" si="0"/>
        <v>0</v>
      </c>
      <c r="G15" s="401">
        <f t="shared" si="11"/>
        <v>0</v>
      </c>
      <c r="H15" s="401">
        <f t="shared" si="12"/>
        <v>0</v>
      </c>
      <c r="I15" s="401">
        <f t="shared" si="1"/>
        <v>0</v>
      </c>
      <c r="J15" s="401">
        <f t="shared" si="13"/>
        <v>0</v>
      </c>
      <c r="K15" s="401">
        <f t="shared" si="2"/>
        <v>0</v>
      </c>
      <c r="L15" s="403">
        <f t="shared" si="14"/>
        <v>0</v>
      </c>
      <c r="M15" s="401">
        <f t="shared" si="15"/>
        <v>0</v>
      </c>
      <c r="N15" s="401">
        <f t="shared" si="16"/>
        <v>0</v>
      </c>
      <c r="O15" s="401">
        <f t="shared" si="17"/>
        <v>0</v>
      </c>
    </row>
    <row r="16" spans="1:16">
      <c r="A16" s="413"/>
      <c r="B16" s="407"/>
      <c r="C16" s="417"/>
      <c r="D16" s="420">
        <v>0</v>
      </c>
      <c r="E16" s="402">
        <f>+C16*D16</f>
        <v>0</v>
      </c>
      <c r="F16" s="401">
        <f t="shared" si="0"/>
        <v>0</v>
      </c>
      <c r="G16" s="401">
        <f t="shared" si="11"/>
        <v>0</v>
      </c>
      <c r="H16" s="401">
        <f t="shared" si="12"/>
        <v>0</v>
      </c>
      <c r="I16" s="401">
        <f t="shared" si="1"/>
        <v>0</v>
      </c>
      <c r="J16" s="401">
        <f t="shared" si="13"/>
        <v>0</v>
      </c>
      <c r="K16" s="401">
        <f t="shared" si="2"/>
        <v>0</v>
      </c>
      <c r="L16" s="403">
        <f t="shared" si="14"/>
        <v>0</v>
      </c>
      <c r="M16" s="401">
        <f t="shared" si="15"/>
        <v>0</v>
      </c>
      <c r="N16" s="401">
        <f t="shared" si="16"/>
        <v>0</v>
      </c>
      <c r="O16" s="401">
        <f t="shared" si="17"/>
        <v>0</v>
      </c>
    </row>
    <row r="17" spans="1:18">
      <c r="A17" s="414"/>
      <c r="B17" s="407"/>
      <c r="C17" s="417"/>
      <c r="D17" s="420">
        <v>0</v>
      </c>
      <c r="E17" s="402">
        <f>+C17*D17</f>
        <v>0</v>
      </c>
      <c r="F17" s="401">
        <f t="shared" si="0"/>
        <v>0</v>
      </c>
      <c r="G17" s="401">
        <f t="shared" si="11"/>
        <v>0</v>
      </c>
      <c r="H17" s="401">
        <f t="shared" si="12"/>
        <v>0</v>
      </c>
      <c r="I17" s="401">
        <f t="shared" si="1"/>
        <v>0</v>
      </c>
      <c r="J17" s="401">
        <f t="shared" si="13"/>
        <v>0</v>
      </c>
      <c r="K17" s="401">
        <f t="shared" si="2"/>
        <v>0</v>
      </c>
      <c r="L17" s="403">
        <f t="shared" si="14"/>
        <v>0</v>
      </c>
      <c r="M17" s="401">
        <f t="shared" si="15"/>
        <v>0</v>
      </c>
      <c r="N17" s="401">
        <f t="shared" si="16"/>
        <v>0</v>
      </c>
      <c r="O17" s="401">
        <f t="shared" si="17"/>
        <v>0</v>
      </c>
    </row>
    <row r="18" spans="1:18">
      <c r="A18" s="414"/>
      <c r="B18" s="407"/>
      <c r="C18" s="417"/>
      <c r="D18" s="420">
        <v>0</v>
      </c>
      <c r="E18" s="402">
        <f>+C18*D18</f>
        <v>0</v>
      </c>
      <c r="F18" s="401">
        <f t="shared" si="0"/>
        <v>0</v>
      </c>
      <c r="G18" s="401">
        <f t="shared" si="11"/>
        <v>0</v>
      </c>
      <c r="H18" s="401">
        <f t="shared" si="12"/>
        <v>0</v>
      </c>
      <c r="I18" s="401">
        <f t="shared" si="1"/>
        <v>0</v>
      </c>
      <c r="J18" s="401">
        <f t="shared" si="13"/>
        <v>0</v>
      </c>
      <c r="K18" s="401">
        <f t="shared" si="2"/>
        <v>0</v>
      </c>
      <c r="L18" s="403">
        <f t="shared" si="14"/>
        <v>0</v>
      </c>
      <c r="M18" s="401">
        <f t="shared" si="15"/>
        <v>0</v>
      </c>
      <c r="N18" s="401">
        <f t="shared" si="16"/>
        <v>0</v>
      </c>
      <c r="O18" s="401">
        <f t="shared" si="17"/>
        <v>0</v>
      </c>
    </row>
    <row r="19" spans="1:18" ht="13">
      <c r="A19" s="77" t="s">
        <v>370</v>
      </c>
      <c r="B19" s="72"/>
      <c r="C19" s="72"/>
      <c r="D19" s="72"/>
      <c r="E19" s="72"/>
      <c r="F19" s="401">
        <f t="shared" si="0"/>
        <v>0</v>
      </c>
      <c r="G19" s="132"/>
      <c r="H19" s="76"/>
      <c r="I19" s="401">
        <f t="shared" si="1"/>
        <v>0</v>
      </c>
      <c r="J19" s="75"/>
      <c r="K19" s="75"/>
      <c r="L19" s="75"/>
      <c r="M19" s="76"/>
      <c r="N19" s="75"/>
      <c r="O19" s="75"/>
    </row>
    <row r="20" spans="1:18">
      <c r="A20" s="404"/>
      <c r="B20" s="407"/>
      <c r="C20" s="417"/>
      <c r="D20" s="401">
        <v>0</v>
      </c>
      <c r="E20" s="402">
        <f>+C20*D20</f>
        <v>0</v>
      </c>
      <c r="F20" s="401">
        <f t="shared" si="0"/>
        <v>0</v>
      </c>
      <c r="G20" s="401">
        <f t="shared" ref="G20" si="18">(D20+F20)*$G$4</f>
        <v>0</v>
      </c>
      <c r="H20" s="401">
        <f t="shared" ref="H20" si="19">(D20+F20+G20)*$H$4</f>
        <v>0</v>
      </c>
      <c r="I20" s="401">
        <f t="shared" si="1"/>
        <v>0</v>
      </c>
      <c r="J20" s="401">
        <f t="shared" ref="J20" si="20">D20+F20+G20+H20+I20</f>
        <v>0</v>
      </c>
      <c r="K20" s="401">
        <f t="shared" si="2"/>
        <v>0</v>
      </c>
      <c r="L20" s="403">
        <f t="shared" ref="L20" si="21">J20*C20</f>
        <v>0</v>
      </c>
      <c r="M20" s="401">
        <f t="shared" ref="M20" si="22">J20*$M$4/(1-$M$4)</f>
        <v>0</v>
      </c>
      <c r="N20" s="401">
        <f t="shared" ref="N20" si="23">M20+J20</f>
        <v>0</v>
      </c>
      <c r="O20" s="401">
        <f t="shared" ref="O20" si="24">N20*C20</f>
        <v>0</v>
      </c>
    </row>
    <row r="21" spans="1:18">
      <c r="A21" s="131"/>
      <c r="B21" s="131"/>
      <c r="C21" s="11"/>
      <c r="D21" s="130"/>
      <c r="E21" s="18"/>
      <c r="F21" s="9"/>
      <c r="G21" s="9"/>
      <c r="H21" s="9"/>
      <c r="I21" s="9"/>
      <c r="J21" s="9"/>
      <c r="K21" s="9"/>
      <c r="L21" s="149"/>
      <c r="M21" s="9"/>
      <c r="N21" s="9"/>
      <c r="O21" s="9"/>
      <c r="Q21" s="4"/>
    </row>
    <row r="22" spans="1:18" ht="13">
      <c r="A22" s="12"/>
      <c r="B22" s="12"/>
      <c r="C22" s="13"/>
      <c r="D22" s="14" t="s">
        <v>371</v>
      </c>
      <c r="E22" s="14">
        <f>SUM(E6:E20)</f>
        <v>0</v>
      </c>
      <c r="F22" s="15"/>
      <c r="G22" s="15"/>
      <c r="H22" s="15"/>
      <c r="I22" s="15"/>
      <c r="J22" s="16" t="s">
        <v>372</v>
      </c>
      <c r="K22" s="16"/>
      <c r="L22" s="14">
        <f>SUM(L6:L20)</f>
        <v>0</v>
      </c>
      <c r="M22" s="15"/>
      <c r="N22" s="16" t="s">
        <v>373</v>
      </c>
      <c r="O22" s="14">
        <f>SUM(O6:O20)</f>
        <v>0</v>
      </c>
      <c r="Q22" s="4"/>
      <c r="R22" s="3"/>
    </row>
    <row r="23" spans="1:18" ht="13">
      <c r="A23" s="34"/>
      <c r="B23" s="34"/>
      <c r="C23" s="194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 t="s">
        <v>374</v>
      </c>
      <c r="O23" s="20">
        <f>O22-L22</f>
        <v>0</v>
      </c>
      <c r="Q23" s="4"/>
      <c r="R23" s="3"/>
    </row>
    <row r="24" spans="1:18">
      <c r="Q24" s="4"/>
      <c r="R24" s="3"/>
    </row>
    <row r="25" spans="1:18">
      <c r="A25" s="179" t="s">
        <v>363</v>
      </c>
      <c r="E25" s="3"/>
      <c r="Q25" s="4"/>
      <c r="R25" s="3"/>
    </row>
    <row r="26" spans="1:18">
      <c r="A26" s="107" t="s">
        <v>375</v>
      </c>
      <c r="B26" s="8"/>
      <c r="E26" s="3"/>
      <c r="Q26" s="4"/>
    </row>
    <row r="27" spans="1:18">
      <c r="A27" s="107" t="s">
        <v>369</v>
      </c>
      <c r="B27" s="39"/>
      <c r="C27" s="15"/>
      <c r="D27" s="15"/>
      <c r="O27" s="3"/>
    </row>
    <row r="28" spans="1:18">
      <c r="A28" s="39"/>
      <c r="B28" s="39"/>
      <c r="C28" s="15"/>
      <c r="D28" s="15"/>
      <c r="P28" s="3"/>
    </row>
  </sheetData>
  <mergeCells count="2">
    <mergeCell ref="A1:D1"/>
    <mergeCell ref="A3:E3"/>
  </mergeCells>
  <dataValidations count="1">
    <dataValidation type="list" allowBlank="1" showErrorMessage="1" errorTitle="Opción no válida" sqref="B20 B14:B18 B6:B12" xr:uid="{AAE57C9C-0C8F-4E78-90A6-4DBCF66CD5E4}">
      <formula1>$A$26:$A$27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74D7-FC3D-4890-849A-F6E04D2B7E71}">
  <sheetPr>
    <tabColor rgb="FFFF0000"/>
  </sheetPr>
  <dimension ref="A1:K37"/>
  <sheetViews>
    <sheetView showGridLines="0" zoomScale="90" zoomScaleNormal="90" workbookViewId="0">
      <selection activeCell="C5" sqref="C5"/>
    </sheetView>
  </sheetViews>
  <sheetFormatPr defaultColWidth="10.54296875" defaultRowHeight="12.5"/>
  <cols>
    <col min="1" max="1" width="17.54296875" style="33" customWidth="1"/>
    <col min="2" max="2" width="45.81640625" style="15" customWidth="1"/>
    <col min="3" max="3" width="20.26953125" style="15" customWidth="1"/>
    <col min="4" max="4" width="19.1796875" style="15" bestFit="1" customWidth="1"/>
    <col min="5" max="5" width="16.1796875" style="15" customWidth="1"/>
    <col min="6" max="6" width="17.7265625" style="15" customWidth="1"/>
    <col min="7" max="7" width="21.1796875" style="15" bestFit="1" customWidth="1"/>
    <col min="8" max="8" width="18.81640625" style="15" customWidth="1"/>
    <col min="9" max="9" width="18.26953125" style="15" customWidth="1"/>
    <col min="10" max="10" width="16.453125" style="15" bestFit="1" customWidth="1"/>
    <col min="11" max="16384" width="10.54296875" style="15"/>
  </cols>
  <sheetData>
    <row r="1" spans="1:11" ht="14">
      <c r="B1" s="140" t="s">
        <v>279</v>
      </c>
      <c r="F1" s="34" t="s">
        <v>280</v>
      </c>
      <c r="G1" s="11">
        <v>25</v>
      </c>
      <c r="J1" s="35"/>
    </row>
    <row r="2" spans="1:11" ht="16.5" customHeight="1">
      <c r="B2" s="520" t="s">
        <v>243</v>
      </c>
      <c r="C2" s="520"/>
      <c r="D2" s="520"/>
      <c r="E2" s="520"/>
      <c r="F2" s="520"/>
      <c r="G2" s="520"/>
      <c r="H2" s="239"/>
      <c r="I2" s="240"/>
    </row>
    <row r="3" spans="1:11" s="39" customFormat="1" ht="31.5" customHeight="1" thickBot="1">
      <c r="A3" s="38"/>
      <c r="B3" s="136" t="s">
        <v>244</v>
      </c>
      <c r="C3" s="137" t="s">
        <v>281</v>
      </c>
      <c r="D3" s="137" t="s">
        <v>248</v>
      </c>
      <c r="E3" s="137" t="s">
        <v>282</v>
      </c>
      <c r="F3" s="137" t="s">
        <v>283</v>
      </c>
      <c r="G3" s="137" t="s">
        <v>284</v>
      </c>
      <c r="H3" s="340"/>
      <c r="I3" s="238"/>
    </row>
    <row r="4" spans="1:11" ht="16" customHeight="1">
      <c r="A4" s="521" t="s">
        <v>285</v>
      </c>
      <c r="B4" s="166" t="str">
        <f>Equipos!B3</f>
        <v>Productos 1</v>
      </c>
      <c r="C4" s="211">
        <v>0</v>
      </c>
      <c r="D4" s="213" t="str">
        <f t="shared" ref="D4:D11" si="0">IFERROR(C4/$C$12,"")</f>
        <v/>
      </c>
      <c r="E4" s="214">
        <f>+Equipos!N4</f>
        <v>0.27400000000000002</v>
      </c>
      <c r="F4" s="215">
        <f>Tabla24[[#This Row],[Costo]]/(1-Tabla24[[#This Row],[% de venta]])</f>
        <v>0</v>
      </c>
      <c r="G4" s="216">
        <f>+Tabla24[[#This Row],[P. Venta ]]-Tabla24[[#This Row],[Costo]]</f>
        <v>0</v>
      </c>
      <c r="H4" s="233"/>
    </row>
    <row r="5" spans="1:11" ht="16" customHeight="1">
      <c r="A5" s="522"/>
      <c r="B5" s="391" t="str">
        <f>+'Productos 2'!A3</f>
        <v>Productos 2</v>
      </c>
      <c r="C5" s="392">
        <f>+'Productos 2'!L17</f>
        <v>0</v>
      </c>
      <c r="D5" s="393" t="str">
        <f t="shared" si="0"/>
        <v/>
      </c>
      <c r="E5" s="394">
        <f>+'Productos 2'!M4</f>
        <v>0.3</v>
      </c>
      <c r="F5" s="395">
        <f>Tabla24[[#This Row],[Costo]]/(1-Tabla24[[#This Row],[% de venta]])</f>
        <v>0</v>
      </c>
      <c r="G5" s="396">
        <f>+Tabla24[[#This Row],[P. Venta ]]-Tabla24[[#This Row],[Costo]]</f>
        <v>0</v>
      </c>
      <c r="H5" s="234"/>
    </row>
    <row r="6" spans="1:11" ht="16" customHeight="1">
      <c r="A6" s="522"/>
      <c r="B6" s="397" t="str">
        <f>+'Productos 3'!A3</f>
        <v>Productos 3</v>
      </c>
      <c r="C6" s="392">
        <f>+'Productos 3'!L22</f>
        <v>0</v>
      </c>
      <c r="D6" s="393" t="str">
        <f t="shared" si="0"/>
        <v/>
      </c>
      <c r="E6" s="394">
        <f>+'Productos 3'!M4</f>
        <v>0.3</v>
      </c>
      <c r="F6" s="395">
        <f>Tabla24[[#This Row],[Costo]]/(1-Tabla24[[#This Row],[% de venta]])</f>
        <v>0</v>
      </c>
      <c r="G6" s="396">
        <f>+Tabla24[[#This Row],[P. Venta ]]-Tabla24[[#This Row],[Costo]]</f>
        <v>0</v>
      </c>
      <c r="H6" s="234"/>
    </row>
    <row r="7" spans="1:11" ht="16" customHeight="1">
      <c r="A7" s="522"/>
      <c r="B7" s="391" t="str">
        <f>+'Productos 4'!A3</f>
        <v>Productos 4</v>
      </c>
      <c r="C7" s="392">
        <f>+'Productos 4'!L21</f>
        <v>0</v>
      </c>
      <c r="D7" s="393" t="str">
        <f t="shared" si="0"/>
        <v/>
      </c>
      <c r="E7" s="394">
        <f>+'Productos 4'!M4</f>
        <v>0.3</v>
      </c>
      <c r="F7" s="395">
        <f>Tabla24[[#This Row],[Costo]]/(1-Tabla24[[#This Row],[% de venta]])</f>
        <v>0</v>
      </c>
      <c r="G7" s="396">
        <f>+Tabla24[[#This Row],[P. Venta ]]-Tabla24[[#This Row],[Costo]]</f>
        <v>0</v>
      </c>
      <c r="H7" s="234"/>
    </row>
    <row r="8" spans="1:11" ht="16" customHeight="1" thickBot="1">
      <c r="A8" s="523"/>
      <c r="B8" s="170" t="str">
        <f>+'Productos 5'!A3</f>
        <v>Productos 5</v>
      </c>
      <c r="C8" s="212">
        <f>+'Productos 5'!L25</f>
        <v>0</v>
      </c>
      <c r="D8" s="217" t="str">
        <f t="shared" si="0"/>
        <v/>
      </c>
      <c r="E8" s="218">
        <f>+'Productos 5'!M4</f>
        <v>0.3</v>
      </c>
      <c r="F8" s="219">
        <f>Tabla24[[#This Row],[Costo]]/(1-Tabla24[[#This Row],[% de venta]])</f>
        <v>0</v>
      </c>
      <c r="G8" s="220">
        <f>+Tabla24[[#This Row],[P. Venta ]]-Tabla24[[#This Row],[Costo]]</f>
        <v>0</v>
      </c>
      <c r="H8" s="235"/>
    </row>
    <row r="9" spans="1:11" ht="114.75" customHeight="1" thickBot="1">
      <c r="A9" s="265" t="s">
        <v>286</v>
      </c>
      <c r="B9" s="242" t="str">
        <f>+MATERIALES!A3</f>
        <v>Materiales</v>
      </c>
      <c r="C9" s="243">
        <f>+MATERIALES!L46</f>
        <v>0</v>
      </c>
      <c r="D9" s="221" t="str">
        <f t="shared" si="0"/>
        <v/>
      </c>
      <c r="E9" s="244">
        <f>+MATERIALES!M4</f>
        <v>0.3</v>
      </c>
      <c r="F9" s="245">
        <f>Tabla24[[#This Row],[Costo]]/(1-Tabla24[[#This Row],[% de venta]])</f>
        <v>0</v>
      </c>
      <c r="G9" s="246">
        <f>+Tabla24[[#This Row],[P. Venta ]]-Tabla24[[#This Row],[Costo]]</f>
        <v>0</v>
      </c>
      <c r="H9" s="236"/>
    </row>
    <row r="10" spans="1:11" ht="57" customHeight="1" thickBot="1">
      <c r="A10" s="264"/>
      <c r="B10" s="398" t="str">
        <f>+'OPEX GV'!A3</f>
        <v>OPEX GV</v>
      </c>
      <c r="C10" s="399">
        <f>+'OPEX GV'!L17</f>
        <v>0</v>
      </c>
      <c r="D10" s="248" t="str">
        <f t="shared" si="0"/>
        <v/>
      </c>
      <c r="E10" s="218">
        <f>+'OPEX GV'!M4</f>
        <v>0.27400000000000002</v>
      </c>
      <c r="F10" s="219">
        <f>Tabla24[[#This Row],[Costo]]/(1-Tabla24[[#This Row],[% de venta]])</f>
        <v>0</v>
      </c>
      <c r="G10" s="247">
        <f>+Tabla24[[#This Row],[P. Venta ]]-Tabla24[[#This Row],[Costo]]</f>
        <v>0</v>
      </c>
      <c r="H10" s="249"/>
    </row>
    <row r="11" spans="1:11" ht="36.65" customHeight="1" thickBot="1">
      <c r="A11" s="139" t="s">
        <v>217</v>
      </c>
      <c r="B11" s="167" t="str">
        <f>+'OPEX Proyecto'!A3</f>
        <v>OPEX</v>
      </c>
      <c r="C11" s="212">
        <f>+'OPEX Proyecto'!L24</f>
        <v>0</v>
      </c>
      <c r="D11" s="241" t="str">
        <f t="shared" si="0"/>
        <v/>
      </c>
      <c r="E11" s="222">
        <f>+'OPEX Proyecto'!M4</f>
        <v>0.3</v>
      </c>
      <c r="F11" s="223">
        <f>Tabla24[[#This Row],[Costo]]/(1-Tabla24[[#This Row],[% de venta]])</f>
        <v>0</v>
      </c>
      <c r="G11" s="224">
        <f>+Tabla24[[#This Row],[P. Venta ]]-Tabla24[[#This Row],[Costo]]</f>
        <v>0</v>
      </c>
      <c r="H11" s="234"/>
    </row>
    <row r="12" spans="1:11" ht="16" customHeight="1">
      <c r="A12" s="15"/>
      <c r="B12" s="143" t="s">
        <v>266</v>
      </c>
      <c r="C12" s="144">
        <f>SUBTOTAL(109,C4:C11)</f>
        <v>0</v>
      </c>
      <c r="D12" s="138">
        <f>SUBTOTAL(109,D4:D11)</f>
        <v>0</v>
      </c>
      <c r="E12" s="138">
        <f>+AVERAGE(E4:E11)</f>
        <v>0.29349999999999998</v>
      </c>
      <c r="F12" s="145">
        <f>SUBTOTAL(109,F4:F11)</f>
        <v>0</v>
      </c>
      <c r="G12" s="145">
        <f>SUBTOTAL(109,G4:G11)</f>
        <v>0</v>
      </c>
      <c r="H12" s="237"/>
    </row>
    <row r="13" spans="1:11" ht="16" customHeight="1" thickBot="1">
      <c r="A13" s="15"/>
      <c r="C13" s="146"/>
      <c r="D13" s="147"/>
      <c r="E13" s="147"/>
      <c r="F13" s="148"/>
      <c r="G13" s="149"/>
    </row>
    <row r="14" spans="1:11" ht="16" customHeight="1" thickBot="1">
      <c r="A14" s="15"/>
      <c r="H14" s="517" t="s">
        <v>287</v>
      </c>
      <c r="I14" s="518"/>
      <c r="J14" s="518"/>
      <c r="K14" s="519"/>
    </row>
    <row r="15" spans="1:11" ht="16" customHeight="1" thickBot="1">
      <c r="A15" s="15"/>
      <c r="B15" s="252" t="s">
        <v>211</v>
      </c>
      <c r="C15" s="253">
        <f>F12</f>
        <v>0</v>
      </c>
      <c r="H15" s="150" t="s">
        <v>288</v>
      </c>
      <c r="I15" s="32">
        <f>+F12</f>
        <v>0</v>
      </c>
      <c r="J15" s="151" t="s">
        <v>289</v>
      </c>
      <c r="K15" s="197">
        <v>0.1</v>
      </c>
    </row>
    <row r="16" spans="1:11" ht="16" customHeight="1" thickBot="1">
      <c r="A16" s="15"/>
      <c r="B16" s="179" t="s">
        <v>214</v>
      </c>
      <c r="C16" s="254">
        <f>C12</f>
        <v>0</v>
      </c>
      <c r="H16" s="152" t="s">
        <v>290</v>
      </c>
      <c r="I16" s="196">
        <v>48</v>
      </c>
      <c r="J16" s="11"/>
      <c r="K16" s="153"/>
    </row>
    <row r="17" spans="1:11" ht="16" customHeight="1">
      <c r="A17" s="15"/>
      <c r="B17" s="179" t="s">
        <v>291</v>
      </c>
      <c r="C17" s="255">
        <f>C15-C16</f>
        <v>0</v>
      </c>
      <c r="H17" s="152" t="s">
        <v>292</v>
      </c>
      <c r="I17" s="37">
        <f>PMT(K15/12,I16,-I15)</f>
        <v>0</v>
      </c>
      <c r="J17" s="154"/>
      <c r="K17" s="40"/>
    </row>
    <row r="18" spans="1:11" ht="16" customHeight="1" thickBot="1">
      <c r="A18" s="15"/>
      <c r="B18" s="179" t="s">
        <v>293</v>
      </c>
      <c r="C18" s="254">
        <f>C11</f>
        <v>0</v>
      </c>
      <c r="H18" s="155" t="s">
        <v>241</v>
      </c>
      <c r="I18" s="156" t="str">
        <f>IFERROR('Evaluacion TIR-VAN'!F45,"")</f>
        <v/>
      </c>
      <c r="J18" s="99"/>
      <c r="K18" s="157"/>
    </row>
    <row r="19" spans="1:11" ht="16" customHeight="1" thickBot="1">
      <c r="A19" s="15"/>
      <c r="B19" s="179" t="s">
        <v>294</v>
      </c>
      <c r="C19" s="254"/>
      <c r="D19" s="256">
        <v>6530.4621315789482</v>
      </c>
      <c r="H19" s="158" t="s">
        <v>295</v>
      </c>
      <c r="I19" s="159"/>
      <c r="J19" s="163">
        <f>'Evaluacion TIR-VAN'!H47</f>
        <v>0</v>
      </c>
      <c r="K19" s="189" t="str">
        <f>IFERROR(J19/I15,"")</f>
        <v/>
      </c>
    </row>
    <row r="20" spans="1:11">
      <c r="A20" s="15"/>
      <c r="B20" s="179" t="s">
        <v>296</v>
      </c>
      <c r="C20" s="254">
        <f>C15*3%</f>
        <v>0</v>
      </c>
    </row>
    <row r="21" spans="1:11" ht="13">
      <c r="A21" s="15"/>
      <c r="B21" s="257" t="s">
        <v>297</v>
      </c>
      <c r="C21" s="258">
        <f>+C17-SUM(C18:C20)</f>
        <v>0</v>
      </c>
    </row>
    <row r="22" spans="1:11">
      <c r="B22" s="179" t="s">
        <v>298</v>
      </c>
      <c r="C22" s="254">
        <v>0</v>
      </c>
      <c r="H22" s="184"/>
    </row>
    <row r="23" spans="1:11">
      <c r="B23" s="179" t="s">
        <v>299</v>
      </c>
      <c r="C23" s="259">
        <v>0</v>
      </c>
      <c r="G23" s="30"/>
      <c r="I23" s="184">
        <f>I17*574</f>
        <v>0</v>
      </c>
    </row>
    <row r="24" spans="1:11">
      <c r="B24" s="260" t="s">
        <v>300</v>
      </c>
      <c r="C24" s="261">
        <f>C21-C22-C23</f>
        <v>0</v>
      </c>
      <c r="G24" s="30"/>
    </row>
    <row r="25" spans="1:11">
      <c r="B25" s="179" t="s">
        <v>301</v>
      </c>
      <c r="C25" s="259">
        <f>C24*Tabla24[[#This Row],[% del costo]]</f>
        <v>0</v>
      </c>
      <c r="D25" s="262">
        <f>_xlfn.IFS(C24&lt;=D34,C34,C24&lt;=D35,C35,C24&gt;D36,C36)</f>
        <v>0.1</v>
      </c>
      <c r="G25" s="30"/>
    </row>
    <row r="26" spans="1:11" ht="13">
      <c r="B26" s="257" t="s">
        <v>302</v>
      </c>
      <c r="C26" s="258">
        <f>C24-C25</f>
        <v>0</v>
      </c>
      <c r="D26" s="31" t="str">
        <f>IFERROR(Tabla24[[#This Row],[Costo]]/F12,"")</f>
        <v/>
      </c>
      <c r="G26" s="30"/>
    </row>
    <row r="27" spans="1:11">
      <c r="B27" s="251"/>
      <c r="C27" s="18"/>
      <c r="D27" s="250"/>
      <c r="G27" s="30"/>
    </row>
    <row r="28" spans="1:11">
      <c r="B28" s="251"/>
      <c r="C28" s="18"/>
      <c r="D28" s="250"/>
      <c r="G28" s="30"/>
    </row>
    <row r="29" spans="1:11" ht="15.5">
      <c r="B29" s="198" t="s">
        <v>295</v>
      </c>
      <c r="C29" s="199">
        <f>C26</f>
        <v>0</v>
      </c>
      <c r="D29" s="200" t="str">
        <f>IFERROR(+C29/F12,"")</f>
        <v/>
      </c>
    </row>
    <row r="30" spans="1:11">
      <c r="B30" s="30"/>
      <c r="C30" s="18"/>
    </row>
    <row r="31" spans="1:11" ht="29.25" customHeight="1" thickBot="1">
      <c r="B31" s="30"/>
      <c r="C31" s="18"/>
      <c r="E31" s="231"/>
    </row>
    <row r="32" spans="1:11" ht="30.5" thickBot="1">
      <c r="A32" s="230" t="s">
        <v>303</v>
      </c>
      <c r="B32" s="514" t="s">
        <v>304</v>
      </c>
      <c r="C32" s="515"/>
      <c r="D32" s="516"/>
      <c r="F32"/>
    </row>
    <row r="33" spans="1:6" ht="30.5" thickBot="1">
      <c r="A33" s="230" t="s">
        <v>303</v>
      </c>
      <c r="B33" s="226" t="s">
        <v>305</v>
      </c>
      <c r="C33" s="229" t="s">
        <v>306</v>
      </c>
      <c r="D33" s="226" t="s">
        <v>307</v>
      </c>
    </row>
    <row r="34" spans="1:6" ht="47" thickBot="1">
      <c r="A34" s="230" t="s">
        <v>308</v>
      </c>
      <c r="B34" s="227">
        <v>54303000</v>
      </c>
      <c r="C34" s="228">
        <v>0.1</v>
      </c>
      <c r="D34" s="232">
        <f>B34/565</f>
        <v>96111.504424778759</v>
      </c>
    </row>
    <row r="35" spans="1:6" ht="13" thickBot="1">
      <c r="B35" s="227">
        <v>109228000</v>
      </c>
      <c r="C35" s="228">
        <v>0.2</v>
      </c>
      <c r="D35" s="232">
        <f t="shared" ref="D35:D36" si="1">B35/565</f>
        <v>193323.89380530972</v>
      </c>
      <c r="F35" s="15">
        <f>_xlfn.IFS(C14&lt;=D34,C34,C14&lt;=D35,C35,C14&gt;D36,C36)</f>
        <v>0.1</v>
      </c>
    </row>
    <row r="36" spans="1:6" ht="13" thickBot="1">
      <c r="B36" s="227">
        <v>109228000</v>
      </c>
      <c r="C36" s="228">
        <v>0.3</v>
      </c>
      <c r="D36" s="232">
        <f t="shared" si="1"/>
        <v>193323.89380530972</v>
      </c>
    </row>
    <row r="37" spans="1:6">
      <c r="B37" s="225"/>
      <c r="C37" s="201"/>
      <c r="D37" s="231"/>
    </row>
  </sheetData>
  <mergeCells count="4">
    <mergeCell ref="B2:G2"/>
    <mergeCell ref="A4:A8"/>
    <mergeCell ref="H14:K14"/>
    <mergeCell ref="B32:D3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E6CC-D8E3-46A6-88F1-875ACA72A308}">
  <sheetPr>
    <tabColor rgb="FFFFFF00"/>
  </sheetPr>
  <dimension ref="A1:R45"/>
  <sheetViews>
    <sheetView showGridLines="0" zoomScale="90" zoomScaleNormal="90" workbookViewId="0">
      <selection activeCell="H31" sqref="H31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16.26953125" customWidth="1"/>
    <col min="6" max="6" width="10.7265625" bestFit="1" customWidth="1"/>
    <col min="7" max="7" width="13.1796875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7" ht="15.5">
      <c r="A1" s="557" t="s">
        <v>355</v>
      </c>
      <c r="B1" s="557"/>
      <c r="C1" s="557"/>
      <c r="D1" s="557"/>
      <c r="E1" s="207">
        <f>+Equipos!E1</f>
        <v>0</v>
      </c>
    </row>
    <row r="2" spans="1:17">
      <c r="A2" s="1"/>
      <c r="B2" s="1"/>
      <c r="C2" s="1"/>
      <c r="D2" s="1"/>
      <c r="E2" s="2"/>
    </row>
    <row r="3" spans="1:17" ht="13">
      <c r="A3" s="560" t="s">
        <v>421</v>
      </c>
      <c r="B3" s="560"/>
      <c r="C3" s="560"/>
      <c r="D3" s="560"/>
      <c r="E3" s="560"/>
      <c r="F3" s="5" t="s">
        <v>357</v>
      </c>
      <c r="G3" s="5" t="s">
        <v>425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  <c r="P3" s="440" t="s">
        <v>531</v>
      </c>
    </row>
    <row r="4" spans="1:17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0.1</v>
      </c>
      <c r="G4" s="7">
        <v>0.03</v>
      </c>
      <c r="H4" s="6">
        <v>0</v>
      </c>
      <c r="I4" s="203">
        <v>0.14000000000000001</v>
      </c>
      <c r="J4" s="23" t="s">
        <v>366</v>
      </c>
      <c r="K4" s="209">
        <v>0.03</v>
      </c>
      <c r="L4" s="25" t="s">
        <v>377</v>
      </c>
      <c r="M4" s="26">
        <f>+Equipos!N4</f>
        <v>0.27400000000000002</v>
      </c>
      <c r="N4" s="191" t="s">
        <v>367</v>
      </c>
      <c r="O4" s="24" t="s">
        <v>14</v>
      </c>
    </row>
    <row r="5" spans="1:17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7">
      <c r="A6" s="407" t="s">
        <v>520</v>
      </c>
      <c r="B6" s="407" t="s">
        <v>369</v>
      </c>
      <c r="C6" s="423">
        <v>0</v>
      </c>
      <c r="D6" s="424">
        <f>+'MANO DE OBRA '!G9+'MANO DE OBRA '!K9</f>
        <v>0</v>
      </c>
      <c r="E6" s="409">
        <f>+D6*C6</f>
        <v>0</v>
      </c>
      <c r="F6" s="420">
        <f>IF(B6="si",D6*$F$4,0)</f>
        <v>0</v>
      </c>
      <c r="G6" s="424">
        <f>(D6+F6)*$G$4</f>
        <v>0</v>
      </c>
      <c r="H6" s="420">
        <f>(D6+F6+G6)*$H$4</f>
        <v>0</v>
      </c>
      <c r="I6" s="420">
        <f>IF(B6="si",(D6+F6+G6+H6)*$I$4,0)</f>
        <v>0</v>
      </c>
      <c r="J6" s="420">
        <f>D6+F6+G6+H6+I6</f>
        <v>0</v>
      </c>
      <c r="K6" s="420">
        <f>J6*$K$4</f>
        <v>0</v>
      </c>
      <c r="L6" s="403">
        <f>(J6+K6)*C6</f>
        <v>0</v>
      </c>
      <c r="M6" s="420">
        <f>(J6+K6)*$M$4/(1-$M$4)</f>
        <v>0</v>
      </c>
      <c r="N6" s="420">
        <f>M6+J6+K6</f>
        <v>0</v>
      </c>
      <c r="O6" s="420">
        <f>N6*C6</f>
        <v>0</v>
      </c>
      <c r="P6" s="10"/>
    </row>
    <row r="7" spans="1:17">
      <c r="A7" s="407" t="s">
        <v>422</v>
      </c>
      <c r="B7" s="407" t="s">
        <v>369</v>
      </c>
      <c r="C7" s="423">
        <v>0</v>
      </c>
      <c r="D7" s="424">
        <v>100</v>
      </c>
      <c r="E7" s="409">
        <f>+D7*C7</f>
        <v>0</v>
      </c>
      <c r="F7" s="420">
        <f t="shared" ref="F7:F15" si="0">IF(B7="si",D7*$F$4,0)</f>
        <v>0</v>
      </c>
      <c r="G7" s="424">
        <f>(D7+F7)*$G$4</f>
        <v>3</v>
      </c>
      <c r="H7" s="424">
        <f>(D7+F7+G7)*$H$4</f>
        <v>0</v>
      </c>
      <c r="I7" s="420">
        <f t="shared" ref="I7:I15" si="1">IF(B7="si",(D7+F7+G7+H7)*$I$4,0)</f>
        <v>0</v>
      </c>
      <c r="J7" s="424">
        <f>D7+F7+G7+H7+I7</f>
        <v>103</v>
      </c>
      <c r="K7" s="420">
        <f t="shared" ref="K7:K15" si="2">J7*$K$4</f>
        <v>3.09</v>
      </c>
      <c r="L7" s="403">
        <f t="shared" ref="L7:L15" si="3">(J7+K7)*C7</f>
        <v>0</v>
      </c>
      <c r="M7" s="420">
        <f t="shared" ref="M7:M15" si="4">(J7+K7)*$M$4/(1-$M$4)</f>
        <v>40.039476584022047</v>
      </c>
      <c r="N7" s="420">
        <f t="shared" ref="N7:N15" si="5">M7+J7+K7</f>
        <v>146.12947658402206</v>
      </c>
      <c r="O7" s="424">
        <f>N7*C7</f>
        <v>0</v>
      </c>
    </row>
    <row r="8" spans="1:17">
      <c r="A8" s="410" t="s">
        <v>423</v>
      </c>
      <c r="B8" s="407" t="s">
        <v>369</v>
      </c>
      <c r="C8" s="423">
        <v>0</v>
      </c>
      <c r="D8" s="424">
        <v>100</v>
      </c>
      <c r="E8" s="409">
        <f t="shared" ref="E8:E10" si="6">+D8*C8</f>
        <v>0</v>
      </c>
      <c r="F8" s="420">
        <f t="shared" si="0"/>
        <v>0</v>
      </c>
      <c r="G8" s="424">
        <f t="shared" ref="G8:G10" si="7">(D8+F8)*$G$4</f>
        <v>3</v>
      </c>
      <c r="H8" s="424">
        <f t="shared" ref="H8:H10" si="8">(D8+F8+G8)*$H$4</f>
        <v>0</v>
      </c>
      <c r="I8" s="420">
        <f t="shared" si="1"/>
        <v>0</v>
      </c>
      <c r="J8" s="424">
        <f t="shared" ref="J8:J10" si="9">D8+F8+G8+H8+I8</f>
        <v>103</v>
      </c>
      <c r="K8" s="420">
        <f t="shared" si="2"/>
        <v>3.09</v>
      </c>
      <c r="L8" s="403">
        <f t="shared" si="3"/>
        <v>0</v>
      </c>
      <c r="M8" s="420">
        <f t="shared" si="4"/>
        <v>40.039476584022047</v>
      </c>
      <c r="N8" s="420">
        <f t="shared" si="5"/>
        <v>146.12947658402206</v>
      </c>
      <c r="O8" s="424">
        <f t="shared" ref="O8:O10" si="10">N8*C8</f>
        <v>0</v>
      </c>
    </row>
    <row r="9" spans="1:17">
      <c r="A9" s="412" t="s">
        <v>425</v>
      </c>
      <c r="B9" s="407" t="s">
        <v>369</v>
      </c>
      <c r="C9" s="423">
        <v>0</v>
      </c>
      <c r="D9" s="424">
        <v>100</v>
      </c>
      <c r="E9" s="409">
        <f t="shared" si="6"/>
        <v>0</v>
      </c>
      <c r="F9" s="420">
        <f t="shared" si="0"/>
        <v>0</v>
      </c>
      <c r="G9" s="424">
        <f t="shared" si="7"/>
        <v>3</v>
      </c>
      <c r="H9" s="424">
        <f t="shared" si="8"/>
        <v>0</v>
      </c>
      <c r="I9" s="420">
        <f t="shared" si="1"/>
        <v>0</v>
      </c>
      <c r="J9" s="424">
        <f t="shared" si="9"/>
        <v>103</v>
      </c>
      <c r="K9" s="420">
        <f t="shared" si="2"/>
        <v>3.09</v>
      </c>
      <c r="L9" s="403">
        <f t="shared" si="3"/>
        <v>0</v>
      </c>
      <c r="M9" s="420">
        <f t="shared" si="4"/>
        <v>40.039476584022047</v>
      </c>
      <c r="N9" s="420">
        <f t="shared" si="5"/>
        <v>146.12947658402206</v>
      </c>
      <c r="O9" s="424">
        <f t="shared" si="10"/>
        <v>0</v>
      </c>
    </row>
    <row r="10" spans="1:17">
      <c r="A10" s="210" t="s">
        <v>517</v>
      </c>
      <c r="B10" s="407" t="s">
        <v>369</v>
      </c>
      <c r="C10" s="423">
        <v>0</v>
      </c>
      <c r="D10" s="424">
        <v>100</v>
      </c>
      <c r="E10" s="409">
        <f t="shared" si="6"/>
        <v>0</v>
      </c>
      <c r="F10" s="420">
        <f t="shared" si="0"/>
        <v>0</v>
      </c>
      <c r="G10" s="424">
        <f t="shared" si="7"/>
        <v>3</v>
      </c>
      <c r="H10" s="424">
        <f t="shared" si="8"/>
        <v>0</v>
      </c>
      <c r="I10" s="420">
        <f t="shared" si="1"/>
        <v>0</v>
      </c>
      <c r="J10" s="424">
        <f t="shared" si="9"/>
        <v>103</v>
      </c>
      <c r="K10" s="420">
        <f t="shared" si="2"/>
        <v>3.09</v>
      </c>
      <c r="L10" s="403">
        <f t="shared" si="3"/>
        <v>0</v>
      </c>
      <c r="M10" s="401">
        <f t="shared" si="4"/>
        <v>40.039476584022047</v>
      </c>
      <c r="N10" s="401">
        <f t="shared" si="5"/>
        <v>146.12947658402206</v>
      </c>
      <c r="O10" s="411">
        <f t="shared" si="10"/>
        <v>0</v>
      </c>
    </row>
    <row r="11" spans="1:17">
      <c r="A11" s="407"/>
      <c r="B11" s="407" t="s">
        <v>369</v>
      </c>
      <c r="C11" s="423">
        <v>0</v>
      </c>
      <c r="D11" s="424">
        <v>100</v>
      </c>
      <c r="E11" s="402">
        <f>+C11*D11*(1-C18)</f>
        <v>0</v>
      </c>
      <c r="F11" s="420">
        <f t="shared" si="0"/>
        <v>0</v>
      </c>
      <c r="G11" s="420">
        <f t="shared" ref="G11:G15" si="11">(D11+F11)*$G$4</f>
        <v>3</v>
      </c>
      <c r="H11" s="420">
        <f t="shared" ref="H11:H15" si="12">(D11+F11+G11)*$H$4</f>
        <v>0</v>
      </c>
      <c r="I11" s="420">
        <f t="shared" si="1"/>
        <v>0</v>
      </c>
      <c r="J11" s="420">
        <f t="shared" ref="J11:J15" si="13">D11+F11+G11+H11+I11</f>
        <v>103</v>
      </c>
      <c r="K11" s="420">
        <f t="shared" si="2"/>
        <v>3.09</v>
      </c>
      <c r="L11" s="403">
        <f t="shared" si="3"/>
        <v>0</v>
      </c>
      <c r="M11" s="401">
        <f t="shared" si="4"/>
        <v>40.039476584022047</v>
      </c>
      <c r="N11" s="401">
        <f t="shared" si="5"/>
        <v>146.12947658402206</v>
      </c>
      <c r="O11" s="401">
        <f t="shared" ref="O11:O15" si="14">N11*C11</f>
        <v>0</v>
      </c>
    </row>
    <row r="12" spans="1:17">
      <c r="A12" s="413"/>
      <c r="B12" s="407" t="s">
        <v>369</v>
      </c>
      <c r="C12" s="423">
        <v>0</v>
      </c>
      <c r="D12" s="422">
        <v>100</v>
      </c>
      <c r="E12" s="402">
        <f>+C12*D12</f>
        <v>0</v>
      </c>
      <c r="F12" s="401">
        <f t="shared" si="0"/>
        <v>0</v>
      </c>
      <c r="G12" s="401">
        <f t="shared" si="11"/>
        <v>3</v>
      </c>
      <c r="H12" s="401">
        <f t="shared" si="12"/>
        <v>0</v>
      </c>
      <c r="I12" s="401">
        <f t="shared" si="1"/>
        <v>0</v>
      </c>
      <c r="J12" s="401">
        <f t="shared" si="13"/>
        <v>103</v>
      </c>
      <c r="K12" s="401">
        <f t="shared" si="2"/>
        <v>3.09</v>
      </c>
      <c r="L12" s="403">
        <f t="shared" si="3"/>
        <v>0</v>
      </c>
      <c r="M12" s="401">
        <f t="shared" si="4"/>
        <v>40.039476584022047</v>
      </c>
      <c r="N12" s="401">
        <f t="shared" si="5"/>
        <v>146.12947658402206</v>
      </c>
      <c r="O12" s="401">
        <f t="shared" si="14"/>
        <v>0</v>
      </c>
    </row>
    <row r="13" spans="1:17">
      <c r="A13" s="413"/>
      <c r="B13" s="407" t="s">
        <v>369</v>
      </c>
      <c r="C13" s="423">
        <v>0</v>
      </c>
      <c r="D13" s="422">
        <v>100</v>
      </c>
      <c r="E13" s="402">
        <f>+C13*D13</f>
        <v>0</v>
      </c>
      <c r="F13" s="401">
        <f t="shared" si="0"/>
        <v>0</v>
      </c>
      <c r="G13" s="401">
        <f t="shared" si="11"/>
        <v>3</v>
      </c>
      <c r="H13" s="401">
        <f t="shared" si="12"/>
        <v>0</v>
      </c>
      <c r="I13" s="401">
        <f t="shared" si="1"/>
        <v>0</v>
      </c>
      <c r="J13" s="401">
        <f t="shared" si="13"/>
        <v>103</v>
      </c>
      <c r="K13" s="401">
        <f t="shared" si="2"/>
        <v>3.09</v>
      </c>
      <c r="L13" s="403">
        <f t="shared" si="3"/>
        <v>0</v>
      </c>
      <c r="M13" s="401">
        <f t="shared" si="4"/>
        <v>40.039476584022047</v>
      </c>
      <c r="N13" s="401">
        <f t="shared" si="5"/>
        <v>146.12947658402206</v>
      </c>
      <c r="O13" s="401">
        <f t="shared" si="14"/>
        <v>0</v>
      </c>
    </row>
    <row r="14" spans="1:17">
      <c r="A14" s="414"/>
      <c r="B14" s="407" t="s">
        <v>369</v>
      </c>
      <c r="C14" s="423">
        <v>0</v>
      </c>
      <c r="D14" s="422">
        <v>100</v>
      </c>
      <c r="E14" s="402">
        <f>+C14*D14</f>
        <v>0</v>
      </c>
      <c r="F14" s="401">
        <f t="shared" si="0"/>
        <v>0</v>
      </c>
      <c r="G14" s="401">
        <f t="shared" si="11"/>
        <v>3</v>
      </c>
      <c r="H14" s="401">
        <f t="shared" si="12"/>
        <v>0</v>
      </c>
      <c r="I14" s="401">
        <f t="shared" si="1"/>
        <v>0</v>
      </c>
      <c r="J14" s="401">
        <f t="shared" si="13"/>
        <v>103</v>
      </c>
      <c r="K14" s="401">
        <f t="shared" si="2"/>
        <v>3.09</v>
      </c>
      <c r="L14" s="403">
        <f t="shared" si="3"/>
        <v>0</v>
      </c>
      <c r="M14" s="401">
        <f t="shared" si="4"/>
        <v>40.039476584022047</v>
      </c>
      <c r="N14" s="401">
        <f t="shared" si="5"/>
        <v>146.12947658402206</v>
      </c>
      <c r="O14" s="401">
        <f t="shared" si="14"/>
        <v>0</v>
      </c>
    </row>
    <row r="15" spans="1:17">
      <c r="A15" s="414"/>
      <c r="B15" s="407" t="s">
        <v>369</v>
      </c>
      <c r="C15" s="423">
        <v>0</v>
      </c>
      <c r="D15" s="422">
        <v>100</v>
      </c>
      <c r="E15" s="402">
        <f>+C15*D15</f>
        <v>0</v>
      </c>
      <c r="F15" s="401">
        <f t="shared" si="0"/>
        <v>0</v>
      </c>
      <c r="G15" s="401">
        <f t="shared" si="11"/>
        <v>3</v>
      </c>
      <c r="H15" s="401">
        <f t="shared" si="12"/>
        <v>0</v>
      </c>
      <c r="I15" s="401">
        <f t="shared" si="1"/>
        <v>0</v>
      </c>
      <c r="J15" s="401">
        <f t="shared" si="13"/>
        <v>103</v>
      </c>
      <c r="K15" s="401">
        <f t="shared" si="2"/>
        <v>3.09</v>
      </c>
      <c r="L15" s="403">
        <f t="shared" si="3"/>
        <v>0</v>
      </c>
      <c r="M15" s="401">
        <f t="shared" si="4"/>
        <v>40.039476584022047</v>
      </c>
      <c r="N15" s="401">
        <f t="shared" si="5"/>
        <v>146.12947658402206</v>
      </c>
      <c r="O15" s="401">
        <f t="shared" si="14"/>
        <v>0</v>
      </c>
    </row>
    <row r="16" spans="1:17">
      <c r="A16" s="131"/>
      <c r="B16" s="131"/>
      <c r="C16" s="11"/>
      <c r="D16" s="130"/>
      <c r="E16" s="18"/>
      <c r="F16" s="9"/>
      <c r="G16" s="9"/>
      <c r="H16" s="9"/>
      <c r="I16" s="9"/>
      <c r="J16" s="9"/>
      <c r="K16" s="9"/>
      <c r="L16" s="149"/>
      <c r="M16" s="9"/>
      <c r="N16" s="9"/>
      <c r="O16" s="9"/>
      <c r="Q16" s="4"/>
    </row>
    <row r="17" spans="1:18" ht="13">
      <c r="A17" s="12"/>
      <c r="B17" s="12"/>
      <c r="C17" s="13"/>
      <c r="D17" s="14" t="s">
        <v>371</v>
      </c>
      <c r="E17" s="14">
        <f>SUM(E6:E15)</f>
        <v>0</v>
      </c>
      <c r="F17" s="15"/>
      <c r="G17" s="15"/>
      <c r="H17" s="15"/>
      <c r="I17" s="15"/>
      <c r="J17" s="16" t="s">
        <v>372</v>
      </c>
      <c r="K17" s="16"/>
      <c r="L17" s="14">
        <f>SUM(L6:L15)</f>
        <v>0</v>
      </c>
      <c r="M17" s="15"/>
      <c r="N17" s="16" t="s">
        <v>373</v>
      </c>
      <c r="O17" s="14">
        <f>SUM(O6:O15)</f>
        <v>0</v>
      </c>
      <c r="Q17" s="4"/>
      <c r="R17" s="3"/>
    </row>
    <row r="18" spans="1:18" ht="13">
      <c r="A18" s="34"/>
      <c r="B18" s="34"/>
      <c r="C18" s="194"/>
      <c r="D18" s="15"/>
      <c r="E18" s="18"/>
      <c r="F18" s="15"/>
      <c r="G18" s="15"/>
      <c r="H18" s="15"/>
      <c r="I18" s="15"/>
      <c r="J18" s="15"/>
      <c r="K18" s="15"/>
      <c r="L18" s="15"/>
      <c r="M18" s="15"/>
      <c r="N18" s="19" t="s">
        <v>374</v>
      </c>
      <c r="O18" s="20">
        <f>O17-L17</f>
        <v>0</v>
      </c>
      <c r="Q18" s="4"/>
      <c r="R18" s="3"/>
    </row>
    <row r="19" spans="1:18">
      <c r="Q19" s="4"/>
      <c r="R19" s="3"/>
    </row>
    <row r="20" spans="1:18">
      <c r="A20" s="179" t="s">
        <v>363</v>
      </c>
      <c r="E20" s="3"/>
      <c r="Q20" s="4"/>
      <c r="R20" s="3"/>
    </row>
    <row r="21" spans="1:18">
      <c r="A21" s="107" t="s">
        <v>375</v>
      </c>
      <c r="B21" s="8"/>
      <c r="E21" s="3"/>
      <c r="Q21" s="4"/>
    </row>
    <row r="22" spans="1:18">
      <c r="A22" s="107" t="s">
        <v>369</v>
      </c>
      <c r="B22" s="39"/>
      <c r="C22" s="15"/>
      <c r="D22" s="15"/>
      <c r="E22" s="263">
        <f>E17/3</f>
        <v>0</v>
      </c>
      <c r="O22" s="3"/>
    </row>
    <row r="23" spans="1:18">
      <c r="A23" s="39"/>
      <c r="B23" s="39"/>
      <c r="C23" s="15"/>
      <c r="D23" s="15"/>
      <c r="P23" s="3"/>
    </row>
    <row r="30" spans="1:18">
      <c r="A30" s="270" t="s">
        <v>426</v>
      </c>
      <c r="B30" s="270" t="s">
        <v>427</v>
      </c>
      <c r="C30" s="270" t="s">
        <v>428</v>
      </c>
    </row>
    <row r="31" spans="1:18">
      <c r="A31" s="271">
        <f>E45</f>
        <v>2130</v>
      </c>
      <c r="B31" s="272">
        <f>A31/240</f>
        <v>8.875</v>
      </c>
      <c r="C31" s="272">
        <f>B31*8</f>
        <v>71</v>
      </c>
      <c r="D31" s="273"/>
      <c r="E31" s="273"/>
    </row>
    <row r="32" spans="1:18">
      <c r="A32" t="s">
        <v>429</v>
      </c>
      <c r="D32" s="273"/>
      <c r="E32" s="273"/>
    </row>
    <row r="33" spans="1:5">
      <c r="A33" s="271">
        <f>D45</f>
        <v>1420</v>
      </c>
      <c r="B33" s="272">
        <f>A33/240</f>
        <v>5.916666666666667</v>
      </c>
      <c r="C33" s="272">
        <f>B33*8</f>
        <v>47.333333333333336</v>
      </c>
      <c r="D33" s="273"/>
      <c r="E33" s="273"/>
    </row>
    <row r="35" spans="1:5">
      <c r="A35" s="270" t="s">
        <v>430</v>
      </c>
      <c r="B35" s="272">
        <f>B33</f>
        <v>5.916666666666667</v>
      </c>
    </row>
    <row r="36" spans="1:5">
      <c r="A36" s="270" t="s">
        <v>431</v>
      </c>
      <c r="B36" s="272">
        <f>B31</f>
        <v>8.875</v>
      </c>
    </row>
    <row r="37" spans="1:5">
      <c r="E37" s="273"/>
    </row>
    <row r="38" spans="1:5">
      <c r="C38">
        <f>1420/240</f>
        <v>5.916666666666667</v>
      </c>
    </row>
    <row r="39" spans="1:5" ht="14.5">
      <c r="A39" s="274"/>
      <c r="D39" t="s">
        <v>432</v>
      </c>
      <c r="E39" t="s">
        <v>433</v>
      </c>
    </row>
    <row r="40" spans="1:5">
      <c r="C40" t="s">
        <v>434</v>
      </c>
      <c r="D40" s="273">
        <v>1000</v>
      </c>
      <c r="E40" s="273">
        <v>1500</v>
      </c>
    </row>
    <row r="41" spans="1:5">
      <c r="C41" t="s">
        <v>435</v>
      </c>
      <c r="D41" s="273">
        <f>D40*0.265</f>
        <v>265</v>
      </c>
      <c r="E41" s="273">
        <f>E40*0.265</f>
        <v>397.5</v>
      </c>
    </row>
    <row r="42" spans="1:5">
      <c r="C42" t="s">
        <v>436</v>
      </c>
      <c r="D42" s="273">
        <f>D40*8.33%</f>
        <v>83.3</v>
      </c>
      <c r="E42" s="273">
        <f>E40*8.33%</f>
        <v>124.95</v>
      </c>
    </row>
    <row r="43" spans="1:5">
      <c r="C43" t="s">
        <v>437</v>
      </c>
      <c r="D43" s="273">
        <f>D40*4.17%</f>
        <v>41.7</v>
      </c>
      <c r="E43" s="273">
        <f>E40*4.17%</f>
        <v>62.550000000000004</v>
      </c>
    </row>
    <row r="44" spans="1:5">
      <c r="C44" t="s">
        <v>438</v>
      </c>
      <c r="D44" s="273">
        <f>D40*3%</f>
        <v>30</v>
      </c>
      <c r="E44" s="273">
        <f>E40*3%</f>
        <v>45</v>
      </c>
    </row>
    <row r="45" spans="1:5" ht="14.5">
      <c r="C45" t="s">
        <v>14</v>
      </c>
      <c r="D45" s="275">
        <f>SUM(D40:D44)</f>
        <v>1420</v>
      </c>
      <c r="E45" s="275">
        <f>SUM(E40:E44)</f>
        <v>2130</v>
      </c>
    </row>
  </sheetData>
  <mergeCells count="2">
    <mergeCell ref="A1:D1"/>
    <mergeCell ref="A3:E3"/>
  </mergeCells>
  <dataValidations count="1">
    <dataValidation type="list" allowBlank="1" showErrorMessage="1" errorTitle="Opción no válida" sqref="B6:B15" xr:uid="{B654C90F-92E8-4530-A855-186C782DFC5A}">
      <formula1>$A$21:$A$22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9EF3-D9BD-4434-B5AE-EC25078F9DA4}">
  <sheetPr>
    <tabColor rgb="FF0070C0"/>
  </sheetPr>
  <dimension ref="B2:N178"/>
  <sheetViews>
    <sheetView showGridLines="0" topLeftCell="B1" workbookViewId="0">
      <selection activeCell="F10" sqref="F10"/>
    </sheetView>
  </sheetViews>
  <sheetFormatPr defaultColWidth="11.54296875" defaultRowHeight="12.5"/>
  <cols>
    <col min="1" max="1" width="8" style="307" customWidth="1"/>
    <col min="2" max="2" width="43.26953125" style="307" bestFit="1" customWidth="1"/>
    <col min="3" max="3" width="15.26953125" style="307" bestFit="1" customWidth="1"/>
    <col min="4" max="4" width="16.26953125" style="307" bestFit="1" customWidth="1"/>
    <col min="5" max="5" width="19" style="307" bestFit="1" customWidth="1"/>
    <col min="6" max="6" width="19" style="307" customWidth="1"/>
    <col min="7" max="7" width="13.453125" style="307" bestFit="1" customWidth="1"/>
    <col min="8" max="8" width="15" style="307" bestFit="1" customWidth="1"/>
    <col min="9" max="9" width="14.54296875" style="307" bestFit="1" customWidth="1"/>
    <col min="10" max="10" width="12.7265625" style="307" bestFit="1" customWidth="1"/>
    <col min="11" max="11" width="14.7265625" style="307" customWidth="1"/>
    <col min="12" max="12" width="13.54296875" style="307" bestFit="1" customWidth="1"/>
    <col min="13" max="14" width="0" style="307" hidden="1" customWidth="1"/>
    <col min="15" max="16384" width="11.54296875" style="307"/>
  </cols>
  <sheetData>
    <row r="2" spans="2:14" ht="14.5">
      <c r="B2" s="569" t="s">
        <v>530</v>
      </c>
      <c r="C2" s="570"/>
      <c r="D2" s="570"/>
      <c r="E2" s="570"/>
      <c r="F2" s="570"/>
      <c r="G2" s="570"/>
      <c r="H2" s="570"/>
      <c r="I2" s="570"/>
      <c r="J2" s="570"/>
      <c r="K2" s="570"/>
      <c r="M2" s="571" t="s">
        <v>439</v>
      </c>
      <c r="N2" s="572"/>
    </row>
    <row r="3" spans="2:14" ht="14.5">
      <c r="B3" s="573" t="s">
        <v>440</v>
      </c>
      <c r="C3" s="574" t="s">
        <v>441</v>
      </c>
      <c r="D3" s="574"/>
      <c r="E3" s="574"/>
      <c r="F3" s="574"/>
      <c r="G3" s="574"/>
      <c r="H3" s="575" t="s">
        <v>442</v>
      </c>
      <c r="I3" s="575"/>
      <c r="J3" s="575"/>
      <c r="K3" s="575"/>
      <c r="M3" s="308" t="s">
        <v>441</v>
      </c>
      <c r="N3" s="309">
        <v>237600.00000000003</v>
      </c>
    </row>
    <row r="4" spans="2:14" ht="14">
      <c r="B4" s="573"/>
      <c r="C4" s="310" t="s">
        <v>443</v>
      </c>
      <c r="D4" s="310" t="s">
        <v>444</v>
      </c>
      <c r="E4" s="310" t="s">
        <v>445</v>
      </c>
      <c r="F4" s="310" t="s">
        <v>446</v>
      </c>
      <c r="G4" s="310" t="s">
        <v>14</v>
      </c>
      <c r="H4" s="310" t="s">
        <v>447</v>
      </c>
      <c r="I4" s="310" t="s">
        <v>448</v>
      </c>
      <c r="J4" s="310" t="s">
        <v>449</v>
      </c>
      <c r="K4" s="310" t="s">
        <v>14</v>
      </c>
      <c r="M4" s="308" t="s">
        <v>442</v>
      </c>
      <c r="N4" s="309">
        <v>0</v>
      </c>
    </row>
    <row r="5" spans="2:14" ht="14">
      <c r="B5" s="311" t="s">
        <v>450</v>
      </c>
      <c r="C5" s="312">
        <v>8.9</v>
      </c>
      <c r="D5" s="312">
        <v>48</v>
      </c>
      <c r="E5" s="313">
        <v>0</v>
      </c>
      <c r="F5" s="313">
        <v>0</v>
      </c>
      <c r="G5" s="314">
        <f>E5*D5*F5</f>
        <v>0</v>
      </c>
      <c r="H5" s="315">
        <v>12</v>
      </c>
      <c r="I5" s="380">
        <f>+Transporte!I3</f>
        <v>21.599999999999998</v>
      </c>
      <c r="J5" s="315">
        <v>0</v>
      </c>
      <c r="K5" s="316">
        <f>(H5*E5*F5) + (I5*E5)+(J5*E5)</f>
        <v>0</v>
      </c>
      <c r="M5" s="317" t="s">
        <v>14</v>
      </c>
      <c r="N5" s="318">
        <f>SUM(N3:N4)</f>
        <v>237600.00000000003</v>
      </c>
    </row>
    <row r="6" spans="2:14" ht="14">
      <c r="B6" s="311" t="s">
        <v>451</v>
      </c>
      <c r="C6" s="312">
        <v>0</v>
      </c>
      <c r="D6" s="312">
        <f>C6*8</f>
        <v>0</v>
      </c>
      <c r="E6" s="313">
        <v>0</v>
      </c>
      <c r="F6" s="313">
        <v>0</v>
      </c>
      <c r="G6" s="314">
        <f>E6*D6*F6</f>
        <v>0</v>
      </c>
      <c r="H6" s="315">
        <v>0</v>
      </c>
      <c r="I6" s="315">
        <v>0</v>
      </c>
      <c r="J6" s="315">
        <v>0</v>
      </c>
      <c r="K6" s="316">
        <f>(H6*E6*F6)+(I6*E6)+(J6*E6)</f>
        <v>0</v>
      </c>
      <c r="M6" s="317" t="s">
        <v>452</v>
      </c>
      <c r="N6" s="318">
        <f>N5-(G10+K10)</f>
        <v>237600.00000000003</v>
      </c>
    </row>
    <row r="7" spans="2:14" ht="14">
      <c r="B7" s="311" t="s">
        <v>453</v>
      </c>
      <c r="C7" s="312">
        <v>0</v>
      </c>
      <c r="D7" s="312">
        <f>C7*8</f>
        <v>0</v>
      </c>
      <c r="E7" s="313">
        <v>0</v>
      </c>
      <c r="F7" s="313">
        <v>0</v>
      </c>
      <c r="G7" s="314">
        <f>E7*D7*F7</f>
        <v>0</v>
      </c>
      <c r="H7" s="315">
        <v>0</v>
      </c>
      <c r="I7" s="315">
        <v>0</v>
      </c>
      <c r="J7" s="315">
        <v>0</v>
      </c>
      <c r="K7" s="316">
        <f>(H7*E7*F7)+(I7*E7)+(J7*E7)</f>
        <v>0</v>
      </c>
    </row>
    <row r="8" spans="2:14" ht="14">
      <c r="B8" s="311" t="s">
        <v>454</v>
      </c>
      <c r="C8" s="312">
        <v>0</v>
      </c>
      <c r="D8" s="312">
        <f>C8*8</f>
        <v>0</v>
      </c>
      <c r="E8" s="313">
        <v>0</v>
      </c>
      <c r="F8" s="313">
        <v>0</v>
      </c>
      <c r="G8" s="314">
        <f>E8*D8*F8</f>
        <v>0</v>
      </c>
      <c r="H8" s="315">
        <v>0</v>
      </c>
      <c r="I8" s="315">
        <v>0</v>
      </c>
      <c r="J8" s="315">
        <v>0</v>
      </c>
      <c r="K8" s="316">
        <f>(H8*E8*F8)+(I8*E8)+(J8*E8)</f>
        <v>0</v>
      </c>
      <c r="M8" s="474" t="s">
        <v>856</v>
      </c>
    </row>
    <row r="9" spans="2:14" ht="14">
      <c r="G9" s="319">
        <f>SUM(G5:G8)</f>
        <v>0</v>
      </c>
      <c r="H9" s="320"/>
      <c r="I9" s="320"/>
      <c r="J9" s="320"/>
      <c r="K9" s="321">
        <f>SUM(K5:K8)</f>
        <v>0</v>
      </c>
    </row>
    <row r="10" spans="2:14" ht="13">
      <c r="M10" s="475" t="s">
        <v>857</v>
      </c>
    </row>
    <row r="11" spans="2:14" ht="14">
      <c r="B11" s="310" t="s">
        <v>455</v>
      </c>
      <c r="C11" s="310" t="s">
        <v>445</v>
      </c>
      <c r="D11" s="310" t="s">
        <v>456</v>
      </c>
      <c r="M11" s="474" t="s">
        <v>858</v>
      </c>
    </row>
    <row r="12" spans="2:14" ht="14">
      <c r="B12" s="322" t="s">
        <v>457</v>
      </c>
      <c r="C12" s="323">
        <v>0</v>
      </c>
      <c r="D12" s="313">
        <f>C12/5</f>
        <v>0</v>
      </c>
      <c r="M12" s="474" t="s">
        <v>859</v>
      </c>
    </row>
    <row r="13" spans="2:14" ht="14">
      <c r="B13" s="322" t="s">
        <v>458</v>
      </c>
      <c r="C13" s="323">
        <v>0</v>
      </c>
      <c r="D13" s="313">
        <f>C13/5</f>
        <v>0</v>
      </c>
      <c r="M13" s="474" t="s">
        <v>860</v>
      </c>
    </row>
    <row r="14" spans="2:14" ht="14">
      <c r="B14" s="322" t="s">
        <v>459</v>
      </c>
      <c r="C14" s="323">
        <v>0</v>
      </c>
      <c r="D14" s="313">
        <f>C14/5</f>
        <v>0</v>
      </c>
      <c r="M14" s="474" t="s">
        <v>861</v>
      </c>
    </row>
    <row r="15" spans="2:14" ht="14">
      <c r="B15" s="322" t="s">
        <v>460</v>
      </c>
      <c r="C15" s="323">
        <v>0</v>
      </c>
      <c r="D15" s="313">
        <f>C15/5</f>
        <v>0</v>
      </c>
      <c r="M15" s="474" t="s">
        <v>862</v>
      </c>
    </row>
    <row r="16" spans="2:14" ht="14">
      <c r="B16" s="324" t="s">
        <v>461</v>
      </c>
      <c r="C16" s="325">
        <f>SUM(C12:C15)</f>
        <v>0</v>
      </c>
      <c r="D16" s="325">
        <f>SUM(D12:D15)</f>
        <v>0</v>
      </c>
      <c r="M16" s="474" t="s">
        <v>863</v>
      </c>
    </row>
    <row r="17" spans="2:14" ht="13">
      <c r="M17" s="474" t="s">
        <v>864</v>
      </c>
    </row>
    <row r="18" spans="2:14" ht="14.5">
      <c r="B18" s="576" t="s">
        <v>529</v>
      </c>
      <c r="C18" s="577"/>
      <c r="D18" s="577"/>
      <c r="E18" s="577"/>
      <c r="F18" s="577"/>
      <c r="G18" s="577"/>
      <c r="H18" s="577"/>
      <c r="I18" s="577"/>
      <c r="J18" s="577"/>
      <c r="K18" s="577"/>
      <c r="M18" s="578" t="s">
        <v>439</v>
      </c>
      <c r="N18" s="578"/>
    </row>
    <row r="19" spans="2:14" ht="14.5">
      <c r="B19" s="573" t="s">
        <v>440</v>
      </c>
      <c r="C19" s="574" t="s">
        <v>441</v>
      </c>
      <c r="D19" s="574"/>
      <c r="E19" s="574"/>
      <c r="F19" s="574"/>
      <c r="G19" s="574"/>
      <c r="H19" s="575" t="s">
        <v>442</v>
      </c>
      <c r="I19" s="575"/>
      <c r="J19" s="575"/>
      <c r="K19" s="575"/>
      <c r="M19" s="308" t="s">
        <v>441</v>
      </c>
      <c r="N19" s="309">
        <v>79200.000000000015</v>
      </c>
    </row>
    <row r="20" spans="2:14" ht="14">
      <c r="B20" s="573"/>
      <c r="C20" s="310" t="s">
        <v>443</v>
      </c>
      <c r="D20" s="310" t="s">
        <v>444</v>
      </c>
      <c r="E20" s="310" t="s">
        <v>445</v>
      </c>
      <c r="F20" s="310" t="s">
        <v>446</v>
      </c>
      <c r="G20" s="310" t="s">
        <v>14</v>
      </c>
      <c r="H20" s="310" t="s">
        <v>447</v>
      </c>
      <c r="I20" s="310" t="s">
        <v>448</v>
      </c>
      <c r="J20" s="310" t="s">
        <v>449</v>
      </c>
      <c r="K20" s="310" t="s">
        <v>14</v>
      </c>
      <c r="M20" s="308" t="s">
        <v>442</v>
      </c>
      <c r="N20" s="309">
        <v>157500</v>
      </c>
    </row>
    <row r="21" spans="2:14" ht="14">
      <c r="B21" s="311" t="s">
        <v>450</v>
      </c>
      <c r="C21" s="312">
        <v>0</v>
      </c>
      <c r="D21" s="312">
        <f>C21*8</f>
        <v>0</v>
      </c>
      <c r="E21" s="313">
        <v>0</v>
      </c>
      <c r="F21" s="313">
        <v>0</v>
      </c>
      <c r="G21" s="314">
        <f>E21*D21*F21</f>
        <v>0</v>
      </c>
      <c r="H21" s="315">
        <v>0</v>
      </c>
      <c r="I21" s="315">
        <v>0</v>
      </c>
      <c r="J21" s="315">
        <v>0</v>
      </c>
      <c r="K21" s="316">
        <f>(H21*F21*E21)+(I21*E21)+(J21*(E21-1))*F21</f>
        <v>0</v>
      </c>
      <c r="M21" s="317" t="s">
        <v>14</v>
      </c>
      <c r="N21" s="318">
        <f>SUM(N19:N20)</f>
        <v>236700</v>
      </c>
    </row>
    <row r="22" spans="2:14" ht="14">
      <c r="B22" s="311" t="s">
        <v>451</v>
      </c>
      <c r="C22" s="312">
        <v>0</v>
      </c>
      <c r="D22" s="312">
        <f>C22*8</f>
        <v>0</v>
      </c>
      <c r="E22" s="313">
        <v>0</v>
      </c>
      <c r="F22" s="313">
        <v>0</v>
      </c>
      <c r="G22" s="314">
        <f>E22*D22*F22</f>
        <v>0</v>
      </c>
      <c r="H22" s="315">
        <v>0</v>
      </c>
      <c r="I22" s="315">
        <v>0</v>
      </c>
      <c r="J22" s="315">
        <v>0</v>
      </c>
      <c r="K22" s="316">
        <f>(H22*F22*E22)+(I22*E22)+(J22*(E22-1))*F22</f>
        <v>0</v>
      </c>
      <c r="M22" s="317" t="s">
        <v>452</v>
      </c>
      <c r="N22" s="318">
        <f>N21-(G26+K26)</f>
        <v>236700</v>
      </c>
    </row>
    <row r="23" spans="2:14" ht="14">
      <c r="B23" s="311" t="s">
        <v>453</v>
      </c>
      <c r="C23" s="312">
        <v>0</v>
      </c>
      <c r="D23" s="312">
        <f>C23*8</f>
        <v>0</v>
      </c>
      <c r="E23" s="313">
        <v>0</v>
      </c>
      <c r="F23" s="313">
        <v>0</v>
      </c>
      <c r="G23" s="314">
        <f>E23*D23*F23</f>
        <v>0</v>
      </c>
      <c r="H23" s="315">
        <v>0</v>
      </c>
      <c r="I23" s="315">
        <v>0</v>
      </c>
      <c r="J23" s="315">
        <v>0</v>
      </c>
      <c r="K23" s="316">
        <f>(H23*F23*E23)+(I23*E23)+(J23*(E23-1))*F23</f>
        <v>0</v>
      </c>
    </row>
    <row r="24" spans="2:14" ht="14">
      <c r="B24" s="311" t="s">
        <v>454</v>
      </c>
      <c r="C24" s="312">
        <v>0</v>
      </c>
      <c r="D24" s="312">
        <f>C24*8</f>
        <v>0</v>
      </c>
      <c r="E24" s="313">
        <v>0</v>
      </c>
      <c r="F24" s="313">
        <v>0</v>
      </c>
      <c r="G24" s="314">
        <f>E24*D24*F24</f>
        <v>0</v>
      </c>
      <c r="H24" s="315">
        <v>0</v>
      </c>
      <c r="I24" s="315">
        <v>0</v>
      </c>
      <c r="J24" s="315">
        <v>0</v>
      </c>
      <c r="K24" s="316"/>
      <c r="M24" s="326" t="s">
        <v>462</v>
      </c>
      <c r="N24" s="327">
        <f>N22+N6</f>
        <v>474300</v>
      </c>
    </row>
    <row r="25" spans="2:14" ht="14">
      <c r="G25" s="319">
        <f>SUM(G21:G24)</f>
        <v>0</v>
      </c>
      <c r="H25" s="320"/>
      <c r="I25" s="320"/>
      <c r="J25" s="320"/>
      <c r="K25" s="321">
        <f>SUM(K21:K24)</f>
        <v>0</v>
      </c>
    </row>
    <row r="27" spans="2:14" ht="14">
      <c r="B27" s="310" t="s">
        <v>455</v>
      </c>
      <c r="C27" s="310" t="s">
        <v>445</v>
      </c>
      <c r="D27" s="310" t="s">
        <v>456</v>
      </c>
    </row>
    <row r="28" spans="2:14" ht="14">
      <c r="B28" s="322" t="s">
        <v>457</v>
      </c>
      <c r="C28" s="323">
        <v>0</v>
      </c>
      <c r="D28" s="313">
        <f>C28/5</f>
        <v>0</v>
      </c>
    </row>
    <row r="29" spans="2:14" ht="14">
      <c r="B29" s="322" t="s">
        <v>458</v>
      </c>
      <c r="C29" s="323">
        <v>0</v>
      </c>
      <c r="D29" s="313">
        <f>C29/5</f>
        <v>0</v>
      </c>
    </row>
    <row r="30" spans="2:14" ht="14">
      <c r="B30" s="322" t="s">
        <v>459</v>
      </c>
      <c r="C30" s="323">
        <v>0</v>
      </c>
      <c r="D30" s="313">
        <f>C30/5</f>
        <v>0</v>
      </c>
    </row>
    <row r="31" spans="2:14" ht="14">
      <c r="B31" s="322" t="s">
        <v>460</v>
      </c>
      <c r="C31" s="323">
        <v>0</v>
      </c>
      <c r="D31" s="313">
        <f>C31/5</f>
        <v>0</v>
      </c>
    </row>
    <row r="32" spans="2:14" ht="14">
      <c r="B32" s="324" t="s">
        <v>461</v>
      </c>
      <c r="C32" s="325">
        <f>SUM(C28:C31)</f>
        <v>0</v>
      </c>
      <c r="D32" s="325">
        <f>SUM(D28:D31)</f>
        <v>0</v>
      </c>
    </row>
    <row r="34" spans="2:14" ht="14.5">
      <c r="B34" s="569" t="s">
        <v>529</v>
      </c>
      <c r="C34" s="570"/>
      <c r="D34" s="570"/>
      <c r="E34" s="570"/>
      <c r="F34" s="570"/>
      <c r="G34" s="570"/>
      <c r="H34" s="570"/>
      <c r="I34" s="570"/>
      <c r="J34" s="570"/>
      <c r="K34" s="570"/>
      <c r="L34" s="579"/>
      <c r="M34" s="571" t="s">
        <v>439</v>
      </c>
      <c r="N34" s="572"/>
    </row>
    <row r="35" spans="2:14" ht="14.5">
      <c r="B35" s="561" t="s">
        <v>440</v>
      </c>
      <c r="C35" s="563" t="s">
        <v>441</v>
      </c>
      <c r="D35" s="564"/>
      <c r="E35" s="564"/>
      <c r="F35" s="564"/>
      <c r="G35" s="565"/>
      <c r="H35" s="566" t="s">
        <v>442</v>
      </c>
      <c r="I35" s="567"/>
      <c r="J35" s="567"/>
      <c r="K35" s="567"/>
      <c r="L35" s="568"/>
      <c r="M35" s="308" t="s">
        <v>441</v>
      </c>
      <c r="N35" s="309">
        <v>237600.00000000003</v>
      </c>
    </row>
    <row r="36" spans="2:14" ht="14">
      <c r="B36" s="562"/>
      <c r="C36" s="310" t="s">
        <v>443</v>
      </c>
      <c r="D36" s="310" t="s">
        <v>444</v>
      </c>
      <c r="E36" s="310" t="s">
        <v>445</v>
      </c>
      <c r="F36" s="310" t="s">
        <v>446</v>
      </c>
      <c r="G36" s="310" t="s">
        <v>14</v>
      </c>
      <c r="H36" s="310" t="s">
        <v>447</v>
      </c>
      <c r="I36" s="310" t="s">
        <v>448</v>
      </c>
      <c r="J36" s="310" t="s">
        <v>449</v>
      </c>
      <c r="K36" s="310" t="s">
        <v>463</v>
      </c>
      <c r="L36" s="310" t="s">
        <v>14</v>
      </c>
      <c r="M36" s="308" t="s">
        <v>442</v>
      </c>
      <c r="N36" s="309">
        <v>0</v>
      </c>
    </row>
    <row r="37" spans="2:14" ht="14">
      <c r="B37" s="311" t="s">
        <v>450</v>
      </c>
      <c r="C37" s="312">
        <v>0</v>
      </c>
      <c r="D37" s="312">
        <f>C37*8</f>
        <v>0</v>
      </c>
      <c r="E37" s="313">
        <v>0</v>
      </c>
      <c r="F37" s="313">
        <v>0</v>
      </c>
      <c r="G37" s="314">
        <f>E37*D37*F37</f>
        <v>0</v>
      </c>
      <c r="H37" s="315">
        <v>0</v>
      </c>
      <c r="I37" s="315">
        <v>0</v>
      </c>
      <c r="J37" s="315">
        <v>0</v>
      </c>
      <c r="K37" s="315">
        <v>0</v>
      </c>
      <c r="L37" s="316">
        <f>(H37*F37*E37)+(I37*E37)+(J37*(E37-1))*F37+K37*2*F37</f>
        <v>0</v>
      </c>
      <c r="M37" s="317" t="s">
        <v>14</v>
      </c>
      <c r="N37" s="318">
        <f>SUM(N35:N36)</f>
        <v>237600.00000000003</v>
      </c>
    </row>
    <row r="38" spans="2:14" ht="14">
      <c r="B38" s="311" t="s">
        <v>451</v>
      </c>
      <c r="C38" s="312">
        <v>0</v>
      </c>
      <c r="D38" s="312">
        <f>C38*8</f>
        <v>0</v>
      </c>
      <c r="E38" s="313">
        <v>0</v>
      </c>
      <c r="F38" s="313">
        <v>0</v>
      </c>
      <c r="G38" s="314">
        <f>E38*D38*F38</f>
        <v>0</v>
      </c>
      <c r="H38" s="315">
        <v>0</v>
      </c>
      <c r="I38" s="315">
        <v>0</v>
      </c>
      <c r="J38" s="315">
        <v>0</v>
      </c>
      <c r="K38" s="315">
        <v>0</v>
      </c>
      <c r="L38" s="316">
        <f>(H38*F38*E38)+(I38*E38)+(J38*(E38-1))*F38+K38*2*F38</f>
        <v>0</v>
      </c>
      <c r="M38" s="317" t="s">
        <v>452</v>
      </c>
      <c r="N38" s="318">
        <f>N37-(G42+L42)</f>
        <v>237600.00000000003</v>
      </c>
    </row>
    <row r="39" spans="2:14" ht="14">
      <c r="B39" s="311" t="s">
        <v>453</v>
      </c>
      <c r="C39" s="312">
        <v>0</v>
      </c>
      <c r="D39" s="312">
        <f>C39*8</f>
        <v>0</v>
      </c>
      <c r="E39" s="313">
        <v>0</v>
      </c>
      <c r="F39" s="313">
        <v>0</v>
      </c>
      <c r="G39" s="314">
        <f>E39*D39*F39</f>
        <v>0</v>
      </c>
      <c r="H39" s="315">
        <v>0</v>
      </c>
      <c r="I39" s="315">
        <v>0</v>
      </c>
      <c r="J39" s="315">
        <v>0</v>
      </c>
      <c r="K39" s="315">
        <v>0</v>
      </c>
      <c r="L39" s="316">
        <f>(H39*F39*E39)+(I39*E39)+(J39*(E39-1))*F39+K39*2*F39</f>
        <v>0</v>
      </c>
    </row>
    <row r="40" spans="2:14" ht="14">
      <c r="B40" s="311" t="s">
        <v>454</v>
      </c>
      <c r="C40" s="312">
        <v>0</v>
      </c>
      <c r="D40" s="312">
        <f>C40*8</f>
        <v>0</v>
      </c>
      <c r="E40" s="313">
        <v>0</v>
      </c>
      <c r="F40" s="313">
        <v>0</v>
      </c>
      <c r="G40" s="314">
        <f>E40*D40*F40</f>
        <v>0</v>
      </c>
      <c r="H40" s="315">
        <v>0</v>
      </c>
      <c r="I40" s="315">
        <v>0</v>
      </c>
      <c r="J40" s="315">
        <v>0</v>
      </c>
      <c r="K40" s="315">
        <v>0</v>
      </c>
      <c r="L40" s="316"/>
    </row>
    <row r="41" spans="2:14" ht="14">
      <c r="G41" s="319">
        <f>SUM(G37:G40)</f>
        <v>0</v>
      </c>
      <c r="H41" s="320"/>
      <c r="I41" s="320"/>
      <c r="J41" s="320"/>
      <c r="L41" s="321">
        <f>SUM(L37:L40)</f>
        <v>0</v>
      </c>
    </row>
    <row r="43" spans="2:14" ht="14">
      <c r="B43" s="310" t="s">
        <v>455</v>
      </c>
      <c r="C43" s="310" t="s">
        <v>445</v>
      </c>
      <c r="D43" s="310" t="s">
        <v>456</v>
      </c>
    </row>
    <row r="44" spans="2:14" ht="14">
      <c r="B44" s="322" t="s">
        <v>457</v>
      </c>
      <c r="C44" s="323">
        <v>0</v>
      </c>
      <c r="D44" s="313">
        <f>C44/5</f>
        <v>0</v>
      </c>
    </row>
    <row r="45" spans="2:14" ht="14">
      <c r="B45" s="322" t="s">
        <v>458</v>
      </c>
      <c r="C45" s="323">
        <v>0</v>
      </c>
      <c r="D45" s="313">
        <f>C45/5</f>
        <v>0</v>
      </c>
    </row>
    <row r="46" spans="2:14" ht="14">
      <c r="B46" s="322" t="s">
        <v>459</v>
      </c>
      <c r="C46" s="323">
        <v>0</v>
      </c>
      <c r="D46" s="313">
        <f>C46/5</f>
        <v>0</v>
      </c>
    </row>
    <row r="47" spans="2:14" ht="14">
      <c r="B47" s="322" t="s">
        <v>460</v>
      </c>
      <c r="C47" s="323">
        <v>0</v>
      </c>
      <c r="D47" s="313">
        <f>C47/5</f>
        <v>0</v>
      </c>
    </row>
    <row r="48" spans="2:14" ht="14">
      <c r="B48" s="324" t="s">
        <v>461</v>
      </c>
      <c r="C48" s="325">
        <f>SUM(C44:C47)</f>
        <v>0</v>
      </c>
      <c r="D48" s="325">
        <f>SUM(D44:D47)</f>
        <v>0</v>
      </c>
    </row>
    <row r="50" spans="2:14" ht="14.5">
      <c r="B50" s="576" t="s">
        <v>529</v>
      </c>
      <c r="C50" s="577"/>
      <c r="D50" s="577"/>
      <c r="E50" s="577"/>
      <c r="F50" s="577"/>
      <c r="G50" s="577"/>
      <c r="H50" s="577"/>
      <c r="I50" s="577"/>
      <c r="J50" s="577"/>
      <c r="K50" s="577"/>
      <c r="M50" s="578" t="s">
        <v>439</v>
      </c>
      <c r="N50" s="578"/>
    </row>
    <row r="51" spans="2:14" ht="14.5">
      <c r="B51" s="573" t="s">
        <v>440</v>
      </c>
      <c r="C51" s="574" t="s">
        <v>441</v>
      </c>
      <c r="D51" s="574"/>
      <c r="E51" s="574"/>
      <c r="F51" s="574"/>
      <c r="G51" s="574"/>
      <c r="H51" s="575" t="s">
        <v>442</v>
      </c>
      <c r="I51" s="575"/>
      <c r="J51" s="575"/>
      <c r="K51" s="575"/>
      <c r="M51" s="308" t="s">
        <v>441</v>
      </c>
      <c r="N51" s="309">
        <v>79200.000000000015</v>
      </c>
    </row>
    <row r="52" spans="2:14" ht="14">
      <c r="B52" s="573"/>
      <c r="C52" s="310" t="s">
        <v>443</v>
      </c>
      <c r="D52" s="310" t="s">
        <v>444</v>
      </c>
      <c r="E52" s="310" t="s">
        <v>445</v>
      </c>
      <c r="F52" s="310" t="s">
        <v>446</v>
      </c>
      <c r="G52" s="310" t="s">
        <v>14</v>
      </c>
      <c r="H52" s="310" t="s">
        <v>447</v>
      </c>
      <c r="I52" s="310" t="s">
        <v>448</v>
      </c>
      <c r="J52" s="310" t="s">
        <v>449</v>
      </c>
      <c r="K52" s="310" t="s">
        <v>14</v>
      </c>
      <c r="M52" s="308" t="s">
        <v>442</v>
      </c>
      <c r="N52" s="309">
        <v>157500</v>
      </c>
    </row>
    <row r="53" spans="2:14" ht="14">
      <c r="B53" s="311" t="s">
        <v>450</v>
      </c>
      <c r="C53" s="312">
        <v>0</v>
      </c>
      <c r="D53" s="312">
        <f>C53*8</f>
        <v>0</v>
      </c>
      <c r="E53" s="313">
        <v>0</v>
      </c>
      <c r="F53" s="313">
        <v>0</v>
      </c>
      <c r="G53" s="314">
        <f>E53*D53*F53</f>
        <v>0</v>
      </c>
      <c r="H53" s="315">
        <v>0</v>
      </c>
      <c r="I53" s="315">
        <v>0</v>
      </c>
      <c r="J53" s="315">
        <v>0</v>
      </c>
      <c r="K53" s="316">
        <f>(H53*F53*E53)+(I53*E53)+(J53*(E53-1))*F53</f>
        <v>0</v>
      </c>
      <c r="M53" s="317" t="s">
        <v>14</v>
      </c>
      <c r="N53" s="318">
        <f>SUM(N51:N52)</f>
        <v>236700</v>
      </c>
    </row>
    <row r="54" spans="2:14" ht="14">
      <c r="B54" s="311" t="s">
        <v>451</v>
      </c>
      <c r="C54" s="312">
        <v>0</v>
      </c>
      <c r="D54" s="312">
        <f>C54*8</f>
        <v>0</v>
      </c>
      <c r="E54" s="313">
        <v>0</v>
      </c>
      <c r="F54" s="313">
        <v>0</v>
      </c>
      <c r="G54" s="314">
        <f>E54*D54*F54</f>
        <v>0</v>
      </c>
      <c r="H54" s="315">
        <v>0</v>
      </c>
      <c r="I54" s="315">
        <v>0</v>
      </c>
      <c r="J54" s="315">
        <v>0</v>
      </c>
      <c r="K54" s="316">
        <f>(H54*F54*E54)+(I54*E54)+(J54*(E54-1))*F54</f>
        <v>0</v>
      </c>
      <c r="M54" s="317" t="s">
        <v>452</v>
      </c>
      <c r="N54" s="318">
        <f>N53-(G58+K58)</f>
        <v>236700</v>
      </c>
    </row>
    <row r="55" spans="2:14" ht="14">
      <c r="B55" s="311" t="s">
        <v>453</v>
      </c>
      <c r="C55" s="312">
        <v>0</v>
      </c>
      <c r="D55" s="312">
        <f>C55*8</f>
        <v>0</v>
      </c>
      <c r="E55" s="313">
        <v>0</v>
      </c>
      <c r="F55" s="313">
        <v>0</v>
      </c>
      <c r="G55" s="314">
        <f>E55*D55*F55</f>
        <v>0</v>
      </c>
      <c r="H55" s="315">
        <v>0</v>
      </c>
      <c r="I55" s="315">
        <v>0</v>
      </c>
      <c r="J55" s="315">
        <v>0</v>
      </c>
      <c r="K55" s="316">
        <f>(H55*F55*E55)+(I55*E55)+(J55*(E55-1))*F55</f>
        <v>0</v>
      </c>
    </row>
    <row r="56" spans="2:14" ht="14">
      <c r="B56" s="311" t="s">
        <v>454</v>
      </c>
      <c r="C56" s="312">
        <v>0</v>
      </c>
      <c r="D56" s="312">
        <f>C56*8</f>
        <v>0</v>
      </c>
      <c r="E56" s="313">
        <v>0</v>
      </c>
      <c r="F56" s="313">
        <v>0</v>
      </c>
      <c r="G56" s="314">
        <f>E56*D56*F56</f>
        <v>0</v>
      </c>
      <c r="H56" s="315">
        <v>0</v>
      </c>
      <c r="I56" s="315">
        <v>0</v>
      </c>
      <c r="J56" s="315">
        <v>0</v>
      </c>
      <c r="K56" s="316"/>
      <c r="M56" s="326" t="s">
        <v>462</v>
      </c>
      <c r="N56" s="327">
        <f>N54+N38</f>
        <v>474300</v>
      </c>
    </row>
    <row r="57" spans="2:14" ht="14">
      <c r="G57" s="319">
        <f>SUM(G53:G56)</f>
        <v>0</v>
      </c>
      <c r="H57" s="320"/>
      <c r="I57" s="320"/>
      <c r="J57" s="320"/>
      <c r="K57" s="321">
        <f>SUM(K53:K56)</f>
        <v>0</v>
      </c>
    </row>
    <row r="59" spans="2:14" ht="14">
      <c r="B59" s="310" t="s">
        <v>455</v>
      </c>
      <c r="C59" s="310" t="s">
        <v>445</v>
      </c>
      <c r="D59" s="310" t="s">
        <v>456</v>
      </c>
    </row>
    <row r="60" spans="2:14" ht="14">
      <c r="B60" s="322" t="s">
        <v>457</v>
      </c>
      <c r="C60" s="323">
        <v>0</v>
      </c>
      <c r="D60" s="313">
        <f>C60/5</f>
        <v>0</v>
      </c>
    </row>
    <row r="61" spans="2:14" ht="14">
      <c r="B61" s="322" t="s">
        <v>458</v>
      </c>
      <c r="C61" s="323">
        <v>0</v>
      </c>
      <c r="D61" s="313">
        <f>C61/5</f>
        <v>0</v>
      </c>
    </row>
    <row r="62" spans="2:14" ht="14">
      <c r="B62" s="322" t="s">
        <v>459</v>
      </c>
      <c r="C62" s="323">
        <v>0</v>
      </c>
      <c r="D62" s="313">
        <f>C62/5</f>
        <v>0</v>
      </c>
    </row>
    <row r="63" spans="2:14" ht="14">
      <c r="B63" s="322" t="s">
        <v>460</v>
      </c>
      <c r="C63" s="323">
        <v>0</v>
      </c>
      <c r="D63" s="313">
        <f>C63/5</f>
        <v>0</v>
      </c>
    </row>
    <row r="64" spans="2:14" ht="14">
      <c r="B64" s="324" t="s">
        <v>461</v>
      </c>
      <c r="C64" s="325">
        <v>0</v>
      </c>
      <c r="D64" s="325">
        <f>SUM(D60:D63)</f>
        <v>0</v>
      </c>
    </row>
    <row r="69" spans="2:6" ht="18">
      <c r="B69" s="580" t="s">
        <v>464</v>
      </c>
      <c r="C69" s="580"/>
      <c r="D69" s="580"/>
      <c r="E69" s="580"/>
      <c r="F69" s="328"/>
    </row>
    <row r="70" spans="2:6" ht="14.5">
      <c r="B70" s="329" t="s">
        <v>465</v>
      </c>
      <c r="C70" s="329" t="s">
        <v>8</v>
      </c>
      <c r="D70" s="329" t="s">
        <v>466</v>
      </c>
      <c r="E70" s="329" t="s">
        <v>318</v>
      </c>
      <c r="F70" s="328"/>
    </row>
    <row r="71" spans="2:6" ht="14.5">
      <c r="B71" s="330" t="s">
        <v>467</v>
      </c>
      <c r="C71" s="331">
        <v>0</v>
      </c>
      <c r="D71" s="332">
        <v>0</v>
      </c>
      <c r="E71" s="332">
        <f t="shared" ref="E71:E77" si="0">D71*C71</f>
        <v>0</v>
      </c>
      <c r="F71" s="328"/>
    </row>
    <row r="72" spans="2:6" ht="14.5">
      <c r="B72" s="330" t="s">
        <v>468</v>
      </c>
      <c r="C72" s="331">
        <v>0</v>
      </c>
      <c r="D72" s="332">
        <v>0</v>
      </c>
      <c r="E72" s="332">
        <f t="shared" si="0"/>
        <v>0</v>
      </c>
      <c r="F72" s="328"/>
    </row>
    <row r="73" spans="2:6" ht="14.5">
      <c r="B73" s="330" t="s">
        <v>469</v>
      </c>
      <c r="C73" s="331">
        <v>0</v>
      </c>
      <c r="D73" s="332">
        <v>0</v>
      </c>
      <c r="E73" s="332">
        <f t="shared" si="0"/>
        <v>0</v>
      </c>
      <c r="F73" s="328"/>
    </row>
    <row r="74" spans="2:6" ht="14.5">
      <c r="B74" s="330" t="s">
        <v>470</v>
      </c>
      <c r="C74" s="331">
        <v>0</v>
      </c>
      <c r="D74" s="332">
        <v>0</v>
      </c>
      <c r="E74" s="332">
        <f t="shared" si="0"/>
        <v>0</v>
      </c>
      <c r="F74" s="328"/>
    </row>
    <row r="75" spans="2:6" ht="14.5">
      <c r="B75" s="330" t="s">
        <v>471</v>
      </c>
      <c r="C75" s="331">
        <v>0</v>
      </c>
      <c r="D75" s="332">
        <v>0</v>
      </c>
      <c r="E75" s="332">
        <f t="shared" si="0"/>
        <v>0</v>
      </c>
      <c r="F75" s="328"/>
    </row>
    <row r="76" spans="2:6" ht="14.5">
      <c r="B76" s="330" t="s">
        <v>472</v>
      </c>
      <c r="C76" s="331">
        <v>0</v>
      </c>
      <c r="D76" s="332">
        <v>0</v>
      </c>
      <c r="E76" s="332">
        <f t="shared" si="0"/>
        <v>0</v>
      </c>
      <c r="F76" s="328"/>
    </row>
    <row r="77" spans="2:6" ht="14.5">
      <c r="B77" s="330" t="s">
        <v>473</v>
      </c>
      <c r="C77" s="331">
        <v>0</v>
      </c>
      <c r="D77" s="332">
        <v>0</v>
      </c>
      <c r="E77" s="332">
        <f t="shared" si="0"/>
        <v>0</v>
      </c>
      <c r="F77" s="328"/>
    </row>
    <row r="78" spans="2:6" ht="14.5">
      <c r="B78" s="328"/>
      <c r="C78" s="328"/>
      <c r="D78" s="328"/>
      <c r="E78" s="328"/>
      <c r="F78" s="328"/>
    </row>
    <row r="79" spans="2:6" ht="14.5">
      <c r="B79" s="328"/>
      <c r="C79" s="328"/>
      <c r="D79" s="333" t="s">
        <v>14</v>
      </c>
      <c r="E79" s="334">
        <f>SUM(E71:E77)</f>
        <v>0</v>
      </c>
      <c r="F79" s="328">
        <f>E79/25</f>
        <v>0</v>
      </c>
    </row>
    <row r="80" spans="2:6" ht="14.5">
      <c r="B80" s="328"/>
      <c r="C80" s="328"/>
      <c r="D80" s="333"/>
      <c r="E80" s="334"/>
      <c r="F80" s="328"/>
    </row>
    <row r="81" spans="2:11" ht="18">
      <c r="B81" s="580" t="s">
        <v>474</v>
      </c>
      <c r="C81" s="580"/>
      <c r="D81" s="580"/>
      <c r="E81" s="580"/>
      <c r="F81" s="328"/>
    </row>
    <row r="82" spans="2:11" ht="14.5">
      <c r="B82" s="335" t="s">
        <v>475</v>
      </c>
      <c r="C82" s="329" t="s">
        <v>8</v>
      </c>
      <c r="D82" s="329" t="s">
        <v>466</v>
      </c>
      <c r="E82" s="329" t="s">
        <v>318</v>
      </c>
      <c r="F82" s="328"/>
    </row>
    <row r="83" spans="2:11" ht="14.5">
      <c r="B83" s="330" t="s">
        <v>476</v>
      </c>
      <c r="C83" s="331">
        <v>0</v>
      </c>
      <c r="D83" s="332">
        <v>0</v>
      </c>
      <c r="E83" s="332">
        <f>D83*C83</f>
        <v>0</v>
      </c>
      <c r="F83" s="328"/>
    </row>
    <row r="84" spans="2:11" ht="14.5">
      <c r="B84" s="330" t="s">
        <v>477</v>
      </c>
      <c r="C84" s="331">
        <v>0</v>
      </c>
      <c r="D84" s="332">
        <v>0</v>
      </c>
      <c r="E84" s="332">
        <f>D84*C84</f>
        <v>0</v>
      </c>
      <c r="F84" s="328"/>
    </row>
    <row r="85" spans="2:11" ht="14.5">
      <c r="B85" s="330" t="s">
        <v>478</v>
      </c>
      <c r="C85" s="331">
        <v>0</v>
      </c>
      <c r="D85" s="332">
        <v>0</v>
      </c>
      <c r="E85" s="332">
        <f>D85*C85</f>
        <v>0</v>
      </c>
      <c r="F85" s="328"/>
    </row>
    <row r="86" spans="2:11" ht="14.5">
      <c r="B86" s="330" t="s">
        <v>479</v>
      </c>
      <c r="C86" s="331">
        <v>0</v>
      </c>
      <c r="D86" s="332">
        <v>0</v>
      </c>
      <c r="E86" s="332">
        <f>D86*C86</f>
        <v>0</v>
      </c>
      <c r="F86" s="328"/>
    </row>
    <row r="87" spans="2:11" ht="14.5">
      <c r="B87" s="330" t="s">
        <v>480</v>
      </c>
      <c r="C87" s="331">
        <v>0</v>
      </c>
      <c r="D87" s="332">
        <v>0</v>
      </c>
      <c r="E87" s="332">
        <f>D87*C87</f>
        <v>0</v>
      </c>
      <c r="F87" s="328"/>
    </row>
    <row r="88" spans="2:11" ht="14.5">
      <c r="B88" s="328"/>
      <c r="C88" s="328"/>
      <c r="D88" s="328"/>
      <c r="E88" s="328"/>
      <c r="F88" s="328"/>
    </row>
    <row r="89" spans="2:11" ht="14.5">
      <c r="B89" s="328"/>
      <c r="C89" s="328"/>
      <c r="D89" s="333" t="s">
        <v>14</v>
      </c>
      <c r="E89" s="334">
        <f>SUM(E83:E87)</f>
        <v>0</v>
      </c>
      <c r="F89" s="328">
        <f>E89/25</f>
        <v>0</v>
      </c>
    </row>
    <row r="91" spans="2:11" ht="14.5">
      <c r="B91" s="569" t="s">
        <v>481</v>
      </c>
      <c r="C91" s="570"/>
      <c r="D91" s="570"/>
      <c r="E91" s="570"/>
      <c r="F91" s="570"/>
      <c r="G91" s="570"/>
      <c r="H91" s="570"/>
      <c r="I91" s="570"/>
      <c r="J91" s="570"/>
      <c r="K91" s="570"/>
    </row>
    <row r="92" spans="2:11" ht="14.5">
      <c r="B92" s="573" t="s">
        <v>440</v>
      </c>
      <c r="C92" s="574" t="s">
        <v>441</v>
      </c>
      <c r="D92" s="574"/>
      <c r="E92" s="574"/>
      <c r="F92" s="574"/>
      <c r="G92" s="574"/>
      <c r="H92" s="575" t="s">
        <v>442</v>
      </c>
      <c r="I92" s="575"/>
      <c r="J92" s="575"/>
      <c r="K92" s="575"/>
    </row>
    <row r="93" spans="2:11" ht="14">
      <c r="B93" s="573"/>
      <c r="C93" s="310" t="s">
        <v>443</v>
      </c>
      <c r="D93" s="310" t="s">
        <v>444</v>
      </c>
      <c r="E93" s="310" t="s">
        <v>445</v>
      </c>
      <c r="F93" s="310" t="s">
        <v>446</v>
      </c>
      <c r="G93" s="310" t="s">
        <v>14</v>
      </c>
      <c r="H93" s="310" t="s">
        <v>447</v>
      </c>
      <c r="I93" s="310" t="s">
        <v>448</v>
      </c>
      <c r="J93" s="310" t="s">
        <v>449</v>
      </c>
      <c r="K93" s="310" t="s">
        <v>14</v>
      </c>
    </row>
    <row r="94" spans="2:11" ht="14">
      <c r="B94" s="311" t="s">
        <v>450</v>
      </c>
      <c r="C94" s="312">
        <v>0</v>
      </c>
      <c r="D94" s="312">
        <f>C94*8</f>
        <v>0</v>
      </c>
      <c r="E94" s="313">
        <v>0</v>
      </c>
      <c r="F94" s="313">
        <v>0</v>
      </c>
      <c r="G94" s="314">
        <f>E94*D94*F94</f>
        <v>0</v>
      </c>
      <c r="H94" s="315">
        <v>0</v>
      </c>
      <c r="I94" s="315">
        <v>0</v>
      </c>
      <c r="J94" s="315">
        <v>0</v>
      </c>
      <c r="K94" s="316"/>
    </row>
    <row r="95" spans="2:11" ht="14">
      <c r="B95" s="311" t="s">
        <v>451</v>
      </c>
      <c r="C95" s="312">
        <v>0</v>
      </c>
      <c r="D95" s="312">
        <f>C95*8</f>
        <v>0</v>
      </c>
      <c r="E95" s="313">
        <v>0</v>
      </c>
      <c r="F95" s="313">
        <v>0</v>
      </c>
      <c r="G95" s="314">
        <f>E95*D95*F95</f>
        <v>0</v>
      </c>
      <c r="H95" s="315">
        <v>0</v>
      </c>
      <c r="I95" s="315">
        <v>0</v>
      </c>
      <c r="J95" s="315">
        <v>0</v>
      </c>
      <c r="K95" s="316"/>
    </row>
    <row r="96" spans="2:11" ht="14">
      <c r="B96" s="311" t="s">
        <v>453</v>
      </c>
      <c r="C96" s="312">
        <v>0</v>
      </c>
      <c r="D96" s="312">
        <f>C96*8</f>
        <v>0</v>
      </c>
      <c r="E96" s="313">
        <v>0</v>
      </c>
      <c r="F96" s="313">
        <v>0</v>
      </c>
      <c r="G96" s="314">
        <f>E96*D96*F96</f>
        <v>0</v>
      </c>
      <c r="H96" s="315">
        <v>0</v>
      </c>
      <c r="I96" s="315">
        <v>0</v>
      </c>
      <c r="J96" s="315">
        <v>0</v>
      </c>
      <c r="K96" s="316"/>
    </row>
    <row r="97" spans="2:11" ht="14">
      <c r="B97" s="311" t="s">
        <v>454</v>
      </c>
      <c r="C97" s="312">
        <v>0</v>
      </c>
      <c r="D97" s="312">
        <f>C97*8</f>
        <v>0</v>
      </c>
      <c r="E97" s="313">
        <v>0</v>
      </c>
      <c r="F97" s="313">
        <v>0</v>
      </c>
      <c r="G97" s="314">
        <f>E97*D97*F97</f>
        <v>0</v>
      </c>
      <c r="H97" s="315">
        <v>0</v>
      </c>
      <c r="I97" s="315">
        <v>0</v>
      </c>
      <c r="J97" s="315">
        <v>0</v>
      </c>
      <c r="K97" s="316"/>
    </row>
    <row r="98" spans="2:11" ht="14">
      <c r="G98" s="319">
        <f>SUM(G94:G97)</f>
        <v>0</v>
      </c>
      <c r="H98" s="320"/>
      <c r="I98" s="320"/>
      <c r="J98" s="320"/>
      <c r="K98" s="321">
        <f>SUM(K94:K97)</f>
        <v>0</v>
      </c>
    </row>
    <row r="99" spans="2:11" ht="14">
      <c r="G99" s="336">
        <f>G98*25</f>
        <v>0</v>
      </c>
      <c r="K99" s="336">
        <f>K98*25</f>
        <v>0</v>
      </c>
    </row>
    <row r="100" spans="2:11" ht="14">
      <c r="B100" s="310" t="s">
        <v>455</v>
      </c>
      <c r="C100" s="310" t="s">
        <v>445</v>
      </c>
      <c r="D100" s="310" t="s">
        <v>456</v>
      </c>
    </row>
    <row r="101" spans="2:11" ht="14">
      <c r="B101" s="322" t="s">
        <v>457</v>
      </c>
      <c r="C101" s="323">
        <v>0</v>
      </c>
      <c r="D101" s="313">
        <f>C101/5</f>
        <v>0</v>
      </c>
    </row>
    <row r="102" spans="2:11" ht="14">
      <c r="B102" s="322"/>
      <c r="C102" s="323">
        <v>0</v>
      </c>
      <c r="D102" s="313">
        <f>C102/5</f>
        <v>0</v>
      </c>
    </row>
    <row r="103" spans="2:11" ht="14">
      <c r="B103" s="322" t="s">
        <v>459</v>
      </c>
      <c r="C103" s="323">
        <v>0</v>
      </c>
      <c r="D103" s="313">
        <f>C103/5</f>
        <v>0</v>
      </c>
    </row>
    <row r="104" spans="2:11" ht="14">
      <c r="B104" s="322" t="s">
        <v>460</v>
      </c>
      <c r="C104" s="323">
        <v>0</v>
      </c>
      <c r="D104" s="313">
        <f>C104/5</f>
        <v>0</v>
      </c>
    </row>
    <row r="105" spans="2:11" ht="14">
      <c r="B105" s="324" t="s">
        <v>461</v>
      </c>
      <c r="C105" s="325">
        <v>0</v>
      </c>
      <c r="D105" s="325">
        <f>SUM(D101:D104)</f>
        <v>0</v>
      </c>
    </row>
    <row r="107" spans="2:11" ht="14.5">
      <c r="B107" s="576" t="s">
        <v>482</v>
      </c>
      <c r="C107" s="577"/>
      <c r="D107" s="577"/>
      <c r="E107" s="577"/>
      <c r="F107" s="577"/>
      <c r="G107" s="577"/>
      <c r="H107" s="577"/>
      <c r="I107" s="577"/>
      <c r="J107" s="577"/>
      <c r="K107" s="577"/>
    </row>
    <row r="108" spans="2:11" ht="14.5">
      <c r="B108" s="573" t="s">
        <v>440</v>
      </c>
      <c r="C108" s="574" t="s">
        <v>441</v>
      </c>
      <c r="D108" s="574"/>
      <c r="E108" s="574"/>
      <c r="F108" s="574"/>
      <c r="G108" s="574"/>
      <c r="H108" s="575" t="s">
        <v>442</v>
      </c>
      <c r="I108" s="575"/>
      <c r="J108" s="575"/>
      <c r="K108" s="575"/>
    </row>
    <row r="109" spans="2:11" ht="14">
      <c r="B109" s="573"/>
      <c r="C109" s="310" t="s">
        <v>443</v>
      </c>
      <c r="D109" s="310" t="s">
        <v>444</v>
      </c>
      <c r="E109" s="310" t="s">
        <v>445</v>
      </c>
      <c r="F109" s="310" t="s">
        <v>446</v>
      </c>
      <c r="G109" s="310" t="s">
        <v>14</v>
      </c>
      <c r="H109" s="310" t="s">
        <v>447</v>
      </c>
      <c r="I109" s="310" t="s">
        <v>448</v>
      </c>
      <c r="J109" s="310" t="s">
        <v>449</v>
      </c>
      <c r="K109" s="310" t="s">
        <v>14</v>
      </c>
    </row>
    <row r="110" spans="2:11" ht="14">
      <c r="B110" s="311" t="s">
        <v>450</v>
      </c>
      <c r="C110" s="312">
        <v>0</v>
      </c>
      <c r="D110" s="312">
        <f>C110*8</f>
        <v>0</v>
      </c>
      <c r="E110" s="313">
        <v>0</v>
      </c>
      <c r="F110" s="313">
        <v>0</v>
      </c>
      <c r="G110" s="314">
        <f>E110*D110*F110</f>
        <v>0</v>
      </c>
      <c r="H110" s="315">
        <v>0</v>
      </c>
      <c r="I110" s="315">
        <v>0</v>
      </c>
      <c r="J110" s="315">
        <v>0</v>
      </c>
      <c r="K110" s="316">
        <f>(H110*F110*E110)+(I110*E110)+(J110*(E110-1))*F110</f>
        <v>0</v>
      </c>
    </row>
    <row r="111" spans="2:11" ht="14">
      <c r="B111" s="311" t="s">
        <v>451</v>
      </c>
      <c r="C111" s="312">
        <v>0</v>
      </c>
      <c r="D111" s="312">
        <f>C111*8</f>
        <v>0</v>
      </c>
      <c r="E111" s="313">
        <v>0</v>
      </c>
      <c r="F111" s="313">
        <v>0</v>
      </c>
      <c r="G111" s="314">
        <f>E111*D111*F111</f>
        <v>0</v>
      </c>
      <c r="H111" s="315">
        <v>0</v>
      </c>
      <c r="I111" s="315">
        <v>0</v>
      </c>
      <c r="J111" s="315">
        <v>0</v>
      </c>
      <c r="K111" s="316">
        <f>(H111*F111*E111)+(I111*E111)+(J111*(E111-1))*F111</f>
        <v>0</v>
      </c>
    </row>
    <row r="112" spans="2:11" ht="14">
      <c r="B112" s="311" t="s">
        <v>453</v>
      </c>
      <c r="C112" s="312">
        <v>0</v>
      </c>
      <c r="D112" s="312">
        <f>C112*8</f>
        <v>0</v>
      </c>
      <c r="E112" s="313">
        <v>0</v>
      </c>
      <c r="F112" s="313">
        <v>0</v>
      </c>
      <c r="G112" s="314">
        <f>E112*D112*F112</f>
        <v>0</v>
      </c>
      <c r="H112" s="315">
        <v>0</v>
      </c>
      <c r="I112" s="315">
        <v>0</v>
      </c>
      <c r="J112" s="315">
        <v>0</v>
      </c>
      <c r="K112" s="316">
        <f>(H112*F112*E112)+(I112*E112)+(J112*(E112-1))*F112</f>
        <v>0</v>
      </c>
    </row>
    <row r="113" spans="2:11" ht="14">
      <c r="B113" s="311" t="s">
        <v>454</v>
      </c>
      <c r="C113" s="312">
        <v>0</v>
      </c>
      <c r="D113" s="312">
        <f>C113*8</f>
        <v>0</v>
      </c>
      <c r="E113" s="313">
        <v>0</v>
      </c>
      <c r="F113" s="313">
        <v>0</v>
      </c>
      <c r="G113" s="314">
        <f>E113*D113*F113</f>
        <v>0</v>
      </c>
      <c r="H113" s="315">
        <v>0</v>
      </c>
      <c r="I113" s="315">
        <v>0</v>
      </c>
      <c r="J113" s="315">
        <v>0</v>
      </c>
      <c r="K113" s="316"/>
    </row>
    <row r="114" spans="2:11" ht="14">
      <c r="G114" s="319">
        <f>SUM(G110:G113)</f>
        <v>0</v>
      </c>
      <c r="H114" s="320"/>
      <c r="I114" s="320"/>
      <c r="J114" s="320"/>
      <c r="K114" s="321">
        <f>SUM(K110:K113)</f>
        <v>0</v>
      </c>
    </row>
    <row r="115" spans="2:11" ht="14">
      <c r="G115" s="336">
        <f>G114*25</f>
        <v>0</v>
      </c>
      <c r="K115" s="336">
        <f>K114*25</f>
        <v>0</v>
      </c>
    </row>
    <row r="116" spans="2:11" ht="14">
      <c r="B116" s="310" t="s">
        <v>455</v>
      </c>
      <c r="C116" s="310" t="s">
        <v>445</v>
      </c>
      <c r="D116" s="310" t="s">
        <v>456</v>
      </c>
    </row>
    <row r="117" spans="2:11" ht="14">
      <c r="B117" s="322" t="s">
        <v>457</v>
      </c>
      <c r="C117" s="323">
        <v>0</v>
      </c>
      <c r="D117" s="313">
        <f>C117/5</f>
        <v>0</v>
      </c>
    </row>
    <row r="118" spans="2:11" ht="14">
      <c r="B118" s="322" t="s">
        <v>458</v>
      </c>
      <c r="C118" s="323">
        <v>0</v>
      </c>
      <c r="D118" s="313">
        <f>C118/5</f>
        <v>0</v>
      </c>
    </row>
    <row r="119" spans="2:11" ht="14">
      <c r="B119" s="322" t="s">
        <v>459</v>
      </c>
      <c r="C119" s="323">
        <v>0</v>
      </c>
      <c r="D119" s="313">
        <f>C119/5</f>
        <v>0</v>
      </c>
    </row>
    <row r="120" spans="2:11" ht="14">
      <c r="B120" s="322" t="s">
        <v>460</v>
      </c>
      <c r="C120" s="323">
        <v>0</v>
      </c>
      <c r="D120" s="313">
        <f>C120/5</f>
        <v>0</v>
      </c>
    </row>
    <row r="121" spans="2:11" ht="14">
      <c r="B121" s="324" t="s">
        <v>461</v>
      </c>
      <c r="C121" s="325">
        <v>0</v>
      </c>
      <c r="D121" s="325">
        <f>SUM(D117:D120)</f>
        <v>0</v>
      </c>
    </row>
    <row r="123" spans="2:11" ht="14.5">
      <c r="B123" s="569" t="s">
        <v>483</v>
      </c>
      <c r="C123" s="570"/>
      <c r="D123" s="570"/>
      <c r="E123" s="570"/>
      <c r="F123" s="570"/>
      <c r="G123" s="570"/>
      <c r="H123" s="570"/>
      <c r="I123" s="570"/>
      <c r="J123" s="570"/>
      <c r="K123" s="570"/>
    </row>
    <row r="124" spans="2:11" ht="14.5">
      <c r="B124" s="573" t="s">
        <v>440</v>
      </c>
      <c r="C124" s="574" t="s">
        <v>441</v>
      </c>
      <c r="D124" s="574"/>
      <c r="E124" s="574"/>
      <c r="F124" s="574"/>
      <c r="G124" s="574"/>
      <c r="H124" s="575" t="s">
        <v>442</v>
      </c>
      <c r="I124" s="575"/>
      <c r="J124" s="575"/>
      <c r="K124" s="575"/>
    </row>
    <row r="125" spans="2:11" ht="14">
      <c r="B125" s="573"/>
      <c r="C125" s="310" t="s">
        <v>443</v>
      </c>
      <c r="D125" s="310" t="s">
        <v>444</v>
      </c>
      <c r="E125" s="310" t="s">
        <v>445</v>
      </c>
      <c r="F125" s="310" t="s">
        <v>446</v>
      </c>
      <c r="G125" s="310" t="s">
        <v>14</v>
      </c>
      <c r="H125" s="310" t="s">
        <v>447</v>
      </c>
      <c r="I125" s="310" t="s">
        <v>448</v>
      </c>
      <c r="J125" s="310" t="s">
        <v>449</v>
      </c>
      <c r="K125" s="310" t="s">
        <v>14</v>
      </c>
    </row>
    <row r="126" spans="2:11" ht="14">
      <c r="B126" s="311" t="s">
        <v>450</v>
      </c>
      <c r="C126" s="312">
        <v>0</v>
      </c>
      <c r="D126" s="312">
        <f>C126*8</f>
        <v>0</v>
      </c>
      <c r="E126" s="313">
        <v>0</v>
      </c>
      <c r="F126" s="313">
        <v>0</v>
      </c>
      <c r="G126" s="314">
        <f>E126*D126*F126</f>
        <v>0</v>
      </c>
      <c r="H126" s="315">
        <v>0</v>
      </c>
      <c r="I126" s="315">
        <v>0</v>
      </c>
      <c r="J126" s="315">
        <v>0</v>
      </c>
      <c r="K126" s="316">
        <f>(H126*F126*E126)+(I126*E126)+(J126*(E126-1))*F126</f>
        <v>0</v>
      </c>
    </row>
    <row r="127" spans="2:11" ht="14">
      <c r="B127" s="311" t="s">
        <v>451</v>
      </c>
      <c r="C127" s="312">
        <v>0</v>
      </c>
      <c r="D127" s="312">
        <f>C127*8</f>
        <v>0</v>
      </c>
      <c r="E127" s="313">
        <v>0</v>
      </c>
      <c r="F127" s="313">
        <v>0</v>
      </c>
      <c r="G127" s="314">
        <f>E127*D127*F127</f>
        <v>0</v>
      </c>
      <c r="H127" s="315">
        <v>0</v>
      </c>
      <c r="I127" s="315">
        <v>0</v>
      </c>
      <c r="J127" s="315">
        <v>0</v>
      </c>
      <c r="K127" s="316">
        <f>(H127*F127*E127)+(I127*E127)+(J127*(E127-1))*F127</f>
        <v>0</v>
      </c>
    </row>
    <row r="128" spans="2:11" ht="14">
      <c r="B128" s="311" t="s">
        <v>453</v>
      </c>
      <c r="C128" s="312">
        <v>0</v>
      </c>
      <c r="D128" s="312">
        <f>C128*8</f>
        <v>0</v>
      </c>
      <c r="E128" s="313">
        <v>0</v>
      </c>
      <c r="F128" s="313">
        <v>0</v>
      </c>
      <c r="G128" s="314">
        <f>E128*D128*F128</f>
        <v>0</v>
      </c>
      <c r="H128" s="315">
        <v>0</v>
      </c>
      <c r="I128" s="315">
        <v>0</v>
      </c>
      <c r="J128" s="315">
        <v>0</v>
      </c>
      <c r="K128" s="316">
        <f>(H128*F128*E128)+(I128*E128)+(J128*(E128-1))*F128</f>
        <v>0</v>
      </c>
    </row>
    <row r="129" spans="2:11" ht="14">
      <c r="B129" s="311" t="s">
        <v>454</v>
      </c>
      <c r="C129" s="312">
        <v>0</v>
      </c>
      <c r="D129" s="312">
        <f>C129*8</f>
        <v>0</v>
      </c>
      <c r="E129" s="313">
        <v>0</v>
      </c>
      <c r="F129" s="313">
        <v>0</v>
      </c>
      <c r="G129" s="314">
        <f>E129*D129*F129</f>
        <v>0</v>
      </c>
      <c r="H129" s="315">
        <v>0</v>
      </c>
      <c r="I129" s="315">
        <v>0</v>
      </c>
      <c r="J129" s="315">
        <v>0</v>
      </c>
      <c r="K129" s="316"/>
    </row>
    <row r="130" spans="2:11" ht="14">
      <c r="G130" s="319">
        <f>SUM(G126:G129)</f>
        <v>0</v>
      </c>
      <c r="H130" s="320"/>
      <c r="I130" s="320"/>
      <c r="J130" s="320"/>
      <c r="K130" s="321">
        <f>SUM(K126:K129)</f>
        <v>0</v>
      </c>
    </row>
    <row r="131" spans="2:11" ht="14">
      <c r="G131" s="336">
        <f>G130*25</f>
        <v>0</v>
      </c>
      <c r="K131" s="336">
        <f>K130*25</f>
        <v>0</v>
      </c>
    </row>
    <row r="132" spans="2:11" ht="14">
      <c r="B132" s="310" t="s">
        <v>455</v>
      </c>
      <c r="C132" s="310" t="s">
        <v>445</v>
      </c>
      <c r="D132" s="310" t="s">
        <v>456</v>
      </c>
    </row>
    <row r="133" spans="2:11" ht="14">
      <c r="B133" s="322" t="s">
        <v>457</v>
      </c>
      <c r="C133" s="323">
        <v>0</v>
      </c>
      <c r="D133" s="313">
        <f>C133/5</f>
        <v>0</v>
      </c>
    </row>
    <row r="134" spans="2:11" ht="14">
      <c r="B134" s="322" t="s">
        <v>458</v>
      </c>
      <c r="C134" s="323">
        <v>0</v>
      </c>
      <c r="D134" s="313">
        <f>C134/5</f>
        <v>0</v>
      </c>
    </row>
    <row r="135" spans="2:11" ht="14">
      <c r="B135" s="322" t="s">
        <v>459</v>
      </c>
      <c r="C135" s="323">
        <v>0</v>
      </c>
      <c r="D135" s="313">
        <f>C135/5</f>
        <v>0</v>
      </c>
    </row>
    <row r="136" spans="2:11" ht="14">
      <c r="B136" s="322" t="s">
        <v>460</v>
      </c>
      <c r="C136" s="323">
        <v>0</v>
      </c>
      <c r="D136" s="313">
        <f>C136/5</f>
        <v>0</v>
      </c>
    </row>
    <row r="137" spans="2:11" ht="14">
      <c r="B137" s="324" t="s">
        <v>461</v>
      </c>
      <c r="C137" s="325">
        <v>0</v>
      </c>
      <c r="D137" s="325">
        <f>SUM(D133:D136)</f>
        <v>0</v>
      </c>
    </row>
    <row r="139" spans="2:11" ht="14.5">
      <c r="B139" s="576" t="s">
        <v>484</v>
      </c>
      <c r="C139" s="577"/>
      <c r="D139" s="577"/>
      <c r="E139" s="577"/>
      <c r="F139" s="577"/>
      <c r="G139" s="577"/>
      <c r="H139" s="577"/>
      <c r="I139" s="577"/>
      <c r="J139" s="577"/>
      <c r="K139" s="577"/>
    </row>
    <row r="140" spans="2:11" ht="14.5">
      <c r="B140" s="573" t="s">
        <v>440</v>
      </c>
      <c r="C140" s="574" t="s">
        <v>441</v>
      </c>
      <c r="D140" s="574"/>
      <c r="E140" s="574"/>
      <c r="F140" s="574"/>
      <c r="G140" s="574"/>
      <c r="H140" s="575" t="s">
        <v>442</v>
      </c>
      <c r="I140" s="575"/>
      <c r="J140" s="575"/>
      <c r="K140" s="575"/>
    </row>
    <row r="141" spans="2:11" ht="14">
      <c r="B141" s="573"/>
      <c r="C141" s="310" t="s">
        <v>443</v>
      </c>
      <c r="D141" s="310" t="s">
        <v>444</v>
      </c>
      <c r="E141" s="310" t="s">
        <v>445</v>
      </c>
      <c r="F141" s="310" t="s">
        <v>446</v>
      </c>
      <c r="G141" s="310" t="s">
        <v>14</v>
      </c>
      <c r="H141" s="310" t="s">
        <v>447</v>
      </c>
      <c r="I141" s="310" t="s">
        <v>448</v>
      </c>
      <c r="J141" s="310" t="s">
        <v>449</v>
      </c>
      <c r="K141" s="310" t="s">
        <v>14</v>
      </c>
    </row>
    <row r="142" spans="2:11" ht="14">
      <c r="B142" s="311" t="s">
        <v>450</v>
      </c>
      <c r="C142" s="312">
        <v>0</v>
      </c>
      <c r="D142" s="312">
        <f>C142*8</f>
        <v>0</v>
      </c>
      <c r="E142" s="313">
        <v>0</v>
      </c>
      <c r="F142" s="313">
        <v>0</v>
      </c>
      <c r="G142" s="314">
        <f>E142*D142*F142</f>
        <v>0</v>
      </c>
      <c r="H142" s="315">
        <v>0</v>
      </c>
      <c r="I142" s="315">
        <v>0</v>
      </c>
      <c r="J142" s="315">
        <v>0</v>
      </c>
      <c r="K142" s="316">
        <f>(H142*F142*E142)+(I142*E142)+(J142*(E142-1))*F142</f>
        <v>0</v>
      </c>
    </row>
    <row r="143" spans="2:11" ht="14">
      <c r="B143" s="311" t="s">
        <v>451</v>
      </c>
      <c r="C143" s="312">
        <v>0</v>
      </c>
      <c r="D143" s="312">
        <f>C143*8</f>
        <v>0</v>
      </c>
      <c r="E143" s="313">
        <v>0</v>
      </c>
      <c r="F143" s="313">
        <v>0</v>
      </c>
      <c r="G143" s="314">
        <f>E143*D143*F143</f>
        <v>0</v>
      </c>
      <c r="H143" s="315">
        <v>0</v>
      </c>
      <c r="I143" s="315">
        <v>0</v>
      </c>
      <c r="J143" s="315">
        <v>0</v>
      </c>
      <c r="K143" s="316">
        <f>(H143*F143*E143)+(I143*E143)+(J143*(E143-1))*F143</f>
        <v>0</v>
      </c>
    </row>
    <row r="144" spans="2:11" ht="14">
      <c r="B144" s="311" t="s">
        <v>453</v>
      </c>
      <c r="C144" s="312">
        <v>0</v>
      </c>
      <c r="D144" s="312">
        <f>C144*8</f>
        <v>0</v>
      </c>
      <c r="E144" s="313">
        <v>0</v>
      </c>
      <c r="F144" s="313">
        <v>0</v>
      </c>
      <c r="G144" s="314">
        <f>E144*D144*F144</f>
        <v>0</v>
      </c>
      <c r="H144" s="315">
        <v>0</v>
      </c>
      <c r="I144" s="315">
        <v>0</v>
      </c>
      <c r="J144" s="315">
        <v>0</v>
      </c>
      <c r="K144" s="316">
        <f>(H144*F144*E144)+(I144*E144)+(J144*(E144-1))*F144</f>
        <v>0</v>
      </c>
    </row>
    <row r="145" spans="2:11" ht="14">
      <c r="B145" s="311" t="s">
        <v>454</v>
      </c>
      <c r="C145" s="312">
        <v>0</v>
      </c>
      <c r="D145" s="312">
        <f>C145*8</f>
        <v>0</v>
      </c>
      <c r="E145" s="313">
        <v>0</v>
      </c>
      <c r="F145" s="313">
        <v>0</v>
      </c>
      <c r="G145" s="314">
        <f>E145*D145*F145</f>
        <v>0</v>
      </c>
      <c r="H145" s="315">
        <v>0</v>
      </c>
      <c r="I145" s="315">
        <v>0</v>
      </c>
      <c r="J145" s="315">
        <v>0</v>
      </c>
      <c r="K145" s="316"/>
    </row>
    <row r="146" spans="2:11" ht="14">
      <c r="G146" s="319">
        <f>SUM(G142:G145)</f>
        <v>0</v>
      </c>
      <c r="H146" s="320"/>
      <c r="I146" s="320"/>
      <c r="J146" s="320"/>
      <c r="K146" s="321">
        <f>SUM(K142:K145)</f>
        <v>0</v>
      </c>
    </row>
    <row r="147" spans="2:11" ht="14">
      <c r="G147" s="336">
        <f>G146*25</f>
        <v>0</v>
      </c>
      <c r="K147" s="336">
        <f>K146*25</f>
        <v>0</v>
      </c>
    </row>
    <row r="148" spans="2:11" ht="14">
      <c r="B148" s="310" t="s">
        <v>455</v>
      </c>
      <c r="C148" s="310" t="s">
        <v>445</v>
      </c>
      <c r="D148" s="310" t="s">
        <v>456</v>
      </c>
    </row>
    <row r="149" spans="2:11" ht="14">
      <c r="B149" s="322" t="s">
        <v>457</v>
      </c>
      <c r="C149" s="323">
        <v>0</v>
      </c>
      <c r="D149" s="313">
        <f>C149/5</f>
        <v>0</v>
      </c>
    </row>
    <row r="150" spans="2:11" ht="14">
      <c r="B150" s="322" t="s">
        <v>458</v>
      </c>
      <c r="C150" s="323">
        <v>0</v>
      </c>
      <c r="D150" s="313">
        <f>C150/5</f>
        <v>0</v>
      </c>
    </row>
    <row r="151" spans="2:11" ht="14">
      <c r="B151" s="322" t="s">
        <v>459</v>
      </c>
      <c r="C151" s="323">
        <v>0</v>
      </c>
      <c r="D151" s="313">
        <f>C151/5</f>
        <v>0</v>
      </c>
    </row>
    <row r="152" spans="2:11" ht="14">
      <c r="B152" s="322" t="s">
        <v>460</v>
      </c>
      <c r="C152" s="323">
        <v>0</v>
      </c>
      <c r="D152" s="313">
        <f>C152/5</f>
        <v>0</v>
      </c>
    </row>
    <row r="153" spans="2:11" ht="14">
      <c r="B153" s="324" t="s">
        <v>461</v>
      </c>
      <c r="C153" s="325">
        <v>0</v>
      </c>
      <c r="D153" s="325">
        <f>SUM(D149:D152)</f>
        <v>0</v>
      </c>
    </row>
    <row r="158" spans="2:11" ht="18">
      <c r="B158" s="580" t="s">
        <v>464</v>
      </c>
      <c r="C158" s="580"/>
      <c r="D158" s="580"/>
      <c r="E158" s="580"/>
      <c r="F158" s="328"/>
    </row>
    <row r="159" spans="2:11" ht="14.5">
      <c r="B159" s="329" t="s">
        <v>465</v>
      </c>
      <c r="C159" s="329" t="s">
        <v>8</v>
      </c>
      <c r="D159" s="329" t="s">
        <v>466</v>
      </c>
      <c r="E159" s="329" t="s">
        <v>318</v>
      </c>
      <c r="F159" s="328"/>
    </row>
    <row r="160" spans="2:11" ht="14.5">
      <c r="B160" s="330" t="s">
        <v>467</v>
      </c>
      <c r="C160" s="331">
        <v>0</v>
      </c>
      <c r="D160" s="332">
        <v>0</v>
      </c>
      <c r="E160" s="332">
        <f t="shared" ref="E160:E166" si="1">D160*C160</f>
        <v>0</v>
      </c>
      <c r="F160" s="328"/>
    </row>
    <row r="161" spans="2:6" ht="14.5">
      <c r="B161" s="330" t="s">
        <v>468</v>
      </c>
      <c r="C161" s="331">
        <v>0</v>
      </c>
      <c r="D161" s="332">
        <v>0</v>
      </c>
      <c r="E161" s="332">
        <f t="shared" si="1"/>
        <v>0</v>
      </c>
      <c r="F161" s="328"/>
    </row>
    <row r="162" spans="2:6" ht="14.5">
      <c r="B162" s="330" t="s">
        <v>469</v>
      </c>
      <c r="C162" s="331">
        <v>0</v>
      </c>
      <c r="D162" s="332">
        <v>0</v>
      </c>
      <c r="E162" s="332">
        <f t="shared" si="1"/>
        <v>0</v>
      </c>
      <c r="F162" s="328"/>
    </row>
    <row r="163" spans="2:6" ht="14.5">
      <c r="B163" s="330" t="s">
        <v>470</v>
      </c>
      <c r="C163" s="331">
        <v>0</v>
      </c>
      <c r="D163" s="332">
        <v>0</v>
      </c>
      <c r="E163" s="332">
        <f t="shared" si="1"/>
        <v>0</v>
      </c>
      <c r="F163" s="328"/>
    </row>
    <row r="164" spans="2:6" ht="14.5">
      <c r="B164" s="330" t="s">
        <v>471</v>
      </c>
      <c r="C164" s="331">
        <v>0</v>
      </c>
      <c r="D164" s="332">
        <v>0</v>
      </c>
      <c r="E164" s="332">
        <f t="shared" si="1"/>
        <v>0</v>
      </c>
      <c r="F164" s="328"/>
    </row>
    <row r="165" spans="2:6" ht="14.5">
      <c r="B165" s="330" t="s">
        <v>472</v>
      </c>
      <c r="C165" s="331">
        <v>0</v>
      </c>
      <c r="D165" s="332">
        <v>0</v>
      </c>
      <c r="E165" s="332">
        <f t="shared" si="1"/>
        <v>0</v>
      </c>
      <c r="F165" s="328"/>
    </row>
    <row r="166" spans="2:6" ht="14.5">
      <c r="B166" s="330" t="s">
        <v>473</v>
      </c>
      <c r="C166" s="331">
        <v>0</v>
      </c>
      <c r="D166" s="332">
        <v>0</v>
      </c>
      <c r="E166" s="332">
        <f t="shared" si="1"/>
        <v>0</v>
      </c>
      <c r="F166" s="328"/>
    </row>
    <row r="167" spans="2:6" ht="14.5">
      <c r="B167" s="328"/>
      <c r="C167" s="328"/>
      <c r="D167" s="328"/>
      <c r="E167" s="328"/>
      <c r="F167" s="328"/>
    </row>
    <row r="168" spans="2:6" ht="14.5">
      <c r="B168" s="328"/>
      <c r="C168" s="328"/>
      <c r="D168" s="333" t="s">
        <v>14</v>
      </c>
      <c r="E168" s="334">
        <f>SUM(E160:E166)</f>
        <v>0</v>
      </c>
      <c r="F168" s="328">
        <f>E168/25</f>
        <v>0</v>
      </c>
    </row>
    <row r="169" spans="2:6" ht="14.5">
      <c r="B169" s="328"/>
      <c r="C169" s="328"/>
      <c r="D169" s="333"/>
      <c r="E169" s="334"/>
      <c r="F169" s="328"/>
    </row>
    <row r="170" spans="2:6" ht="18">
      <c r="B170" s="580" t="s">
        <v>474</v>
      </c>
      <c r="C170" s="580"/>
      <c r="D170" s="580"/>
      <c r="E170" s="580"/>
      <c r="F170" s="328"/>
    </row>
    <row r="171" spans="2:6" ht="14.5">
      <c r="B171" s="335" t="s">
        <v>475</v>
      </c>
      <c r="C171" s="329" t="s">
        <v>8</v>
      </c>
      <c r="D171" s="329" t="s">
        <v>466</v>
      </c>
      <c r="E171" s="329" t="s">
        <v>318</v>
      </c>
      <c r="F171" s="328"/>
    </row>
    <row r="172" spans="2:6" ht="14.5">
      <c r="B172" s="330" t="s">
        <v>476</v>
      </c>
      <c r="C172" s="331">
        <v>0</v>
      </c>
      <c r="D172" s="332">
        <v>0</v>
      </c>
      <c r="E172" s="332">
        <f>D172*C172</f>
        <v>0</v>
      </c>
      <c r="F172" s="328"/>
    </row>
    <row r="173" spans="2:6" ht="14.5">
      <c r="B173" s="330" t="s">
        <v>477</v>
      </c>
      <c r="C173" s="331">
        <v>0</v>
      </c>
      <c r="D173" s="332">
        <v>0</v>
      </c>
      <c r="E173" s="332">
        <f>D173*C173</f>
        <v>0</v>
      </c>
      <c r="F173" s="328"/>
    </row>
    <row r="174" spans="2:6" ht="14.5">
      <c r="B174" s="330" t="s">
        <v>478</v>
      </c>
      <c r="C174" s="331">
        <v>0</v>
      </c>
      <c r="D174" s="332">
        <v>0</v>
      </c>
      <c r="E174" s="332">
        <f>D174*C174</f>
        <v>0</v>
      </c>
      <c r="F174" s="328"/>
    </row>
    <row r="175" spans="2:6" ht="14.5">
      <c r="B175" s="330" t="s">
        <v>479</v>
      </c>
      <c r="C175" s="331">
        <v>0</v>
      </c>
      <c r="D175" s="332">
        <v>0</v>
      </c>
      <c r="E175" s="332">
        <f>D175*C175</f>
        <v>0</v>
      </c>
      <c r="F175" s="328"/>
    </row>
    <row r="176" spans="2:6" ht="14.5">
      <c r="B176" s="330" t="s">
        <v>480</v>
      </c>
      <c r="C176" s="331">
        <v>0</v>
      </c>
      <c r="D176" s="332">
        <v>0</v>
      </c>
      <c r="E176" s="332">
        <f>D176*C176</f>
        <v>0</v>
      </c>
      <c r="F176" s="328"/>
    </row>
    <row r="177" spans="2:6" ht="14.5">
      <c r="B177" s="328"/>
      <c r="C177" s="328"/>
      <c r="D177" s="328"/>
      <c r="E177" s="328"/>
      <c r="F177" s="328"/>
    </row>
    <row r="178" spans="2:6" ht="14.5">
      <c r="B178" s="328"/>
      <c r="C178" s="328"/>
      <c r="D178" s="333" t="s">
        <v>14</v>
      </c>
      <c r="E178" s="334">
        <f>SUM(E172:E176)</f>
        <v>0</v>
      </c>
      <c r="F178" s="328">
        <f>E178/25</f>
        <v>0</v>
      </c>
    </row>
  </sheetData>
  <mergeCells count="40">
    <mergeCell ref="B170:E170"/>
    <mergeCell ref="B108:B109"/>
    <mergeCell ref="C108:G108"/>
    <mergeCell ref="H108:K108"/>
    <mergeCell ref="B123:K123"/>
    <mergeCell ref="B124:B125"/>
    <mergeCell ref="C124:G124"/>
    <mergeCell ref="H124:K124"/>
    <mergeCell ref="B139:K139"/>
    <mergeCell ref="B140:B141"/>
    <mergeCell ref="C140:G140"/>
    <mergeCell ref="H140:K140"/>
    <mergeCell ref="B158:E158"/>
    <mergeCell ref="B107:K107"/>
    <mergeCell ref="B50:K50"/>
    <mergeCell ref="M50:N50"/>
    <mergeCell ref="B51:B52"/>
    <mergeCell ref="C51:G51"/>
    <mergeCell ref="H51:K51"/>
    <mergeCell ref="B69:E69"/>
    <mergeCell ref="B81:E81"/>
    <mergeCell ref="B91:K91"/>
    <mergeCell ref="B92:B93"/>
    <mergeCell ref="C92:G92"/>
    <mergeCell ref="H92:K92"/>
    <mergeCell ref="B35:B36"/>
    <mergeCell ref="C35:G35"/>
    <mergeCell ref="H35:L35"/>
    <mergeCell ref="B2:K2"/>
    <mergeCell ref="M2:N2"/>
    <mergeCell ref="B3:B4"/>
    <mergeCell ref="C3:G3"/>
    <mergeCell ref="H3:K3"/>
    <mergeCell ref="B18:K18"/>
    <mergeCell ref="M18:N18"/>
    <mergeCell ref="B19:B20"/>
    <mergeCell ref="C19:G19"/>
    <mergeCell ref="H19:K19"/>
    <mergeCell ref="B34:L34"/>
    <mergeCell ref="M34:N3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12FE-A2AF-40D9-B75F-1B9656FB7767}">
  <dimension ref="B1:M25"/>
  <sheetViews>
    <sheetView workbookViewId="0">
      <selection activeCell="I3" sqref="I3"/>
    </sheetView>
  </sheetViews>
  <sheetFormatPr defaultColWidth="14.453125" defaultRowHeight="15" customHeight="1"/>
  <cols>
    <col min="1" max="4" width="10.7265625" style="268" customWidth="1"/>
    <col min="5" max="5" width="12.7265625" style="268" customWidth="1"/>
    <col min="6" max="7" width="10.7265625" style="268" customWidth="1"/>
    <col min="8" max="8" width="16.7265625" style="268" customWidth="1"/>
    <col min="9" max="11" width="10.7265625" style="268" customWidth="1"/>
    <col min="12" max="12" width="21.453125" style="268" customWidth="1"/>
    <col min="13" max="13" width="14.453125" style="268" customWidth="1"/>
    <col min="14" max="26" width="10.7265625" style="268" customWidth="1"/>
    <col min="27" max="16384" width="14.453125" style="268"/>
  </cols>
  <sheetData>
    <row r="1" spans="2:13" ht="14.5">
      <c r="L1" s="267" t="s">
        <v>639</v>
      </c>
      <c r="M1" s="267" t="s">
        <v>486</v>
      </c>
    </row>
    <row r="2" spans="2:13" ht="14.5">
      <c r="C2" s="268" t="s">
        <v>424</v>
      </c>
      <c r="D2" s="267" t="s">
        <v>487</v>
      </c>
      <c r="E2" s="267" t="s">
        <v>488</v>
      </c>
      <c r="F2" s="267" t="s">
        <v>489</v>
      </c>
      <c r="G2" s="269" t="s">
        <v>490</v>
      </c>
      <c r="H2" s="269" t="s">
        <v>491</v>
      </c>
      <c r="I2" s="269" t="s">
        <v>492</v>
      </c>
      <c r="L2" s="269" t="s">
        <v>493</v>
      </c>
      <c r="M2" s="269">
        <v>100</v>
      </c>
    </row>
    <row r="3" spans="2:13" ht="14.5">
      <c r="C3" s="268">
        <v>225</v>
      </c>
      <c r="D3" s="267">
        <v>1</v>
      </c>
      <c r="E3" s="267">
        <v>36</v>
      </c>
      <c r="F3" s="267">
        <v>1</v>
      </c>
      <c r="G3" s="269">
        <f>+F3*E3*D3</f>
        <v>36</v>
      </c>
      <c r="H3" s="266">
        <v>0.6</v>
      </c>
      <c r="I3" s="269">
        <f>+H3*G3</f>
        <v>21.599999999999998</v>
      </c>
      <c r="L3" s="269" t="s">
        <v>494</v>
      </c>
      <c r="M3" s="269">
        <v>30</v>
      </c>
    </row>
    <row r="4" spans="2:13" ht="14.5">
      <c r="C4" s="268">
        <f>+C3/2</f>
        <v>112.5</v>
      </c>
      <c r="L4" s="269" t="s">
        <v>495</v>
      </c>
      <c r="M4" s="269">
        <v>40</v>
      </c>
    </row>
    <row r="5" spans="2:13" ht="14.5">
      <c r="L5" s="269" t="s">
        <v>496</v>
      </c>
      <c r="M5" s="269">
        <v>360</v>
      </c>
    </row>
    <row r="6" spans="2:13" ht="14.5">
      <c r="L6" s="269" t="s">
        <v>497</v>
      </c>
      <c r="M6" s="269">
        <v>35</v>
      </c>
    </row>
    <row r="7" spans="2:13" ht="14.5">
      <c r="B7" s="268" t="s">
        <v>498</v>
      </c>
      <c r="L7" s="269" t="s">
        <v>499</v>
      </c>
      <c r="M7" s="269">
        <v>35</v>
      </c>
    </row>
    <row r="8" spans="2:13" ht="14.5">
      <c r="B8" s="268" t="s">
        <v>500</v>
      </c>
      <c r="L8" s="269" t="s">
        <v>501</v>
      </c>
      <c r="M8" s="269">
        <v>35</v>
      </c>
    </row>
    <row r="9" spans="2:13" ht="14.5">
      <c r="L9" s="269" t="s">
        <v>502</v>
      </c>
      <c r="M9" s="269">
        <v>30</v>
      </c>
    </row>
    <row r="10" spans="2:13" ht="14.5">
      <c r="L10" s="269" t="s">
        <v>503</v>
      </c>
      <c r="M10" s="269">
        <v>10</v>
      </c>
    </row>
    <row r="11" spans="2:13" ht="14.5">
      <c r="L11" s="269" t="s">
        <v>504</v>
      </c>
      <c r="M11" s="269">
        <v>170</v>
      </c>
    </row>
    <row r="12" spans="2:13" ht="14.5">
      <c r="L12" s="269" t="s">
        <v>505</v>
      </c>
      <c r="M12" s="269">
        <v>400</v>
      </c>
    </row>
    <row r="13" spans="2:13" ht="14.5">
      <c r="L13" s="269" t="s">
        <v>506</v>
      </c>
      <c r="M13" s="269">
        <v>100</v>
      </c>
    </row>
    <row r="14" spans="2:13" ht="14.5">
      <c r="L14" s="269" t="s">
        <v>507</v>
      </c>
      <c r="M14" s="269">
        <v>164</v>
      </c>
    </row>
    <row r="15" spans="2:13" ht="14.5">
      <c r="L15" s="269" t="s">
        <v>508</v>
      </c>
      <c r="M15" s="269">
        <v>210</v>
      </c>
    </row>
    <row r="16" spans="2:13" ht="14.5">
      <c r="L16" s="429" t="s">
        <v>509</v>
      </c>
      <c r="M16" s="429">
        <v>36</v>
      </c>
    </row>
    <row r="17" spans="12:13" ht="14.5">
      <c r="L17" s="269" t="s">
        <v>510</v>
      </c>
      <c r="M17" s="269">
        <v>46</v>
      </c>
    </row>
    <row r="18" spans="12:13" ht="14.5">
      <c r="L18" s="269" t="s">
        <v>511</v>
      </c>
      <c r="M18" s="269">
        <v>420</v>
      </c>
    </row>
    <row r="19" spans="12:13" ht="14.5">
      <c r="L19" s="269" t="s">
        <v>512</v>
      </c>
      <c r="M19" s="269">
        <v>350</v>
      </c>
    </row>
    <row r="20" spans="12:13" ht="14.5">
      <c r="L20" s="269" t="s">
        <v>513</v>
      </c>
      <c r="M20" s="269">
        <v>700</v>
      </c>
    </row>
    <row r="21" spans="12:13" ht="14.5">
      <c r="L21" s="269" t="s">
        <v>514</v>
      </c>
      <c r="M21" s="269">
        <v>34</v>
      </c>
    </row>
    <row r="22" spans="12:13" ht="14.5">
      <c r="L22" s="269" t="s">
        <v>515</v>
      </c>
      <c r="M22" s="269">
        <v>85</v>
      </c>
    </row>
    <row r="24" spans="12:13" ht="15" customHeight="1">
      <c r="L24" s="450" t="s">
        <v>640</v>
      </c>
    </row>
    <row r="25" spans="12:13" ht="15" customHeight="1">
      <c r="L25" s="450" t="s">
        <v>641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C563-4DF3-4125-89E8-6BFA937A0306}">
  <sheetPr>
    <tabColor rgb="FF92D050"/>
  </sheetPr>
  <dimension ref="A1:R30"/>
  <sheetViews>
    <sheetView showGridLines="0" zoomScale="90" zoomScaleNormal="90" workbookViewId="0">
      <selection activeCell="L32" sqref="L32"/>
    </sheetView>
  </sheetViews>
  <sheetFormatPr defaultColWidth="9.1796875" defaultRowHeight="12.5"/>
  <cols>
    <col min="1" max="1" width="56.453125" customWidth="1"/>
    <col min="2" max="2" width="13.81640625" customWidth="1"/>
    <col min="3" max="3" width="8.7265625" customWidth="1"/>
    <col min="4" max="4" width="15.81640625" customWidth="1"/>
    <col min="5" max="5" width="25" customWidth="1"/>
    <col min="6" max="6" width="10.7265625" bestFit="1" customWidth="1"/>
    <col min="7" max="7" width="10.26953125" bestFit="1" customWidth="1"/>
    <col min="8" max="8" width="11.26953125" bestFit="1" customWidth="1"/>
    <col min="9" max="9" width="12.81640625" customWidth="1"/>
    <col min="10" max="10" width="14" bestFit="1" customWidth="1"/>
    <col min="11" max="11" width="17.7265625" customWidth="1"/>
    <col min="12" max="12" width="15.453125" bestFit="1" customWidth="1"/>
    <col min="13" max="13" width="15.26953125" customWidth="1"/>
    <col min="14" max="14" width="15.1796875" customWidth="1"/>
    <col min="15" max="15" width="19.1796875" customWidth="1"/>
    <col min="16" max="16" width="16.7265625" customWidth="1"/>
    <col min="18" max="18" width="25.54296875" customWidth="1"/>
  </cols>
  <sheetData>
    <row r="1" spans="1:15" ht="15.5">
      <c r="A1" s="557" t="s">
        <v>355</v>
      </c>
      <c r="B1" s="557"/>
      <c r="C1" s="557"/>
      <c r="D1" s="557"/>
      <c r="E1" s="306">
        <f>+Equipos!E1</f>
        <v>0</v>
      </c>
    </row>
    <row r="2" spans="1:15">
      <c r="A2" s="1"/>
      <c r="B2" s="1"/>
      <c r="C2" s="1"/>
      <c r="D2" s="1"/>
      <c r="E2" s="2"/>
    </row>
    <row r="3" spans="1:15" ht="13">
      <c r="A3" s="560" t="s">
        <v>217</v>
      </c>
      <c r="B3" s="560"/>
      <c r="C3" s="560"/>
      <c r="D3" s="560"/>
      <c r="E3" s="560"/>
      <c r="F3" s="5" t="s">
        <v>357</v>
      </c>
      <c r="G3" s="5" t="s">
        <v>358</v>
      </c>
      <c r="H3" s="5" t="s">
        <v>320</v>
      </c>
      <c r="I3" s="5" t="s">
        <v>359</v>
      </c>
      <c r="J3" s="21" t="s">
        <v>360</v>
      </c>
      <c r="K3" s="205" t="s">
        <v>361</v>
      </c>
      <c r="L3" s="22" t="s">
        <v>247</v>
      </c>
      <c r="M3" s="23" t="s">
        <v>362</v>
      </c>
      <c r="N3" s="24" t="s">
        <v>312</v>
      </c>
      <c r="O3" s="24" t="s">
        <v>312</v>
      </c>
    </row>
    <row r="4" spans="1:15" ht="13">
      <c r="A4" s="27" t="s">
        <v>0</v>
      </c>
      <c r="B4" s="27"/>
      <c r="C4" s="27" t="s">
        <v>1</v>
      </c>
      <c r="D4" s="27" t="s">
        <v>364</v>
      </c>
      <c r="E4" s="27" t="s">
        <v>365</v>
      </c>
      <c r="F4" s="6">
        <v>0.1</v>
      </c>
      <c r="G4" s="7">
        <v>0</v>
      </c>
      <c r="H4" s="6">
        <v>0.13</v>
      </c>
      <c r="I4" s="203">
        <v>0.14000000000000001</v>
      </c>
      <c r="J4" s="23" t="s">
        <v>366</v>
      </c>
      <c r="K4" s="209">
        <v>0.03</v>
      </c>
      <c r="L4" s="25" t="s">
        <v>377</v>
      </c>
      <c r="M4" s="26">
        <v>0.3</v>
      </c>
      <c r="N4" s="191" t="s">
        <v>367</v>
      </c>
      <c r="O4" s="24" t="s">
        <v>14</v>
      </c>
    </row>
    <row r="5" spans="1:15" s="15" customFormat="1" ht="13">
      <c r="A5" s="77" t="s">
        <v>368</v>
      </c>
      <c r="B5" s="208" t="s">
        <v>363</v>
      </c>
      <c r="C5" s="72"/>
      <c r="D5" s="72"/>
      <c r="E5" s="72"/>
      <c r="F5" s="76"/>
      <c r="G5" s="132"/>
      <c r="H5" s="76"/>
      <c r="I5" s="76"/>
      <c r="J5" s="75"/>
      <c r="K5" s="75"/>
      <c r="L5" s="75"/>
      <c r="M5" s="76"/>
      <c r="N5" s="75"/>
      <c r="O5" s="75"/>
    </row>
    <row r="6" spans="1:15">
      <c r="A6" s="412"/>
      <c r="B6" s="407" t="s">
        <v>375</v>
      </c>
      <c r="C6" s="423">
        <v>0</v>
      </c>
      <c r="D6" s="422">
        <v>0</v>
      </c>
      <c r="E6" s="409">
        <f t="shared" ref="E6:E13" si="0">+D6*C6</f>
        <v>0</v>
      </c>
      <c r="F6" s="401">
        <f t="shared" ref="F6:F22" si="1">IF(B6="si",D6*$F$4,0)</f>
        <v>0</v>
      </c>
      <c r="G6" s="411">
        <f t="shared" ref="G6:G13" si="2">(D6+F6)*$G$4</f>
        <v>0</v>
      </c>
      <c r="H6" s="411">
        <f t="shared" ref="H6:H13" si="3">(D6+F6+G6)*$H$4</f>
        <v>0</v>
      </c>
      <c r="I6" s="401">
        <f t="shared" ref="I6:I22" si="4">IF(B6="si",(D6+F6+G6+H6)*$I$4,0)</f>
        <v>0</v>
      </c>
      <c r="J6" s="411">
        <f t="shared" ref="J6:J13" si="5">D6+F6+G6+H6+I6</f>
        <v>0</v>
      </c>
      <c r="K6" s="401">
        <f t="shared" ref="K6:K22" si="6">J6*$K$4</f>
        <v>0</v>
      </c>
      <c r="L6" s="403">
        <f t="shared" ref="L6:L22" si="7">(J6+K6)*C6</f>
        <v>0</v>
      </c>
      <c r="M6" s="411">
        <f>(J6+K6)*$M$4/(1-$M$4)</f>
        <v>0</v>
      </c>
      <c r="N6" s="411">
        <f>M6+J6+K6</f>
        <v>0</v>
      </c>
      <c r="O6" s="411">
        <f t="shared" ref="O6:O13" si="8">N6*C6</f>
        <v>0</v>
      </c>
    </row>
    <row r="7" spans="1:15">
      <c r="A7" s="412"/>
      <c r="B7" s="407" t="s">
        <v>375</v>
      </c>
      <c r="C7" s="423">
        <v>0</v>
      </c>
      <c r="D7" s="422">
        <v>0</v>
      </c>
      <c r="E7" s="409">
        <f t="shared" si="0"/>
        <v>0</v>
      </c>
      <c r="F7" s="401">
        <f t="shared" si="1"/>
        <v>0</v>
      </c>
      <c r="G7" s="411">
        <f t="shared" si="2"/>
        <v>0</v>
      </c>
      <c r="H7" s="411">
        <f t="shared" si="3"/>
        <v>0</v>
      </c>
      <c r="I7" s="401">
        <f t="shared" si="4"/>
        <v>0</v>
      </c>
      <c r="J7" s="411">
        <f t="shared" si="5"/>
        <v>0</v>
      </c>
      <c r="K7" s="401">
        <f t="shared" si="6"/>
        <v>0</v>
      </c>
      <c r="L7" s="403">
        <f t="shared" si="7"/>
        <v>0</v>
      </c>
      <c r="M7" s="411">
        <f t="shared" ref="M7:M22" si="9">(J7+K7)*$M$4/(1-$M$4)</f>
        <v>0</v>
      </c>
      <c r="N7" s="411">
        <f t="shared" ref="N7:N22" si="10">M7+J7+K7</f>
        <v>0</v>
      </c>
      <c r="O7" s="411">
        <f t="shared" si="8"/>
        <v>0</v>
      </c>
    </row>
    <row r="8" spans="1:15">
      <c r="A8" s="412"/>
      <c r="B8" s="407" t="s">
        <v>375</v>
      </c>
      <c r="C8" s="423">
        <v>0</v>
      </c>
      <c r="D8" s="422">
        <v>0</v>
      </c>
      <c r="E8" s="409">
        <f t="shared" si="0"/>
        <v>0</v>
      </c>
      <c r="F8" s="401">
        <f t="shared" si="1"/>
        <v>0</v>
      </c>
      <c r="G8" s="411">
        <f t="shared" si="2"/>
        <v>0</v>
      </c>
      <c r="H8" s="411">
        <f t="shared" si="3"/>
        <v>0</v>
      </c>
      <c r="I8" s="401">
        <f t="shared" si="4"/>
        <v>0</v>
      </c>
      <c r="J8" s="411">
        <f t="shared" si="5"/>
        <v>0</v>
      </c>
      <c r="K8" s="401">
        <f t="shared" si="6"/>
        <v>0</v>
      </c>
      <c r="L8" s="403">
        <f t="shared" si="7"/>
        <v>0</v>
      </c>
      <c r="M8" s="411">
        <f t="shared" si="9"/>
        <v>0</v>
      </c>
      <c r="N8" s="411">
        <f t="shared" si="10"/>
        <v>0</v>
      </c>
      <c r="O8" s="411">
        <f t="shared" si="8"/>
        <v>0</v>
      </c>
    </row>
    <row r="9" spans="1:15">
      <c r="A9" s="412"/>
      <c r="B9" s="407" t="s">
        <v>375</v>
      </c>
      <c r="C9" s="423">
        <v>0</v>
      </c>
      <c r="D9" s="422">
        <v>0</v>
      </c>
      <c r="E9" s="409">
        <f t="shared" ref="E9:E11" si="11">+D9*C9</f>
        <v>0</v>
      </c>
      <c r="F9" s="401">
        <f t="shared" ref="F9:F11" si="12">IF(B9="si",D9*$F$4,0)</f>
        <v>0</v>
      </c>
      <c r="G9" s="411">
        <f t="shared" ref="G9:G11" si="13">(D9+F9)*$G$4</f>
        <v>0</v>
      </c>
      <c r="H9" s="411">
        <f t="shared" ref="H9:H11" si="14">(D9+F9+G9)*$H$4</f>
        <v>0</v>
      </c>
      <c r="I9" s="401">
        <f t="shared" ref="I9:I11" si="15">IF(B9="si",(D9+F9+G9+H9)*$I$4,0)</f>
        <v>0</v>
      </c>
      <c r="J9" s="411">
        <f t="shared" ref="J9:J11" si="16">D9+F9+G9+H9+I9</f>
        <v>0</v>
      </c>
      <c r="K9" s="401">
        <f t="shared" ref="K9:K11" si="17">J9*$K$4</f>
        <v>0</v>
      </c>
      <c r="L9" s="403">
        <f t="shared" si="7"/>
        <v>0</v>
      </c>
      <c r="M9" s="411">
        <f t="shared" si="9"/>
        <v>0</v>
      </c>
      <c r="N9" s="411">
        <f t="shared" si="10"/>
        <v>0</v>
      </c>
      <c r="O9" s="411">
        <f t="shared" ref="O9:O11" si="18">N9*C9</f>
        <v>0</v>
      </c>
    </row>
    <row r="10" spans="1:15">
      <c r="A10" s="412"/>
      <c r="B10" s="407" t="s">
        <v>375</v>
      </c>
      <c r="C10" s="423">
        <v>0</v>
      </c>
      <c r="D10" s="422">
        <v>0</v>
      </c>
      <c r="E10" s="409">
        <f t="shared" si="11"/>
        <v>0</v>
      </c>
      <c r="F10" s="401">
        <f t="shared" si="12"/>
        <v>0</v>
      </c>
      <c r="G10" s="411">
        <f t="shared" si="13"/>
        <v>0</v>
      </c>
      <c r="H10" s="411">
        <f t="shared" si="14"/>
        <v>0</v>
      </c>
      <c r="I10" s="401">
        <f t="shared" si="15"/>
        <v>0</v>
      </c>
      <c r="J10" s="411">
        <f t="shared" si="16"/>
        <v>0</v>
      </c>
      <c r="K10" s="401">
        <f t="shared" si="17"/>
        <v>0</v>
      </c>
      <c r="L10" s="403">
        <f t="shared" si="7"/>
        <v>0</v>
      </c>
      <c r="M10" s="411">
        <f t="shared" si="9"/>
        <v>0</v>
      </c>
      <c r="N10" s="411">
        <f t="shared" si="10"/>
        <v>0</v>
      </c>
      <c r="O10" s="411">
        <f t="shared" si="18"/>
        <v>0</v>
      </c>
    </row>
    <row r="11" spans="1:15">
      <c r="A11" s="412"/>
      <c r="B11" s="407" t="s">
        <v>375</v>
      </c>
      <c r="C11" s="423">
        <v>0</v>
      </c>
      <c r="D11" s="422">
        <v>0</v>
      </c>
      <c r="E11" s="409">
        <f t="shared" si="11"/>
        <v>0</v>
      </c>
      <c r="F11" s="401">
        <f t="shared" si="12"/>
        <v>0</v>
      </c>
      <c r="G11" s="411">
        <f t="shared" si="13"/>
        <v>0</v>
      </c>
      <c r="H11" s="411">
        <f t="shared" si="14"/>
        <v>0</v>
      </c>
      <c r="I11" s="401">
        <f t="shared" si="15"/>
        <v>0</v>
      </c>
      <c r="J11" s="411">
        <f t="shared" si="16"/>
        <v>0</v>
      </c>
      <c r="K11" s="401">
        <f t="shared" si="17"/>
        <v>0</v>
      </c>
      <c r="L11" s="403">
        <f t="shared" si="7"/>
        <v>0</v>
      </c>
      <c r="M11" s="411">
        <f t="shared" si="9"/>
        <v>0</v>
      </c>
      <c r="N11" s="411">
        <f t="shared" si="10"/>
        <v>0</v>
      </c>
      <c r="O11" s="411">
        <f t="shared" si="18"/>
        <v>0</v>
      </c>
    </row>
    <row r="12" spans="1:15">
      <c r="A12" s="412"/>
      <c r="B12" s="407" t="s">
        <v>375</v>
      </c>
      <c r="C12" s="423">
        <v>0</v>
      </c>
      <c r="D12" s="422">
        <v>0</v>
      </c>
      <c r="E12" s="409">
        <f t="shared" ref="E12" si="19">+D12*C12</f>
        <v>0</v>
      </c>
      <c r="F12" s="401">
        <f t="shared" ref="F12" si="20">IF(B12="si",D12*$F$4,0)</f>
        <v>0</v>
      </c>
      <c r="G12" s="411">
        <f t="shared" ref="G12" si="21">(D12+F12)*$G$4</f>
        <v>0</v>
      </c>
      <c r="H12" s="411">
        <f t="shared" ref="H12" si="22">(D12+F12+G12)*$H$4</f>
        <v>0</v>
      </c>
      <c r="I12" s="401">
        <f t="shared" ref="I12" si="23">IF(B12="si",(D12+F12+G12+H12)*$I$4,0)</f>
        <v>0</v>
      </c>
      <c r="J12" s="411">
        <f t="shared" ref="J12" si="24">D12+F12+G12+H12+I12</f>
        <v>0</v>
      </c>
      <c r="K12" s="401">
        <f t="shared" ref="K12" si="25">J12*$K$4</f>
        <v>0</v>
      </c>
      <c r="L12" s="403">
        <f t="shared" si="7"/>
        <v>0</v>
      </c>
      <c r="M12" s="411">
        <f t="shared" si="9"/>
        <v>0</v>
      </c>
      <c r="N12" s="411">
        <f t="shared" si="10"/>
        <v>0</v>
      </c>
      <c r="O12" s="411">
        <f t="shared" ref="O12" si="26">N12*C12</f>
        <v>0</v>
      </c>
    </row>
    <row r="13" spans="1:15">
      <c r="A13" s="412"/>
      <c r="B13" s="407" t="s">
        <v>375</v>
      </c>
      <c r="C13" s="423">
        <v>0</v>
      </c>
      <c r="D13" s="422">
        <v>0</v>
      </c>
      <c r="E13" s="409">
        <f t="shared" si="0"/>
        <v>0</v>
      </c>
      <c r="F13" s="401">
        <f t="shared" si="1"/>
        <v>0</v>
      </c>
      <c r="G13" s="411">
        <f t="shared" si="2"/>
        <v>0</v>
      </c>
      <c r="H13" s="411">
        <f t="shared" si="3"/>
        <v>0</v>
      </c>
      <c r="I13" s="401">
        <f t="shared" si="4"/>
        <v>0</v>
      </c>
      <c r="J13" s="411">
        <f t="shared" si="5"/>
        <v>0</v>
      </c>
      <c r="K13" s="401">
        <f t="shared" si="6"/>
        <v>0</v>
      </c>
      <c r="L13" s="403">
        <f t="shared" si="7"/>
        <v>0</v>
      </c>
      <c r="M13" s="411">
        <f t="shared" si="9"/>
        <v>0</v>
      </c>
      <c r="N13" s="411">
        <f t="shared" si="10"/>
        <v>0</v>
      </c>
      <c r="O13" s="411">
        <f t="shared" si="8"/>
        <v>0</v>
      </c>
    </row>
    <row r="14" spans="1:15">
      <c r="A14" s="210"/>
      <c r="B14" s="407" t="s">
        <v>375</v>
      </c>
      <c r="C14" s="423">
        <v>0</v>
      </c>
      <c r="D14" s="422">
        <v>0</v>
      </c>
      <c r="E14" s="409">
        <f t="shared" ref="E14" si="27">+D14*C14</f>
        <v>0</v>
      </c>
      <c r="F14" s="401">
        <f t="shared" ref="F14" si="28">IF(B14="si",D14*$F$4,0)</f>
        <v>0</v>
      </c>
      <c r="G14" s="411">
        <f t="shared" ref="G14" si="29">(D14+F14)*$G$4</f>
        <v>0</v>
      </c>
      <c r="H14" s="411">
        <f t="shared" ref="H14" si="30">(D14+F14+G14)*$H$4</f>
        <v>0</v>
      </c>
      <c r="I14" s="401">
        <f t="shared" ref="I14" si="31">IF(B14="si",(D14+F14+G14+H14)*$I$4,0)</f>
        <v>0</v>
      </c>
      <c r="J14" s="411">
        <f t="shared" ref="J14" si="32">D14+F14+G14+H14+I14</f>
        <v>0</v>
      </c>
      <c r="K14" s="401">
        <f t="shared" ref="K14" si="33">J14*$K$4</f>
        <v>0</v>
      </c>
      <c r="L14" s="403">
        <f t="shared" si="7"/>
        <v>0</v>
      </c>
      <c r="M14" s="411">
        <f t="shared" si="9"/>
        <v>0</v>
      </c>
      <c r="N14" s="411">
        <f t="shared" si="10"/>
        <v>0</v>
      </c>
      <c r="O14" s="411">
        <f t="shared" ref="O14" si="34">N14*C14</f>
        <v>0</v>
      </c>
    </row>
    <row r="15" spans="1:15" ht="13">
      <c r="A15" s="78" t="s">
        <v>378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</row>
    <row r="16" spans="1:15">
      <c r="A16" s="407"/>
      <c r="B16" s="407" t="s">
        <v>375</v>
      </c>
      <c r="C16" s="423">
        <v>0</v>
      </c>
      <c r="D16" s="422">
        <v>0</v>
      </c>
      <c r="E16" s="402">
        <f>+C16*D16*(1-C25)</f>
        <v>0</v>
      </c>
      <c r="F16" s="401">
        <f t="shared" si="1"/>
        <v>0</v>
      </c>
      <c r="G16" s="401">
        <f t="shared" ref="G16:G20" si="35">(D16+F16)*$G$4</f>
        <v>0</v>
      </c>
      <c r="H16" s="401">
        <f t="shared" ref="H16:H20" si="36">(D16+F16+G16)*$H$4</f>
        <v>0</v>
      </c>
      <c r="I16" s="401">
        <f t="shared" si="4"/>
        <v>0</v>
      </c>
      <c r="J16" s="401">
        <f t="shared" ref="J16:J20" si="37">D16+F16+G16+H16+I16</f>
        <v>0</v>
      </c>
      <c r="K16" s="401">
        <f t="shared" si="6"/>
        <v>0</v>
      </c>
      <c r="L16" s="403">
        <f t="shared" si="7"/>
        <v>0</v>
      </c>
      <c r="M16" s="411">
        <f t="shared" si="9"/>
        <v>0</v>
      </c>
      <c r="N16" s="411">
        <f t="shared" si="10"/>
        <v>0</v>
      </c>
      <c r="O16" s="401">
        <f t="shared" ref="O16:O20" si="38">N16*C16</f>
        <v>0</v>
      </c>
    </row>
    <row r="17" spans="1:18">
      <c r="A17" s="413"/>
      <c r="B17" s="407" t="s">
        <v>375</v>
      </c>
      <c r="C17" s="423">
        <v>0</v>
      </c>
      <c r="D17" s="422">
        <v>0</v>
      </c>
      <c r="E17" s="402">
        <f>+C17*D17</f>
        <v>0</v>
      </c>
      <c r="F17" s="401">
        <f t="shared" si="1"/>
        <v>0</v>
      </c>
      <c r="G17" s="401">
        <f t="shared" si="35"/>
        <v>0</v>
      </c>
      <c r="H17" s="401">
        <f t="shared" si="36"/>
        <v>0</v>
      </c>
      <c r="I17" s="401">
        <f t="shared" si="4"/>
        <v>0</v>
      </c>
      <c r="J17" s="401">
        <f t="shared" si="37"/>
        <v>0</v>
      </c>
      <c r="K17" s="401">
        <f t="shared" si="6"/>
        <v>0</v>
      </c>
      <c r="L17" s="403">
        <f t="shared" si="7"/>
        <v>0</v>
      </c>
      <c r="M17" s="411">
        <f t="shared" si="9"/>
        <v>0</v>
      </c>
      <c r="N17" s="411">
        <f t="shared" si="10"/>
        <v>0</v>
      </c>
      <c r="O17" s="401">
        <f t="shared" si="38"/>
        <v>0</v>
      </c>
    </row>
    <row r="18" spans="1:18">
      <c r="A18" s="413"/>
      <c r="B18" s="407" t="s">
        <v>375</v>
      </c>
      <c r="C18" s="423">
        <v>0</v>
      </c>
      <c r="D18" s="422">
        <v>0</v>
      </c>
      <c r="E18" s="402">
        <f>+C18*D18</f>
        <v>0</v>
      </c>
      <c r="F18" s="401">
        <f t="shared" si="1"/>
        <v>0</v>
      </c>
      <c r="G18" s="401">
        <f t="shared" si="35"/>
        <v>0</v>
      </c>
      <c r="H18" s="401">
        <f t="shared" si="36"/>
        <v>0</v>
      </c>
      <c r="I18" s="401">
        <f t="shared" si="4"/>
        <v>0</v>
      </c>
      <c r="J18" s="401">
        <f t="shared" si="37"/>
        <v>0</v>
      </c>
      <c r="K18" s="401">
        <f t="shared" si="6"/>
        <v>0</v>
      </c>
      <c r="L18" s="403">
        <f t="shared" si="7"/>
        <v>0</v>
      </c>
      <c r="M18" s="411">
        <f t="shared" si="9"/>
        <v>0</v>
      </c>
      <c r="N18" s="411">
        <f t="shared" si="10"/>
        <v>0</v>
      </c>
      <c r="O18" s="401">
        <f t="shared" si="38"/>
        <v>0</v>
      </c>
    </row>
    <row r="19" spans="1:18">
      <c r="A19" s="414"/>
      <c r="B19" s="407" t="s">
        <v>375</v>
      </c>
      <c r="C19" s="423">
        <v>0</v>
      </c>
      <c r="D19" s="422">
        <v>0</v>
      </c>
      <c r="E19" s="402">
        <f>+C19*D19</f>
        <v>0</v>
      </c>
      <c r="F19" s="401">
        <f t="shared" si="1"/>
        <v>0</v>
      </c>
      <c r="G19" s="401">
        <f t="shared" si="35"/>
        <v>0</v>
      </c>
      <c r="H19" s="401">
        <f t="shared" si="36"/>
        <v>0</v>
      </c>
      <c r="I19" s="401">
        <f t="shared" si="4"/>
        <v>0</v>
      </c>
      <c r="J19" s="401">
        <f t="shared" si="37"/>
        <v>0</v>
      </c>
      <c r="K19" s="401">
        <f t="shared" si="6"/>
        <v>0</v>
      </c>
      <c r="L19" s="403">
        <f t="shared" si="7"/>
        <v>0</v>
      </c>
      <c r="M19" s="411">
        <f t="shared" si="9"/>
        <v>0</v>
      </c>
      <c r="N19" s="411">
        <f t="shared" si="10"/>
        <v>0</v>
      </c>
      <c r="O19" s="401">
        <f t="shared" si="38"/>
        <v>0</v>
      </c>
    </row>
    <row r="20" spans="1:18">
      <c r="A20" s="414"/>
      <c r="B20" s="407" t="s">
        <v>375</v>
      </c>
      <c r="C20" s="423">
        <v>0</v>
      </c>
      <c r="D20" s="422">
        <v>0</v>
      </c>
      <c r="E20" s="402">
        <f>+C20*D20</f>
        <v>0</v>
      </c>
      <c r="F20" s="401">
        <f t="shared" si="1"/>
        <v>0</v>
      </c>
      <c r="G20" s="401">
        <f t="shared" si="35"/>
        <v>0</v>
      </c>
      <c r="H20" s="401">
        <f t="shared" si="36"/>
        <v>0</v>
      </c>
      <c r="I20" s="401">
        <f t="shared" si="4"/>
        <v>0</v>
      </c>
      <c r="J20" s="401">
        <f t="shared" si="37"/>
        <v>0</v>
      </c>
      <c r="K20" s="401">
        <f t="shared" si="6"/>
        <v>0</v>
      </c>
      <c r="L20" s="403">
        <f t="shared" si="7"/>
        <v>0</v>
      </c>
      <c r="M20" s="411">
        <f t="shared" si="9"/>
        <v>0</v>
      </c>
      <c r="N20" s="411">
        <f t="shared" si="10"/>
        <v>0</v>
      </c>
      <c r="O20" s="401">
        <f t="shared" si="38"/>
        <v>0</v>
      </c>
    </row>
    <row r="21" spans="1:18" ht="13">
      <c r="A21" s="77" t="s">
        <v>370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</row>
    <row r="22" spans="1:18">
      <c r="A22" s="404"/>
      <c r="B22" s="407" t="s">
        <v>375</v>
      </c>
      <c r="C22" s="423">
        <v>0</v>
      </c>
      <c r="D22" s="422">
        <v>0</v>
      </c>
      <c r="E22" s="402">
        <f>+C22*D22</f>
        <v>0</v>
      </c>
      <c r="F22" s="401">
        <f t="shared" si="1"/>
        <v>0</v>
      </c>
      <c r="G22" s="401">
        <f t="shared" ref="G22" si="39">(D22+F22)*$G$4</f>
        <v>0</v>
      </c>
      <c r="H22" s="401">
        <f t="shared" ref="H22" si="40">(D22+F22+G22)*$H$4</f>
        <v>0</v>
      </c>
      <c r="I22" s="401">
        <f t="shared" si="4"/>
        <v>0</v>
      </c>
      <c r="J22" s="401">
        <f t="shared" ref="J22" si="41">D22+F22+G22+H22+I22</f>
        <v>0</v>
      </c>
      <c r="K22" s="401">
        <f t="shared" si="6"/>
        <v>0</v>
      </c>
      <c r="L22" s="403">
        <f t="shared" si="7"/>
        <v>0</v>
      </c>
      <c r="M22" s="411">
        <f t="shared" si="9"/>
        <v>0</v>
      </c>
      <c r="N22" s="411">
        <f t="shared" si="10"/>
        <v>0</v>
      </c>
      <c r="O22" s="401">
        <f t="shared" ref="O22" si="42">N22*C22</f>
        <v>0</v>
      </c>
    </row>
    <row r="23" spans="1:18">
      <c r="A23" s="131"/>
      <c r="B23" s="131"/>
      <c r="C23" s="11"/>
      <c r="D23" s="130"/>
      <c r="E23" s="18"/>
      <c r="F23" s="9"/>
      <c r="G23" s="9"/>
      <c r="H23" s="9"/>
      <c r="I23" s="9"/>
      <c r="J23" s="9"/>
      <c r="K23" s="9"/>
      <c r="L23" s="149"/>
      <c r="M23" s="9"/>
      <c r="N23" s="9"/>
      <c r="O23" s="9"/>
      <c r="Q23" s="4"/>
    </row>
    <row r="24" spans="1:18" ht="13">
      <c r="A24" s="12"/>
      <c r="B24" s="12"/>
      <c r="C24" s="13"/>
      <c r="D24" s="14" t="s">
        <v>371</v>
      </c>
      <c r="E24" s="14">
        <f>SUM(E6:E22)</f>
        <v>0</v>
      </c>
      <c r="F24" s="15"/>
      <c r="G24" s="15"/>
      <c r="H24" s="15"/>
      <c r="I24" s="15"/>
      <c r="J24" s="16" t="s">
        <v>372</v>
      </c>
      <c r="K24" s="16"/>
      <c r="L24" s="14">
        <f>SUM(L6:L22)</f>
        <v>0</v>
      </c>
      <c r="M24" s="15"/>
      <c r="N24" s="16" t="s">
        <v>373</v>
      </c>
      <c r="O24" s="14">
        <f>SUM(O6:O22)</f>
        <v>0</v>
      </c>
      <c r="Q24" s="4"/>
      <c r="R24" s="3"/>
    </row>
    <row r="25" spans="1:18" ht="13">
      <c r="A25" s="34"/>
      <c r="B25" s="34"/>
      <c r="C25" s="194"/>
      <c r="D25" s="15"/>
      <c r="E25" s="18"/>
      <c r="F25" s="15"/>
      <c r="G25" s="15"/>
      <c r="H25" s="15"/>
      <c r="I25" s="15"/>
      <c r="J25" s="15"/>
      <c r="K25" s="15"/>
      <c r="L25" s="15"/>
      <c r="M25" s="15"/>
      <c r="N25" s="19" t="s">
        <v>374</v>
      </c>
      <c r="O25" s="20">
        <f>O24-L24</f>
        <v>0</v>
      </c>
      <c r="Q25" s="4"/>
      <c r="R25" s="3"/>
    </row>
    <row r="26" spans="1:18">
      <c r="Q26" s="4"/>
      <c r="R26" s="3"/>
    </row>
    <row r="27" spans="1:18">
      <c r="A27" s="179" t="s">
        <v>363</v>
      </c>
      <c r="E27" s="3"/>
      <c r="Q27" s="4"/>
      <c r="R27" s="3"/>
    </row>
    <row r="28" spans="1:18">
      <c r="A28" s="107" t="s">
        <v>375</v>
      </c>
      <c r="B28" s="8"/>
      <c r="E28" s="3"/>
      <c r="Q28" s="4"/>
    </row>
    <row r="29" spans="1:18">
      <c r="A29" s="107" t="s">
        <v>369</v>
      </c>
      <c r="B29" s="39"/>
      <c r="C29" s="15"/>
      <c r="D29" s="15"/>
      <c r="O29" s="3"/>
    </row>
    <row r="30" spans="1:18">
      <c r="A30" s="39"/>
      <c r="B30" s="39"/>
      <c r="C30" s="15"/>
      <c r="D30" s="15"/>
      <c r="P30" s="3"/>
    </row>
  </sheetData>
  <mergeCells count="2">
    <mergeCell ref="A1:D1"/>
    <mergeCell ref="A3:E3"/>
  </mergeCells>
  <dataValidations count="1">
    <dataValidation type="list" allowBlank="1" showErrorMessage="1" errorTitle="Opción no válida" sqref="B6:B14 B16:B20 B22" xr:uid="{94170AE7-6B7B-484E-A2CC-35ABC52ED210}">
      <formula1>$A$28:$A$29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6ABD-2B3F-41DB-8C9F-85B17A2FB4EC}">
  <dimension ref="A1:D48"/>
  <sheetViews>
    <sheetView workbookViewId="0">
      <selection activeCell="A4" sqref="A4"/>
    </sheetView>
  </sheetViews>
  <sheetFormatPr defaultRowHeight="12.5"/>
  <cols>
    <col min="1" max="1" width="34.6328125" customWidth="1"/>
    <col min="2" max="2" width="26.6328125" customWidth="1"/>
    <col min="3" max="3" width="48.6328125" style="448" customWidth="1"/>
    <col min="4" max="4" width="44.6328125" style="448" customWidth="1"/>
  </cols>
  <sheetData>
    <row r="1" spans="1:4" ht="20">
      <c r="A1" s="442" t="s">
        <v>573</v>
      </c>
    </row>
    <row r="2" spans="1:4" ht="13">
      <c r="A2" s="443" t="s">
        <v>574</v>
      </c>
    </row>
    <row r="4" spans="1:4" ht="13">
      <c r="A4" s="444" t="s">
        <v>575</v>
      </c>
    </row>
    <row r="5" spans="1:4" ht="13">
      <c r="A5" t="s">
        <v>576</v>
      </c>
      <c r="B5" s="445"/>
      <c r="C5" s="449" t="s">
        <v>577</v>
      </c>
      <c r="D5" s="448" t="s">
        <v>578</v>
      </c>
    </row>
    <row r="6" spans="1:4" ht="13">
      <c r="A6" t="s">
        <v>485</v>
      </c>
      <c r="B6" s="445"/>
      <c r="C6" s="449"/>
    </row>
    <row r="7" spans="1:4" ht="13">
      <c r="A7" t="s">
        <v>579</v>
      </c>
      <c r="B7" s="445"/>
      <c r="C7" s="449"/>
    </row>
    <row r="8" spans="1:4" ht="13">
      <c r="A8" t="s">
        <v>580</v>
      </c>
      <c r="B8" s="445"/>
      <c r="C8" s="449" t="s">
        <v>581</v>
      </c>
    </row>
    <row r="9" spans="1:4" ht="13">
      <c r="A9" t="s">
        <v>582</v>
      </c>
      <c r="B9" s="445"/>
      <c r="C9" s="449"/>
      <c r="D9" s="448" t="s">
        <v>583</v>
      </c>
    </row>
    <row r="10" spans="1:4" ht="13">
      <c r="A10" t="s">
        <v>584</v>
      </c>
      <c r="B10" s="446">
        <f ca="1">TODAY()</f>
        <v>46314</v>
      </c>
      <c r="C10" s="449"/>
    </row>
    <row r="11" spans="1:4" ht="13">
      <c r="A11" t="s">
        <v>585</v>
      </c>
      <c r="B11" s="445"/>
      <c r="C11" s="449"/>
    </row>
    <row r="12" spans="1:4" ht="13">
      <c r="A12" t="s">
        <v>586</v>
      </c>
      <c r="B12" s="445"/>
      <c r="C12" s="449"/>
    </row>
    <row r="14" spans="1:4" ht="13">
      <c r="A14" s="444" t="s">
        <v>587</v>
      </c>
      <c r="D14" s="448" t="s">
        <v>588</v>
      </c>
    </row>
    <row r="15" spans="1:4" ht="13">
      <c r="A15" t="s">
        <v>589</v>
      </c>
      <c r="B15" s="445"/>
      <c r="C15" s="449" t="s">
        <v>590</v>
      </c>
      <c r="D15" s="448" t="s">
        <v>591</v>
      </c>
    </row>
    <row r="16" spans="1:4" ht="13">
      <c r="A16" t="s">
        <v>592</v>
      </c>
      <c r="B16" s="445"/>
      <c r="C16" s="449" t="str">
        <f>"Se aplica "&amp;ROUND((IF(LOWER(TRIM('Datos del proyecto'!$B$15))="si",0,IF(ISNUMBER('Datos del proyecto'!$B$16),IF('Datos del proyecto'!$B$16&gt;1,'Datos del proyecto'!$B$16/100,'Datos del proyecto'!$B$16),0.13)))*100,2)&amp;"% (vacio = 13%)"</f>
        <v>Se aplica 13% (vacio = 13%)</v>
      </c>
      <c r="D16" s="448" t="s">
        <v>593</v>
      </c>
    </row>
    <row r="17" spans="1:4" ht="13">
      <c r="A17" t="s">
        <v>594</v>
      </c>
      <c r="B17" s="445"/>
      <c r="C17" s="449"/>
      <c r="D17" s="448" t="s">
        <v>595</v>
      </c>
    </row>
    <row r="19" spans="1:4" ht="13">
      <c r="A19" s="444" t="s">
        <v>596</v>
      </c>
      <c r="D19" s="448" t="s">
        <v>597</v>
      </c>
    </row>
    <row r="20" spans="1:4" ht="13">
      <c r="A20" t="s">
        <v>598</v>
      </c>
      <c r="B20" s="445"/>
      <c r="C20" s="449" t="s">
        <v>590</v>
      </c>
      <c r="D20" s="448" t="s">
        <v>599</v>
      </c>
    </row>
    <row r="21" spans="1:4" ht="13">
      <c r="A21" t="s">
        <v>600</v>
      </c>
      <c r="B21" s="445"/>
      <c r="C21" s="449"/>
    </row>
    <row r="22" spans="1:4" ht="13">
      <c r="A22" t="s">
        <v>601</v>
      </c>
      <c r="B22" s="445"/>
      <c r="C22" s="449"/>
    </row>
    <row r="23" spans="1:4" ht="13">
      <c r="A23" t="s">
        <v>602</v>
      </c>
      <c r="B23" s="445"/>
      <c r="C23" s="449"/>
      <c r="D23" s="448" t="s">
        <v>603</v>
      </c>
    </row>
    <row r="24" spans="1:4" ht="13">
      <c r="A24" t="s">
        <v>604</v>
      </c>
      <c r="B24" s="445"/>
      <c r="C24" s="449" t="s">
        <v>873</v>
      </c>
      <c r="D24" s="448" t="s">
        <v>605</v>
      </c>
    </row>
    <row r="26" spans="1:4" ht="13">
      <c r="A26" s="444" t="s">
        <v>606</v>
      </c>
      <c r="D26" s="448" t="s">
        <v>607</v>
      </c>
    </row>
    <row r="27" spans="1:4" ht="13">
      <c r="A27" t="s">
        <v>608</v>
      </c>
      <c r="B27" s="447">
        <f>Equipos!G4</f>
        <v>0.1</v>
      </c>
      <c r="C27" s="449"/>
    </row>
    <row r="28" spans="1:4" ht="13">
      <c r="A28" t="s">
        <v>609</v>
      </c>
      <c r="B28" s="447">
        <f>Equipos!H4</f>
        <v>0.03</v>
      </c>
      <c r="C28" s="449"/>
    </row>
    <row r="29" spans="1:4" ht="13">
      <c r="A29" t="s">
        <v>610</v>
      </c>
      <c r="B29" s="447">
        <f>Equipos!I4</f>
        <v>0</v>
      </c>
      <c r="C29" s="449"/>
      <c r="D29" s="448" t="s">
        <v>611</v>
      </c>
    </row>
    <row r="30" spans="1:4" ht="13">
      <c r="A30" t="s">
        <v>612</v>
      </c>
      <c r="B30" s="447">
        <f>Equipos!J4</f>
        <v>0.15</v>
      </c>
      <c r="C30" s="449"/>
    </row>
    <row r="31" spans="1:4" ht="13">
      <c r="A31" t="s">
        <v>613</v>
      </c>
      <c r="B31" s="447">
        <f>Equipos!L4</f>
        <v>0.03</v>
      </c>
      <c r="C31" s="449"/>
    </row>
    <row r="32" spans="1:4" ht="13">
      <c r="A32" t="s">
        <v>614</v>
      </c>
      <c r="B32" s="447">
        <f>Equipos!N4</f>
        <v>0.27400000000000002</v>
      </c>
      <c r="C32" s="449"/>
      <c r="D32" s="448" t="s">
        <v>615</v>
      </c>
    </row>
    <row r="33" spans="1:4" ht="13">
      <c r="A33" t="s">
        <v>616</v>
      </c>
      <c r="B33" s="447">
        <f>MATERIALES!M4</f>
        <v>0.3</v>
      </c>
      <c r="C33" s="449"/>
    </row>
    <row r="35" spans="1:4" ht="13">
      <c r="A35" s="444" t="s">
        <v>617</v>
      </c>
      <c r="D35" s="448" t="s">
        <v>618</v>
      </c>
    </row>
    <row r="36" spans="1:4" ht="13">
      <c r="A36" t="s">
        <v>619</v>
      </c>
      <c r="B36" s="445"/>
      <c r="C36" s="449" t="s">
        <v>620</v>
      </c>
    </row>
    <row r="37" spans="1:4" ht="13">
      <c r="A37" t="s">
        <v>621</v>
      </c>
      <c r="B37" s="445"/>
      <c r="C37" s="449"/>
      <c r="D37" s="448" t="s">
        <v>622</v>
      </c>
    </row>
    <row r="38" spans="1:4" ht="13">
      <c r="A38" t="s">
        <v>623</v>
      </c>
      <c r="B38" s="445"/>
      <c r="C38" s="449"/>
      <c r="D38" s="448" t="s">
        <v>624</v>
      </c>
    </row>
    <row r="39" spans="1:4" ht="13">
      <c r="A39" t="s">
        <v>625</v>
      </c>
      <c r="B39" s="445"/>
      <c r="C39" s="449"/>
      <c r="D39" s="448" t="s">
        <v>626</v>
      </c>
    </row>
    <row r="41" spans="1:4" ht="13">
      <c r="A41" s="444" t="s">
        <v>627</v>
      </c>
      <c r="D41" s="448" t="s">
        <v>628</v>
      </c>
    </row>
    <row r="42" spans="1:4" ht="13">
      <c r="A42" t="s">
        <v>629</v>
      </c>
      <c r="B42" s="445"/>
      <c r="C42" s="449" t="s">
        <v>590</v>
      </c>
      <c r="D42" s="448" t="s">
        <v>630</v>
      </c>
    </row>
    <row r="43" spans="1:4" ht="13">
      <c r="A43" t="s">
        <v>631</v>
      </c>
      <c r="B43" s="445"/>
      <c r="C43" s="449"/>
      <c r="D43" s="448" t="s">
        <v>632</v>
      </c>
    </row>
    <row r="44" spans="1:4" ht="13">
      <c r="A44" t="s">
        <v>633</v>
      </c>
      <c r="B44" s="445"/>
      <c r="C44" s="449"/>
      <c r="D44" s="448" t="s">
        <v>632</v>
      </c>
    </row>
    <row r="46" spans="1:4" ht="13">
      <c r="A46" s="444" t="s">
        <v>634</v>
      </c>
      <c r="D46" s="448" t="s">
        <v>635</v>
      </c>
    </row>
    <row r="47" spans="1:4" ht="13">
      <c r="A47" t="s">
        <v>636</v>
      </c>
      <c r="B47" s="445"/>
      <c r="C47" s="449"/>
      <c r="D47" s="448" t="s">
        <v>637</v>
      </c>
    </row>
    <row r="48" spans="1:4" ht="13">
      <c r="A48" t="s">
        <v>638</v>
      </c>
      <c r="B48" s="445"/>
      <c r="C48" s="44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B066-4E25-49C3-B2B3-C354C4E1C86E}">
  <sheetPr>
    <tabColor rgb="FF2F5496"/>
  </sheetPr>
  <dimension ref="B1:F18"/>
  <sheetViews>
    <sheetView showGridLines="0" workbookViewId="0">
      <pane ySplit="4" topLeftCell="A5" activePane="bottomLeft" state="frozen"/>
      <selection pane="bottomLeft"/>
    </sheetView>
  </sheetViews>
  <sheetFormatPr defaultRowHeight="14.5"/>
  <cols>
    <col min="1" max="1" width="3.1796875" style="451" customWidth="1"/>
    <col min="2" max="2" width="21.6328125" style="451" customWidth="1"/>
    <col min="3" max="3" width="40.6328125" style="451" customWidth="1"/>
    <col min="4" max="4" width="44.6328125" style="451" customWidth="1"/>
    <col min="5" max="5" width="42.6328125" style="451" customWidth="1"/>
    <col min="6" max="6" width="46.6328125" style="451" customWidth="1"/>
    <col min="7" max="16384" width="8.7265625" style="451"/>
  </cols>
  <sheetData>
    <row r="1" spans="2:6" ht="32" customHeight="1">
      <c r="B1" s="452" t="s">
        <v>654</v>
      </c>
    </row>
    <row r="2" spans="2:6" ht="16" customHeight="1">
      <c r="B2" s="453" t="s">
        <v>802</v>
      </c>
    </row>
    <row r="3" spans="2:6" ht="8" customHeight="1"/>
    <row r="4" spans="2:6">
      <c r="B4" s="464" t="s">
        <v>655</v>
      </c>
      <c r="C4" s="464" t="s">
        <v>656</v>
      </c>
      <c r="D4" s="464" t="s">
        <v>657</v>
      </c>
      <c r="E4" s="464" t="s">
        <v>658</v>
      </c>
      <c r="F4" s="464" t="s">
        <v>659</v>
      </c>
    </row>
    <row r="5" spans="2:6" ht="29">
      <c r="B5" s="465" t="s">
        <v>660</v>
      </c>
      <c r="C5" s="458" t="s">
        <v>661</v>
      </c>
      <c r="D5" s="458" t="s">
        <v>662</v>
      </c>
      <c r="E5" s="458" t="s">
        <v>663</v>
      </c>
      <c r="F5" s="458" t="s">
        <v>664</v>
      </c>
    </row>
    <row r="6" spans="2:6" ht="29">
      <c r="B6" s="466" t="s">
        <v>665</v>
      </c>
      <c r="C6" s="460" t="s">
        <v>666</v>
      </c>
      <c r="D6" s="460" t="s">
        <v>667</v>
      </c>
      <c r="E6" s="460" t="s">
        <v>668</v>
      </c>
      <c r="F6" s="460" t="s">
        <v>669</v>
      </c>
    </row>
    <row r="7" spans="2:6" ht="29">
      <c r="B7" s="465" t="s">
        <v>670</v>
      </c>
      <c r="C7" s="458" t="s">
        <v>671</v>
      </c>
      <c r="D7" s="458" t="s">
        <v>662</v>
      </c>
      <c r="E7" s="458" t="s">
        <v>672</v>
      </c>
      <c r="F7" s="458" t="s">
        <v>673</v>
      </c>
    </row>
    <row r="8" spans="2:6" ht="43.5">
      <c r="B8" s="466" t="s">
        <v>516</v>
      </c>
      <c r="C8" s="460" t="s">
        <v>674</v>
      </c>
      <c r="D8" s="460" t="s">
        <v>675</v>
      </c>
      <c r="E8" s="460" t="s">
        <v>676</v>
      </c>
      <c r="F8" s="460" t="s">
        <v>677</v>
      </c>
    </row>
    <row r="9" spans="2:6" ht="29">
      <c r="B9" s="465" t="s">
        <v>376</v>
      </c>
      <c r="C9" s="458" t="s">
        <v>678</v>
      </c>
      <c r="D9" s="458" t="s">
        <v>679</v>
      </c>
      <c r="E9" s="458" t="s">
        <v>680</v>
      </c>
      <c r="F9" s="458" t="s">
        <v>681</v>
      </c>
    </row>
    <row r="10" spans="2:6" ht="43.5">
      <c r="B10" s="466" t="s">
        <v>682</v>
      </c>
      <c r="C10" s="460" t="s">
        <v>683</v>
      </c>
      <c r="D10" s="460" t="s">
        <v>684</v>
      </c>
      <c r="E10" s="460" t="s">
        <v>680</v>
      </c>
      <c r="F10" s="460" t="s">
        <v>681</v>
      </c>
    </row>
    <row r="11" spans="2:6" ht="43.5">
      <c r="B11" s="465" t="s">
        <v>685</v>
      </c>
      <c r="C11" s="458" t="s">
        <v>686</v>
      </c>
      <c r="D11" s="458" t="s">
        <v>687</v>
      </c>
      <c r="E11" s="458" t="s">
        <v>688</v>
      </c>
      <c r="F11" s="458" t="s">
        <v>689</v>
      </c>
    </row>
    <row r="12" spans="2:6" ht="29">
      <c r="B12" s="466" t="s">
        <v>690</v>
      </c>
      <c r="C12" s="460" t="s">
        <v>691</v>
      </c>
      <c r="D12" s="460" t="s">
        <v>692</v>
      </c>
      <c r="E12" s="460" t="s">
        <v>693</v>
      </c>
      <c r="F12" s="460" t="s">
        <v>694</v>
      </c>
    </row>
    <row r="13" spans="2:6" ht="29">
      <c r="B13" s="465" t="s">
        <v>695</v>
      </c>
      <c r="C13" s="458" t="s">
        <v>696</v>
      </c>
      <c r="D13" s="458" t="s">
        <v>662</v>
      </c>
      <c r="E13" s="458" t="s">
        <v>697</v>
      </c>
      <c r="F13" s="458" t="s">
        <v>698</v>
      </c>
    </row>
    <row r="14" spans="2:6" ht="29">
      <c r="B14" s="466" t="s">
        <v>421</v>
      </c>
      <c r="C14" s="460" t="s">
        <v>699</v>
      </c>
      <c r="D14" s="460" t="s">
        <v>700</v>
      </c>
      <c r="E14" s="460" t="s">
        <v>701</v>
      </c>
      <c r="F14" s="460" t="s">
        <v>702</v>
      </c>
    </row>
    <row r="15" spans="2:6" ht="29">
      <c r="B15" s="465" t="s">
        <v>703</v>
      </c>
      <c r="C15" s="458" t="s">
        <v>704</v>
      </c>
      <c r="D15" s="458" t="s">
        <v>705</v>
      </c>
      <c r="E15" s="458" t="s">
        <v>706</v>
      </c>
      <c r="F15" s="458" t="s">
        <v>707</v>
      </c>
    </row>
    <row r="16" spans="2:6" ht="29">
      <c r="B16" s="466" t="s">
        <v>357</v>
      </c>
      <c r="C16" s="460" t="s">
        <v>708</v>
      </c>
      <c r="D16" s="460" t="s">
        <v>709</v>
      </c>
      <c r="E16" s="460" t="s">
        <v>710</v>
      </c>
      <c r="F16" s="460" t="s">
        <v>803</v>
      </c>
    </row>
    <row r="17" spans="2:6" ht="29">
      <c r="B17" s="465" t="s">
        <v>711</v>
      </c>
      <c r="C17" s="458" t="s">
        <v>712</v>
      </c>
      <c r="D17" s="458" t="s">
        <v>679</v>
      </c>
      <c r="E17" s="458" t="s">
        <v>713</v>
      </c>
      <c r="F17" s="458" t="s">
        <v>714</v>
      </c>
    </row>
    <row r="18" spans="2:6" ht="43.5">
      <c r="B18" s="466" t="s">
        <v>715</v>
      </c>
      <c r="C18" s="460" t="s">
        <v>716</v>
      </c>
      <c r="D18" s="460" t="s">
        <v>717</v>
      </c>
      <c r="E18" s="460" t="s">
        <v>718</v>
      </c>
      <c r="F18" s="460" t="s">
        <v>719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E2E3-004A-4144-BB21-4A72465C93E7}">
  <sheetPr>
    <tabColor rgb="FF548235"/>
  </sheetPr>
  <dimension ref="B1:D45"/>
  <sheetViews>
    <sheetView showGridLines="0" workbookViewId="0">
      <pane ySplit="4" topLeftCell="A5" activePane="bottomLeft" state="frozen"/>
      <selection pane="bottomLeft"/>
    </sheetView>
  </sheetViews>
  <sheetFormatPr defaultRowHeight="14.5"/>
  <cols>
    <col min="1" max="1" width="3.1796875" style="451" customWidth="1"/>
    <col min="2" max="2" width="26.6328125" style="451" customWidth="1"/>
    <col min="3" max="3" width="50.6328125" style="467" customWidth="1"/>
    <col min="4" max="4" width="78.6328125" style="451" customWidth="1"/>
    <col min="5" max="16384" width="8.7265625" style="451"/>
  </cols>
  <sheetData>
    <row r="1" spans="2:4" ht="32" customHeight="1">
      <c r="B1" s="452" t="s">
        <v>720</v>
      </c>
    </row>
    <row r="2" spans="2:4" ht="16" customHeight="1">
      <c r="B2" s="453" t="s">
        <v>804</v>
      </c>
    </row>
    <row r="3" spans="2:4" ht="8" customHeight="1"/>
    <row r="4" spans="2:4">
      <c r="B4" s="464" t="s">
        <v>721</v>
      </c>
      <c r="C4" s="468" t="s">
        <v>722</v>
      </c>
      <c r="D4" s="464" t="s">
        <v>723</v>
      </c>
    </row>
    <row r="5" spans="2:4" ht="15.5">
      <c r="B5" s="581" t="s">
        <v>805</v>
      </c>
      <c r="C5" s="582"/>
      <c r="D5" s="582"/>
    </row>
    <row r="6" spans="2:4">
      <c r="B6" s="469" t="s">
        <v>806</v>
      </c>
      <c r="C6" s="470" t="s">
        <v>724</v>
      </c>
      <c r="D6" s="458" t="s">
        <v>725</v>
      </c>
    </row>
    <row r="7" spans="2:4">
      <c r="B7" s="471" t="s">
        <v>807</v>
      </c>
      <c r="C7" s="472" t="s">
        <v>726</v>
      </c>
      <c r="D7" s="460" t="s">
        <v>727</v>
      </c>
    </row>
    <row r="8" spans="2:4">
      <c r="B8" s="469" t="s">
        <v>808</v>
      </c>
      <c r="C8" s="470" t="s">
        <v>728</v>
      </c>
      <c r="D8" s="458" t="s">
        <v>729</v>
      </c>
    </row>
    <row r="9" spans="2:4">
      <c r="B9" s="471" t="s">
        <v>809</v>
      </c>
      <c r="C9" s="472" t="s">
        <v>730</v>
      </c>
      <c r="D9" s="460" t="s">
        <v>731</v>
      </c>
    </row>
    <row r="10" spans="2:4">
      <c r="B10" s="473" t="s">
        <v>810</v>
      </c>
      <c r="C10" s="583" t="s">
        <v>811</v>
      </c>
      <c r="D10" s="584"/>
    </row>
    <row r="11" spans="2:4">
      <c r="B11" s="469" t="s">
        <v>812</v>
      </c>
      <c r="C11" s="470" t="s">
        <v>732</v>
      </c>
      <c r="D11" s="458" t="s">
        <v>733</v>
      </c>
    </row>
    <row r="12" spans="2:4">
      <c r="B12" s="471" t="s">
        <v>813</v>
      </c>
      <c r="C12" s="472" t="s">
        <v>734</v>
      </c>
      <c r="D12" s="460" t="s">
        <v>735</v>
      </c>
    </row>
    <row r="13" spans="2:4">
      <c r="B13" s="469" t="s">
        <v>814</v>
      </c>
      <c r="C13" s="470" t="s">
        <v>736</v>
      </c>
      <c r="D13" s="458" t="s">
        <v>737</v>
      </c>
    </row>
    <row r="14" spans="2:4" ht="29">
      <c r="B14" s="471" t="s">
        <v>815</v>
      </c>
      <c r="C14" s="472" t="s">
        <v>738</v>
      </c>
      <c r="D14" s="460" t="s">
        <v>816</v>
      </c>
    </row>
    <row r="15" spans="2:4">
      <c r="B15" s="473" t="s">
        <v>810</v>
      </c>
      <c r="C15" s="583" t="s">
        <v>817</v>
      </c>
      <c r="D15" s="584"/>
    </row>
    <row r="16" spans="2:4">
      <c r="B16" s="469" t="s">
        <v>818</v>
      </c>
      <c r="C16" s="470" t="s">
        <v>739</v>
      </c>
      <c r="D16" s="458" t="s">
        <v>740</v>
      </c>
    </row>
    <row r="17" spans="2:4">
      <c r="B17" s="471" t="s">
        <v>819</v>
      </c>
      <c r="C17" s="472" t="s">
        <v>741</v>
      </c>
      <c r="D17" s="460" t="s">
        <v>742</v>
      </c>
    </row>
    <row r="18" spans="2:4">
      <c r="B18" s="469" t="s">
        <v>820</v>
      </c>
      <c r="C18" s="470" t="s">
        <v>743</v>
      </c>
      <c r="D18" s="458" t="s">
        <v>744</v>
      </c>
    </row>
    <row r="19" spans="2:4" ht="15.5">
      <c r="B19" s="581" t="s">
        <v>821</v>
      </c>
      <c r="C19" s="582"/>
      <c r="D19" s="582"/>
    </row>
    <row r="20" spans="2:4">
      <c r="B20" s="469" t="s">
        <v>822</v>
      </c>
      <c r="C20" s="470" t="s">
        <v>745</v>
      </c>
      <c r="D20" s="458" t="s">
        <v>746</v>
      </c>
    </row>
    <row r="21" spans="2:4">
      <c r="B21" s="471" t="s">
        <v>823</v>
      </c>
      <c r="C21" s="472" t="s">
        <v>747</v>
      </c>
      <c r="D21" s="460" t="s">
        <v>748</v>
      </c>
    </row>
    <row r="22" spans="2:4">
      <c r="B22" s="469" t="s">
        <v>824</v>
      </c>
      <c r="C22" s="470" t="s">
        <v>749</v>
      </c>
      <c r="D22" s="458" t="s">
        <v>750</v>
      </c>
    </row>
    <row r="23" spans="2:4">
      <c r="B23" s="471" t="s">
        <v>825</v>
      </c>
      <c r="C23" s="472" t="s">
        <v>751</v>
      </c>
      <c r="D23" s="460" t="s">
        <v>742</v>
      </c>
    </row>
    <row r="24" spans="2:4" ht="29">
      <c r="B24" s="469" t="s">
        <v>826</v>
      </c>
      <c r="C24" s="470" t="s">
        <v>752</v>
      </c>
      <c r="D24" s="458" t="s">
        <v>827</v>
      </c>
    </row>
    <row r="25" spans="2:4" ht="60">
      <c r="B25" s="471" t="s">
        <v>828</v>
      </c>
      <c r="C25" s="472" t="s">
        <v>829</v>
      </c>
      <c r="D25" s="460" t="s">
        <v>830</v>
      </c>
    </row>
    <row r="26" spans="2:4">
      <c r="B26" s="469" t="s">
        <v>831</v>
      </c>
      <c r="C26" s="470" t="s">
        <v>753</v>
      </c>
      <c r="D26" s="458" t="s">
        <v>832</v>
      </c>
    </row>
    <row r="27" spans="2:4" ht="15.5">
      <c r="B27" s="581" t="s">
        <v>833</v>
      </c>
      <c r="C27" s="582"/>
      <c r="D27" s="582"/>
    </row>
    <row r="28" spans="2:4" ht="29">
      <c r="B28" s="469" t="s">
        <v>834</v>
      </c>
      <c r="C28" s="470" t="s">
        <v>754</v>
      </c>
      <c r="D28" s="458" t="s">
        <v>835</v>
      </c>
    </row>
    <row r="29" spans="2:4">
      <c r="B29" s="473" t="s">
        <v>810</v>
      </c>
      <c r="C29" s="583" t="s">
        <v>836</v>
      </c>
      <c r="D29" s="584"/>
    </row>
    <row r="30" spans="2:4">
      <c r="B30" s="469" t="s">
        <v>837</v>
      </c>
      <c r="C30" s="470" t="s">
        <v>755</v>
      </c>
      <c r="D30" s="458" t="s">
        <v>756</v>
      </c>
    </row>
    <row r="31" spans="2:4">
      <c r="B31" s="471" t="s">
        <v>838</v>
      </c>
      <c r="C31" s="472" t="s">
        <v>757</v>
      </c>
      <c r="D31" s="460" t="s">
        <v>839</v>
      </c>
    </row>
    <row r="32" spans="2:4" ht="29">
      <c r="B32" s="469" t="s">
        <v>758</v>
      </c>
      <c r="C32" s="470" t="s">
        <v>759</v>
      </c>
      <c r="D32" s="458" t="s">
        <v>840</v>
      </c>
    </row>
    <row r="33" spans="2:4" ht="15.5">
      <c r="B33" s="581" t="s">
        <v>841</v>
      </c>
      <c r="C33" s="582"/>
      <c r="D33" s="582"/>
    </row>
    <row r="34" spans="2:4" ht="36">
      <c r="B34" s="469" t="s">
        <v>842</v>
      </c>
      <c r="C34" s="470" t="s">
        <v>760</v>
      </c>
      <c r="D34" s="458" t="s">
        <v>761</v>
      </c>
    </row>
    <row r="35" spans="2:4" ht="29">
      <c r="B35" s="471" t="s">
        <v>843</v>
      </c>
      <c r="C35" s="472" t="s">
        <v>762</v>
      </c>
      <c r="D35" s="460" t="s">
        <v>763</v>
      </c>
    </row>
    <row r="36" spans="2:4" ht="15.5">
      <c r="B36" s="581" t="s">
        <v>844</v>
      </c>
      <c r="C36" s="582"/>
      <c r="D36" s="582"/>
    </row>
    <row r="37" spans="2:4">
      <c r="B37" s="469" t="s">
        <v>845</v>
      </c>
      <c r="C37" s="470" t="s">
        <v>764</v>
      </c>
      <c r="D37" s="458" t="s">
        <v>765</v>
      </c>
    </row>
    <row r="38" spans="2:4">
      <c r="B38" s="471" t="s">
        <v>846</v>
      </c>
      <c r="C38" s="472" t="s">
        <v>766</v>
      </c>
      <c r="D38" s="460" t="s">
        <v>847</v>
      </c>
    </row>
    <row r="39" spans="2:4" ht="15.5">
      <c r="B39" s="581" t="s">
        <v>848</v>
      </c>
      <c r="C39" s="582"/>
      <c r="D39" s="582"/>
    </row>
    <row r="40" spans="2:4" ht="29">
      <c r="B40" s="469" t="s">
        <v>849</v>
      </c>
      <c r="C40" s="470" t="s">
        <v>766</v>
      </c>
      <c r="D40" s="458" t="s">
        <v>850</v>
      </c>
    </row>
    <row r="41" spans="2:4">
      <c r="B41" s="471" t="s">
        <v>851</v>
      </c>
      <c r="C41" s="472" t="s">
        <v>767</v>
      </c>
      <c r="D41" s="460" t="s">
        <v>768</v>
      </c>
    </row>
    <row r="42" spans="2:4">
      <c r="B42" s="469" t="s">
        <v>852</v>
      </c>
      <c r="C42" s="470" t="s">
        <v>769</v>
      </c>
      <c r="D42" s="458" t="s">
        <v>770</v>
      </c>
    </row>
    <row r="43" spans="2:4">
      <c r="B43" s="471" t="s">
        <v>853</v>
      </c>
      <c r="C43" s="472" t="s">
        <v>771</v>
      </c>
      <c r="D43" s="460" t="s">
        <v>772</v>
      </c>
    </row>
    <row r="44" spans="2:4">
      <c r="B44" s="469" t="s">
        <v>854</v>
      </c>
      <c r="C44" s="470" t="s">
        <v>773</v>
      </c>
      <c r="D44" s="458" t="s">
        <v>774</v>
      </c>
    </row>
    <row r="45" spans="2:4">
      <c r="B45" s="473" t="s">
        <v>810</v>
      </c>
      <c r="C45" s="583" t="s">
        <v>855</v>
      </c>
      <c r="D45" s="584"/>
    </row>
  </sheetData>
  <mergeCells count="10">
    <mergeCell ref="B33:D33"/>
    <mergeCell ref="B36:D36"/>
    <mergeCell ref="B39:D39"/>
    <mergeCell ref="C45:D45"/>
    <mergeCell ref="B5:D5"/>
    <mergeCell ref="C10:D10"/>
    <mergeCell ref="C15:D15"/>
    <mergeCell ref="B19:D19"/>
    <mergeCell ref="B27:D27"/>
    <mergeCell ref="C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</vt:i4>
      </vt:variant>
    </vt:vector>
  </HeadingPairs>
  <TitlesOfParts>
    <vt:vector size="35" baseType="lpstr">
      <vt:lpstr>LEEME</vt:lpstr>
      <vt:lpstr>CCTV DISEÑO</vt:lpstr>
      <vt:lpstr>Evaluacion TIR-VAN</vt:lpstr>
      <vt:lpstr>Resumen por Servicio</vt:lpstr>
      <vt:lpstr>RESUMEN</vt:lpstr>
      <vt:lpstr>Resumen para oferta</vt:lpstr>
      <vt:lpstr>COTIZACIÓN </vt:lpstr>
      <vt:lpstr>COTIZACION (Financ)</vt:lpstr>
      <vt:lpstr>Equipos</vt:lpstr>
      <vt:lpstr>Productos 2</vt:lpstr>
      <vt:lpstr>Productos 3</vt:lpstr>
      <vt:lpstr>Productos 4</vt:lpstr>
      <vt:lpstr>Productos 5</vt:lpstr>
      <vt:lpstr>MATERIALES</vt:lpstr>
      <vt:lpstr>Financiamiento</vt:lpstr>
      <vt:lpstr>PTMO</vt:lpstr>
      <vt:lpstr>PRODUCTO G</vt:lpstr>
      <vt:lpstr>PRODUCTO H</vt:lpstr>
      <vt:lpstr>PRODUCTO I</vt:lpstr>
      <vt:lpstr>PRODUCTO J</vt:lpstr>
      <vt:lpstr>PRODUCTO K</vt:lpstr>
      <vt:lpstr>PRODUCTO L</vt:lpstr>
      <vt:lpstr>PRODUCTO M</vt:lpstr>
      <vt:lpstr>PRODUCTO N</vt:lpstr>
      <vt:lpstr>PRODUCTO O</vt:lpstr>
      <vt:lpstr>RESUMEN (OPEX)</vt:lpstr>
      <vt:lpstr>OPEX GV</vt:lpstr>
      <vt:lpstr>MANO DE OBRA </vt:lpstr>
      <vt:lpstr>Transporte</vt:lpstr>
      <vt:lpstr>OPEX Proyecto</vt:lpstr>
      <vt:lpstr>Datos del proyecto</vt:lpstr>
      <vt:lpstr>Guia de pestanas</vt:lpstr>
      <vt:lpstr>Guia de formulas</vt:lpstr>
      <vt:lpstr>'COTIZACIÓN '!Print_Area</vt:lpstr>
      <vt:lpstr>'COTIZACION (Financ)'!Print_Area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wally</dc:creator>
  <cp:keywords/>
  <dc:description/>
  <cp:lastModifiedBy>Fabián Rosales Esquivel</cp:lastModifiedBy>
  <cp:revision/>
  <cp:lastPrinted>2024-07-04T16:44:40Z</cp:lastPrinted>
  <dcterms:created xsi:type="dcterms:W3CDTF">2005-08-25T18:56:44Z</dcterms:created>
  <dcterms:modified xsi:type="dcterms:W3CDTF">2026-10-19T19:37:35Z</dcterms:modified>
  <cp:category/>
  <cp:contentStatus/>
</cp:coreProperties>
</file>