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C73936DB-7404-41F3-92D5-D6D1E220894F}" xr6:coauthVersionLast="47" xr6:coauthVersionMax="47" xr10:uidLastSave="{00000000-0000-0000-0000-000000000000}"/>
  <bookViews>
    <workbookView xWindow="-110" yWindow="-110" windowWidth="19420" windowHeight="10300" tabRatio="842" firstSheet="6" activeTab="14" xr2:uid="{5841A703-86EA-400C-9C69-723B1076F593}"/>
  </bookViews>
  <sheets>
    <sheet name="LEEME" sheetId="128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9" r:id="rId32"/>
    <sheet name="Guia de formulas" sheetId="130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18" l="1"/>
  <c r="K7" i="118"/>
  <c r="K6" i="118"/>
  <c r="C16" i="123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C654" i="121" s="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C348" i="121" s="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C208" i="121"/>
  <c r="C212" i="121" s="1"/>
  <c r="O191" i="121"/>
  <c r="O195" i="121" s="1"/>
  <c r="C191" i="121"/>
  <c r="C195" i="121" s="1"/>
  <c r="O174" i="121"/>
  <c r="O178" i="121" s="1"/>
  <c r="C174" i="121"/>
  <c r="C178" i="121" s="1"/>
  <c r="U157" i="121"/>
  <c r="U161" i="121" s="1"/>
  <c r="O157" i="121"/>
  <c r="O161" i="121" s="1"/>
  <c r="I157" i="121"/>
  <c r="I161" i="121" s="1"/>
  <c r="C157" i="121"/>
  <c r="C161" i="121" s="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I89" i="121"/>
  <c r="I93" i="121" s="1"/>
  <c r="C89" i="121"/>
  <c r="C93" i="121" s="1"/>
  <c r="U72" i="121"/>
  <c r="U76" i="121" s="1"/>
  <c r="O72" i="121"/>
  <c r="O76" i="121" s="1"/>
  <c r="I72" i="121"/>
  <c r="I76" i="121" s="1"/>
  <c r="C72" i="121"/>
  <c r="C76" i="121" s="1"/>
  <c r="U55" i="121"/>
  <c r="U59" i="121" s="1"/>
  <c r="O55" i="121"/>
  <c r="O59" i="121" s="1"/>
  <c r="I55" i="121"/>
  <c r="I59" i="121" s="1"/>
  <c r="C55" i="121"/>
  <c r="C59" i="121" s="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C8" i="121" s="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U163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61" i="121"/>
  <c r="I44" i="121"/>
  <c r="I27" i="121"/>
  <c r="I10" i="121"/>
  <c r="C231" i="121"/>
  <c r="C214" i="121"/>
  <c r="C197" i="121"/>
  <c r="C180" i="121"/>
  <c r="C163" i="121"/>
  <c r="C146" i="121"/>
  <c r="C129" i="121"/>
  <c r="C112" i="121"/>
  <c r="C95" i="121"/>
  <c r="C78" i="121"/>
  <c r="C61" i="121"/>
  <c r="C44" i="121"/>
  <c r="C27" i="121"/>
  <c r="C10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A19" i="122" l="1"/>
  <c r="A20" i="122"/>
  <c r="E20" i="122" s="1"/>
  <c r="A21" i="122"/>
  <c r="A22" i="122"/>
  <c r="B22" i="122" s="1"/>
  <c r="A23" i="122"/>
  <c r="B23" i="122" s="1"/>
  <c r="A24" i="122"/>
  <c r="B24" i="122" s="1"/>
  <c r="A25" i="122"/>
  <c r="A26" i="122"/>
  <c r="B26" i="122" s="1"/>
  <c r="A27" i="122"/>
  <c r="A28" i="122"/>
  <c r="B28" i="122" s="1"/>
  <c r="A29" i="122"/>
  <c r="A30" i="122"/>
  <c r="E30" i="122" s="1"/>
  <c r="A31" i="122"/>
  <c r="E31" i="122" s="1"/>
  <c r="A32" i="122"/>
  <c r="A33" i="122"/>
  <c r="A34" i="122"/>
  <c r="E34" i="122" s="1"/>
  <c r="A35" i="122"/>
  <c r="B35" i="122" s="1"/>
  <c r="A36" i="122"/>
  <c r="A37" i="122"/>
  <c r="E37" i="122" s="1"/>
  <c r="A38" i="122"/>
  <c r="A39" i="122"/>
  <c r="B39" i="122" s="1"/>
  <c r="A40" i="122"/>
  <c r="A41" i="122"/>
  <c r="A42" i="122"/>
  <c r="A43" i="122"/>
  <c r="B43" i="122" s="1"/>
  <c r="A44" i="122"/>
  <c r="A45" i="122"/>
  <c r="A46" i="122"/>
  <c r="A47" i="122"/>
  <c r="A48" i="122"/>
  <c r="E48" i="122" s="1"/>
  <c r="A49" i="122"/>
  <c r="A50" i="122"/>
  <c r="A51" i="122"/>
  <c r="A52" i="122"/>
  <c r="A53" i="122"/>
  <c r="E53" i="122" s="1"/>
  <c r="A54" i="122"/>
  <c r="A55" i="122"/>
  <c r="E55" i="122" s="1"/>
  <c r="A56" i="122"/>
  <c r="A57" i="122"/>
  <c r="A58" i="122"/>
  <c r="A59" i="122"/>
  <c r="A60" i="122"/>
  <c r="B60" i="122" s="1"/>
  <c r="A61" i="122"/>
  <c r="E61" i="122" s="1"/>
  <c r="A62" i="122"/>
  <c r="A63" i="122"/>
  <c r="A64" i="122"/>
  <c r="A65" i="122"/>
  <c r="A66" i="122"/>
  <c r="E66" i="122" s="1"/>
  <c r="A67" i="122"/>
  <c r="A68" i="122"/>
  <c r="A69" i="122"/>
  <c r="H69" i="122" s="1"/>
  <c r="A70" i="122"/>
  <c r="A71" i="122"/>
  <c r="A72" i="122"/>
  <c r="A73" i="122"/>
  <c r="E73" i="122" s="1"/>
  <c r="A74" i="122"/>
  <c r="A75" i="122"/>
  <c r="F75" i="122" s="1"/>
  <c r="A76" i="122"/>
  <c r="A77" i="122"/>
  <c r="B77" i="122" s="1"/>
  <c r="A78" i="122"/>
  <c r="I78" i="122" s="1"/>
  <c r="A79" i="122"/>
  <c r="F79" i="122" s="1"/>
  <c r="A80" i="122"/>
  <c r="A81" i="122"/>
  <c r="A82" i="122"/>
  <c r="A83" i="122"/>
  <c r="A84" i="122"/>
  <c r="A85" i="122"/>
  <c r="A86" i="122"/>
  <c r="A87" i="122"/>
  <c r="H87" i="122" s="1"/>
  <c r="A88" i="122"/>
  <c r="A89" i="122"/>
  <c r="I89" i="122" s="1"/>
  <c r="A90" i="122"/>
  <c r="A91" i="122"/>
  <c r="F91" i="122" s="1"/>
  <c r="A92" i="122"/>
  <c r="A93" i="122"/>
  <c r="J93" i="122" s="1"/>
  <c r="A94" i="122"/>
  <c r="A95" i="122"/>
  <c r="J95" i="122" s="1"/>
  <c r="A96" i="122"/>
  <c r="J96" i="122" s="1"/>
  <c r="A97" i="122"/>
  <c r="I97" i="122" s="1"/>
  <c r="A98" i="122"/>
  <c r="A99" i="122"/>
  <c r="A100" i="122"/>
  <c r="A101" i="122"/>
  <c r="A102" i="122"/>
  <c r="H102" i="122" s="1"/>
  <c r="A103" i="122"/>
  <c r="A104" i="122"/>
  <c r="A105" i="122"/>
  <c r="A106" i="122"/>
  <c r="A107" i="122"/>
  <c r="C107" i="122" s="1"/>
  <c r="A108" i="122"/>
  <c r="A109" i="122"/>
  <c r="B109" i="122" s="1"/>
  <c r="A110" i="122"/>
  <c r="A111" i="122"/>
  <c r="A112" i="122"/>
  <c r="A113" i="122"/>
  <c r="A114" i="122"/>
  <c r="A115" i="122"/>
  <c r="A116" i="122"/>
  <c r="A117" i="122"/>
  <c r="A118" i="122"/>
  <c r="J113" i="122"/>
  <c r="J114" i="122"/>
  <c r="J115" i="122"/>
  <c r="J117" i="122"/>
  <c r="J57" i="124"/>
  <c r="J45" i="124"/>
  <c r="J33" i="124"/>
  <c r="O216" i="121"/>
  <c r="O97" i="121"/>
  <c r="U131" i="121"/>
  <c r="O505" i="121"/>
  <c r="J69" i="124"/>
  <c r="J25" i="124"/>
  <c r="J37" i="124"/>
  <c r="J49" i="124"/>
  <c r="J61" i="124"/>
  <c r="C80" i="121"/>
  <c r="C84" i="121" s="1"/>
  <c r="C86" i="121" s="1"/>
  <c r="C199" i="121"/>
  <c r="C203" i="121" s="1"/>
  <c r="C205" i="121" s="1"/>
  <c r="C403" i="121"/>
  <c r="C407" i="121" s="1"/>
  <c r="C409" i="121" s="1"/>
  <c r="K34" i="1"/>
  <c r="L34" i="1" s="1"/>
  <c r="M34" i="1" s="1"/>
  <c r="O199" i="121"/>
  <c r="O301" i="121"/>
  <c r="J23" i="124"/>
  <c r="J35" i="124"/>
  <c r="J47" i="124"/>
  <c r="J59" i="124"/>
  <c r="J71" i="124"/>
  <c r="C97" i="121"/>
  <c r="C101" i="121" s="1"/>
  <c r="C103" i="121" s="1"/>
  <c r="J24" i="124"/>
  <c r="J36" i="124"/>
  <c r="J48" i="124"/>
  <c r="J60" i="124"/>
  <c r="I46" i="121"/>
  <c r="C182" i="121"/>
  <c r="J26" i="124"/>
  <c r="J38" i="124"/>
  <c r="J50" i="124"/>
  <c r="J62" i="124"/>
  <c r="O539" i="121"/>
  <c r="O543" i="121" s="1"/>
  <c r="O545" i="121" s="1"/>
  <c r="U165" i="121"/>
  <c r="U169" i="121" s="1"/>
  <c r="U171" i="121" s="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U114" i="121"/>
  <c r="J31" i="124"/>
  <c r="J43" i="124"/>
  <c r="J55" i="124"/>
  <c r="J67" i="124"/>
  <c r="J32" i="124"/>
  <c r="J44" i="124"/>
  <c r="J56" i="124"/>
  <c r="J68" i="124"/>
  <c r="O488" i="121"/>
  <c r="Q488" i="121" s="1"/>
  <c r="O420" i="121"/>
  <c r="O424" i="121" s="1"/>
  <c r="O426" i="121" s="1"/>
  <c r="O12" i="121"/>
  <c r="Q12" i="121" s="1"/>
  <c r="U46" i="121"/>
  <c r="U50" i="121" s="1"/>
  <c r="U52" i="121" s="1"/>
  <c r="O46" i="121"/>
  <c r="O50" i="121" s="1"/>
  <c r="O52" i="121" s="1"/>
  <c r="O318" i="121"/>
  <c r="O322" i="121" s="1"/>
  <c r="O324" i="121" s="1"/>
  <c r="U80" i="121"/>
  <c r="W80" i="121" s="1"/>
  <c r="J5" i="122"/>
  <c r="O284" i="121"/>
  <c r="O288" i="121" s="1"/>
  <c r="O290" i="121" s="1"/>
  <c r="O624" i="121"/>
  <c r="Q624" i="121" s="1"/>
  <c r="O352" i="121"/>
  <c r="O356" i="121" s="1"/>
  <c r="O358" i="121" s="1"/>
  <c r="I165" i="12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B25" i="122"/>
  <c r="E41" i="122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I80" i="121"/>
  <c r="O403" i="121"/>
  <c r="I148" i="121"/>
  <c r="O607" i="121"/>
  <c r="O182" i="121"/>
  <c r="U12" i="121"/>
  <c r="W12" i="121" s="1"/>
  <c r="I131" i="121"/>
  <c r="O250" i="121"/>
  <c r="O437" i="121"/>
  <c r="O641" i="121"/>
  <c r="O369" i="121"/>
  <c r="I114" i="121"/>
  <c r="O114" i="121"/>
  <c r="O454" i="121"/>
  <c r="O148" i="121"/>
  <c r="F35" i="120"/>
  <c r="U148" i="121"/>
  <c r="U152" i="121" s="1"/>
  <c r="U154" i="121" s="1"/>
  <c r="O63" i="121"/>
  <c r="O590" i="121"/>
  <c r="O267" i="121"/>
  <c r="I36" i="1"/>
  <c r="K36" i="1" s="1"/>
  <c r="L36" i="1" s="1"/>
  <c r="N36" i="1" s="1"/>
  <c r="O36" i="1" s="1"/>
  <c r="O573" i="121"/>
  <c r="I29" i="121"/>
  <c r="H48" i="1"/>
  <c r="I48" i="1" s="1"/>
  <c r="O386" i="121"/>
  <c r="O165" i="121"/>
  <c r="H33" i="1"/>
  <c r="I33" i="1" s="1"/>
  <c r="K22" i="1"/>
  <c r="L22" i="1" s="1"/>
  <c r="M22" i="1" s="1"/>
  <c r="C46" i="121"/>
  <c r="E46" i="121" s="1"/>
  <c r="C148" i="121"/>
  <c r="C152" i="121" s="1"/>
  <c r="C154" i="121" s="1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L74" i="124" l="1"/>
  <c r="C117" i="122"/>
  <c r="B117" i="122"/>
  <c r="E117" i="122"/>
  <c r="D117" i="122"/>
  <c r="I117" i="122"/>
  <c r="G117" i="122"/>
  <c r="H117" i="122"/>
  <c r="F117" i="122"/>
  <c r="B59" i="122"/>
  <c r="E59" i="122"/>
  <c r="B111" i="122"/>
  <c r="J111" i="122"/>
  <c r="D61" i="122"/>
  <c r="C93" i="122"/>
  <c r="I93" i="122"/>
  <c r="I96" i="122"/>
  <c r="E96" i="122"/>
  <c r="C96" i="122"/>
  <c r="B96" i="122"/>
  <c r="H96" i="122"/>
  <c r="H95" i="122"/>
  <c r="F95" i="122"/>
  <c r="D95" i="122"/>
  <c r="I95" i="122"/>
  <c r="E95" i="122"/>
  <c r="H113" i="122"/>
  <c r="F113" i="122"/>
  <c r="I113" i="122"/>
  <c r="Q216" i="121"/>
  <c r="O220" i="121"/>
  <c r="O222" i="121" s="1"/>
  <c r="O101" i="121"/>
  <c r="O103" i="121" s="1"/>
  <c r="Q97" i="121"/>
  <c r="Q199" i="121"/>
  <c r="O203" i="121"/>
  <c r="O205" i="121" s="1"/>
  <c r="O305" i="121"/>
  <c r="O307" i="121" s="1"/>
  <c r="Q301" i="121"/>
  <c r="K165" i="121"/>
  <c r="I169" i="121"/>
  <c r="I171" i="121" s="1"/>
  <c r="B42" i="122"/>
  <c r="E42" i="122"/>
  <c r="C105" i="122"/>
  <c r="G105" i="122"/>
  <c r="H105" i="122"/>
  <c r="E84" i="122"/>
  <c r="F84" i="122"/>
  <c r="D57" i="122"/>
  <c r="O509" i="121"/>
  <c r="O511" i="121" s="1"/>
  <c r="Q505" i="121"/>
  <c r="K46" i="121"/>
  <c r="I50" i="121"/>
  <c r="I52" i="121" s="1"/>
  <c r="E182" i="121"/>
  <c r="C186" i="121"/>
  <c r="C188" i="121" s="1"/>
  <c r="U135" i="121"/>
  <c r="U137" i="121" s="1"/>
  <c r="W131" i="121"/>
  <c r="U118" i="121"/>
  <c r="U120" i="121" s="1"/>
  <c r="W114" i="121"/>
  <c r="E199" i="121"/>
  <c r="G75" i="122"/>
  <c r="I75" i="122"/>
  <c r="E60" i="122"/>
  <c r="E80" i="121"/>
  <c r="H93" i="122"/>
  <c r="W97" i="121"/>
  <c r="F93" i="122"/>
  <c r="E93" i="122"/>
  <c r="B20" i="122"/>
  <c r="J75" i="122"/>
  <c r="G93" i="122"/>
  <c r="W165" i="121"/>
  <c r="B61" i="122"/>
  <c r="W29" i="121"/>
  <c r="U84" i="121"/>
  <c r="U86" i="121" s="1"/>
  <c r="F96" i="122"/>
  <c r="D42" i="122"/>
  <c r="F42" i="122" s="1"/>
  <c r="C115" i="122"/>
  <c r="B75" i="122"/>
  <c r="D113" i="122"/>
  <c r="B95" i="122"/>
  <c r="C79" i="122"/>
  <c r="B37" i="122"/>
  <c r="E97" i="121"/>
  <c r="H75" i="122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D107" i="122"/>
  <c r="C87" i="122"/>
  <c r="E79" i="122"/>
  <c r="Q131" i="121"/>
  <c r="F107" i="122"/>
  <c r="C113" i="122"/>
  <c r="B34" i="122"/>
  <c r="G95" i="122"/>
  <c r="Q539" i="121"/>
  <c r="F115" i="122"/>
  <c r="D60" i="122"/>
  <c r="E111" i="122"/>
  <c r="Q420" i="121"/>
  <c r="D37" i="122"/>
  <c r="F37" i="122" s="1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F22" i="122" s="1"/>
  <c r="Q284" i="121"/>
  <c r="G84" i="122"/>
  <c r="H107" i="122"/>
  <c r="W46" i="121"/>
  <c r="G91" i="122"/>
  <c r="D115" i="122"/>
  <c r="J91" i="122"/>
  <c r="G77" i="122"/>
  <c r="B115" i="122"/>
  <c r="E91" i="122"/>
  <c r="D26" i="122"/>
  <c r="C89" i="122"/>
  <c r="D59" i="122"/>
  <c r="F59" i="122" s="1"/>
  <c r="I77" i="122"/>
  <c r="F69" i="122"/>
  <c r="D87" i="122"/>
  <c r="E115" i="122"/>
  <c r="E57" i="122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F34" i="122" s="1"/>
  <c r="D75" i="122"/>
  <c r="E25" i="122"/>
  <c r="B55" i="122"/>
  <c r="D27" i="122"/>
  <c r="D43" i="122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L51" i="1" s="1"/>
  <c r="M51" i="1" s="1"/>
  <c r="E165" i="121"/>
  <c r="E63" i="121"/>
  <c r="K44" i="1"/>
  <c r="L44" i="1" s="1"/>
  <c r="N44" i="1" s="1"/>
  <c r="O44" i="1" s="1"/>
  <c r="F87" i="122"/>
  <c r="Q471" i="121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L48" i="1" l="1"/>
  <c r="F24" i="122"/>
  <c r="F60" i="122"/>
  <c r="F57" i="122"/>
  <c r="F39" i="122"/>
  <c r="F49" i="122"/>
  <c r="F43" i="122"/>
  <c r="F26" i="122"/>
  <c r="F40" i="122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D37" i="118"/>
  <c r="D6" i="118"/>
  <c r="M48" i="1" l="1"/>
  <c r="N48" i="1"/>
  <c r="O48" i="1" s="1"/>
  <c r="P48" i="1" s="1"/>
  <c r="I64" i="119"/>
  <c r="J64" i="119" s="1"/>
  <c r="N54" i="1"/>
  <c r="O54" i="1" s="1"/>
  <c r="M54" i="1"/>
  <c r="P27" i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Q53" i="118"/>
  <c r="Q54" i="118" s="1"/>
  <c r="K53" i="118"/>
  <c r="D53" i="118"/>
  <c r="G53" i="118" s="1"/>
  <c r="C48" i="118"/>
  <c r="D47" i="118"/>
  <c r="D46" i="118"/>
  <c r="D45" i="118"/>
  <c r="D44" i="118"/>
  <c r="D40" i="118"/>
  <c r="G40" i="118" s="1"/>
  <c r="O39" i="118"/>
  <c r="D39" i="118"/>
  <c r="O38" i="118"/>
  <c r="D38" i="118"/>
  <c r="G38" i="118" s="1"/>
  <c r="Q37" i="118"/>
  <c r="Q38" i="118" s="1"/>
  <c r="O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Q21" i="118"/>
  <c r="Q22" i="118" s="1"/>
  <c r="G21" i="118"/>
  <c r="C16" i="118"/>
  <c r="D14" i="118"/>
  <c r="D13" i="118"/>
  <c r="D8" i="118"/>
  <c r="G8" i="118" s="1"/>
  <c r="D7" i="118"/>
  <c r="G7" i="118" s="1"/>
  <c r="Q5" i="118"/>
  <c r="Q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P39" i="1" l="1"/>
  <c r="I55" i="119"/>
  <c r="J55" i="119" s="1"/>
  <c r="Q24" i="118"/>
  <c r="Q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O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K29" i="103" l="1"/>
  <c r="G21" i="122"/>
  <c r="I21" i="122" s="1"/>
  <c r="C22" i="122" s="1"/>
  <c r="I6" i="1"/>
  <c r="K6" i="1" s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J9" i="103"/>
  <c r="L29" i="103" l="1"/>
  <c r="M29" i="103"/>
  <c r="N29" i="103" s="1"/>
  <c r="O29" i="103" s="1"/>
  <c r="H22" i="122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 l="1"/>
  <c r="H27" i="122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l="1"/>
  <c r="H32" i="122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J40" i="122" l="1"/>
  <c r="H41" i="122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G14" i="101" s="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G15" i="104" s="1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G15" i="105" s="1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G9" i="107" s="1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G7" i="108" s="1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G17" i="109" s="1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G15" i="111" s="1"/>
  <c r="H15" i="111" s="1"/>
  <c r="F16" i="111"/>
  <c r="G16" i="111" s="1"/>
  <c r="F17" i="111"/>
  <c r="G17" i="111" s="1"/>
  <c r="H17" i="111" s="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G11" i="113" s="1"/>
  <c r="H11" i="113" s="1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E17" i="111"/>
  <c r="E16" i="11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E9" i="107"/>
  <c r="E8" i="107"/>
  <c r="E7" i="107"/>
  <c r="F6" i="107"/>
  <c r="H6" i="107" s="1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2" i="108" s="1"/>
  <c r="H18" i="108"/>
  <c r="J18" i="108" s="1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L6" i="113" l="1"/>
  <c r="K6" i="113"/>
  <c r="M6" i="113" s="1"/>
  <c r="N6" i="113" s="1"/>
  <c r="O6" i="113" s="1"/>
  <c r="M15" i="111"/>
  <c r="N15" i="111" s="1"/>
  <c r="O15" i="111" s="1"/>
  <c r="K15" i="111"/>
  <c r="J50" i="122"/>
  <c r="K14" i="109"/>
  <c r="J26" i="103"/>
  <c r="K26" i="103" s="1"/>
  <c r="L26" i="103" s="1"/>
  <c r="H51" i="122"/>
  <c r="G51" i="122" s="1"/>
  <c r="I51" i="122" s="1"/>
  <c r="C52" i="122" s="1"/>
  <c r="J27" i="103"/>
  <c r="K27" i="103" s="1"/>
  <c r="M27" i="103" s="1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 s="1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I19" i="101"/>
  <c r="H9" i="101"/>
  <c r="I9" i="101"/>
  <c r="I16" i="101"/>
  <c r="J16" i="101" s="1"/>
  <c r="H8" i="100"/>
  <c r="I8" i="100"/>
  <c r="J8" i="100" s="1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B5" i="15"/>
  <c r="J19" i="101" l="1"/>
  <c r="K19" i="101" s="1"/>
  <c r="J51" i="122"/>
  <c r="J9" i="101"/>
  <c r="K9" i="101" s="1"/>
  <c r="L9" i="101" s="1"/>
  <c r="L27" i="103"/>
  <c r="J32" i="103"/>
  <c r="K32" i="103" s="1"/>
  <c r="L32" i="103" s="1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K44" i="103" s="1"/>
  <c r="L44" i="103" s="1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N42" i="103"/>
  <c r="O42" i="103" s="1"/>
  <c r="M40" i="103"/>
  <c r="M39" i="103"/>
  <c r="K33" i="103"/>
  <c r="M33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N32" i="103" s="1"/>
  <c r="O32" i="103" s="1"/>
  <c r="M13" i="103"/>
  <c r="N13" i="103" s="1"/>
  <c r="O13" i="103" s="1"/>
  <c r="M28" i="103"/>
  <c r="N28" i="103" s="1"/>
  <c r="O28" i="103" s="1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26" i="103"/>
  <c r="O26" i="103" s="1"/>
  <c r="K25" i="103"/>
  <c r="M25" i="103" s="1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L25" i="103" l="1"/>
  <c r="O23" i="106"/>
  <c r="M16" i="103"/>
  <c r="N16" i="103" s="1"/>
  <c r="O16" i="103" s="1"/>
  <c r="O23" i="111"/>
  <c r="M23" i="102"/>
  <c r="N23" i="102" s="1"/>
  <c r="O23" i="102" s="1"/>
  <c r="J53" i="122"/>
  <c r="M16" i="100"/>
  <c r="N16" i="100" s="1"/>
  <c r="O16" i="100" s="1"/>
  <c r="L24" i="114"/>
  <c r="C11" i="120" s="1"/>
  <c r="C18" i="120" s="1"/>
  <c r="O22" i="107"/>
  <c r="M14" i="103"/>
  <c r="N14" i="103" s="1"/>
  <c r="O14" i="103" s="1"/>
  <c r="H54" i="122"/>
  <c r="G54" i="122" s="1"/>
  <c r="I54" i="122" s="1"/>
  <c r="C55" i="122" s="1"/>
  <c r="I22" i="119"/>
  <c r="J22" i="119" s="1"/>
  <c r="L74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N38" i="103"/>
  <c r="O38" i="103" s="1"/>
  <c r="N25" i="103"/>
  <c r="O25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F11" i="120" l="1"/>
  <c r="G11" i="120" s="1"/>
  <c r="O24" i="114"/>
  <c r="O25" i="114" s="1"/>
  <c r="O23" i="107"/>
  <c r="H55" i="122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55" i="122" l="1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K7" i="9" s="1"/>
  <c r="L7" i="9" s="1"/>
  <c r="J8" i="9"/>
  <c r="K8" i="9" s="1"/>
  <c r="L8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E6" i="9" l="1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24" l="1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 s="1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K19" i="103" s="1"/>
  <c r="M19" i="103" s="1"/>
  <c r="J17" i="103"/>
  <c r="K17" i="103" s="1"/>
  <c r="K22" i="103"/>
  <c r="M22" i="103" s="1"/>
  <c r="K21" i="103"/>
  <c r="M21" i="103" s="1"/>
  <c r="L21" i="103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M8" i="103"/>
  <c r="C9" i="120" l="1"/>
  <c r="C9" i="15"/>
  <c r="N8" i="103"/>
  <c r="O8" i="103" s="1"/>
  <c r="O46" i="103" s="1"/>
  <c r="G23" i="59"/>
  <c r="I72" i="119" l="1"/>
  <c r="C72" i="119"/>
  <c r="K74" i="119"/>
  <c r="F9" i="15"/>
  <c r="F12" i="15" s="1"/>
  <c r="C12" i="15"/>
  <c r="F9" i="120"/>
  <c r="C12" i="120"/>
  <c r="K28" i="117"/>
  <c r="O47" i="103"/>
  <c r="G9" i="15"/>
  <c r="G12" i="15" s="1"/>
  <c r="H22" i="59"/>
  <c r="H23" i="59" s="1"/>
  <c r="I9" i="59"/>
  <c r="B72" i="119" l="1"/>
  <c r="J72" i="119" s="1"/>
  <c r="J74" i="119" s="1"/>
  <c r="D8" i="15"/>
  <c r="D7" i="15"/>
  <c r="D10" i="15"/>
  <c r="D6" i="15"/>
  <c r="D5" i="15"/>
  <c r="D11" i="15"/>
  <c r="D4" i="15"/>
  <c r="C16" i="15"/>
  <c r="D9" i="15"/>
  <c r="F12" i="120"/>
  <c r="G9" i="120"/>
  <c r="G12" i="120" s="1"/>
  <c r="D8" i="120"/>
  <c r="D7" i="120"/>
  <c r="D6" i="120"/>
  <c r="D4" i="120"/>
  <c r="D5" i="120"/>
  <c r="D11" i="120"/>
  <c r="C16" i="120"/>
  <c r="D10" i="120"/>
  <c r="D9" i="120"/>
  <c r="K30" i="117"/>
  <c r="K31" i="117" s="1"/>
  <c r="K39" i="117" s="1"/>
  <c r="C15" i="15"/>
  <c r="C20" i="15" s="1"/>
  <c r="J9" i="59"/>
  <c r="I22" i="59"/>
  <c r="I23" i="59" s="1"/>
  <c r="B33" i="83"/>
  <c r="K3" i="15"/>
  <c r="J75" i="119" l="1"/>
  <c r="J76" i="119" s="1"/>
  <c r="L75" i="119"/>
  <c r="D12" i="15"/>
  <c r="I15" i="120"/>
  <c r="I17" i="120" s="1"/>
  <c r="I23" i="120" s="1"/>
  <c r="C15" i="120"/>
  <c r="D12" i="120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17" i="120" l="1"/>
  <c r="C20" i="120"/>
  <c r="C29" i="15"/>
  <c r="D29" i="15" s="1"/>
  <c r="D26" i="15"/>
  <c r="H16" i="59"/>
  <c r="H18" i="59" s="1"/>
  <c r="H29" i="59" s="1"/>
  <c r="H36" i="59" s="1"/>
  <c r="I6" i="59"/>
  <c r="C21" i="120" l="1"/>
  <c r="C24" i="120" s="1"/>
  <c r="D25" i="120" s="1"/>
  <c r="C25" i="120" s="1"/>
  <c r="C26" i="120" s="1"/>
  <c r="J6" i="59"/>
  <c r="I16" i="59"/>
  <c r="I18" i="59" s="1"/>
  <c r="I29" i="59" s="1"/>
  <c r="I36" i="59" s="1"/>
  <c r="G18" i="59"/>
  <c r="G29" i="59" s="1"/>
  <c r="G36" i="59" s="1"/>
  <c r="H43" i="59"/>
  <c r="H46" i="59" s="1"/>
  <c r="C29" i="120" l="1"/>
  <c r="D29" i="120" s="1"/>
  <c r="D26" i="120"/>
  <c r="I43" i="59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<sst xmlns="http://schemas.openxmlformats.org/spreadsheetml/2006/main" count="3709" uniqueCount="884">
  <si>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</si>
  <si>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</si>
  <si>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</si>
  <si>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</si>
  <si>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</si>
  <si>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</si>
  <si>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</si>
  <si>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</si>
  <si>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</si>
  <si>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</si>
  <si>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</si>
  <si>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</si>
  <si>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</si>
  <si>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</si>
  <si>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</si>
  <si>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</si>
  <si>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</si>
  <si>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</si>
  <si>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</si>
  <si>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</si>
  <si>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</si>
  <si>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</si>
  <si>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</si>
  <si>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</si>
  <si>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</si>
  <si>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</si>
  <si>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</si>
  <si>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</si>
  <si>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</si>
  <si>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</si>
  <si>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</si>
  <si>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</si>
  <si>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</si>
  <si>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</si>
  <si>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</si>
  <si>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</si>
  <si>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</si>
  <si>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</si>
  <si>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</si>
  <si>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</si>
  <si>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</si>
  <si>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</si>
  <si>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</si>
  <si>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</si>
  <si>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</si>
  <si>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</si>
  <si>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</si>
  <si>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</si>
  <si>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</si>
  <si>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</si>
  <si>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</si>
  <si>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</si>
  <si>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</si>
  <si>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</si>
  <si>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</si>
  <si>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</si>
  <si>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</si>
  <si>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</si>
  <si>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</si>
  <si>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</si>
  <si>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</si>
  <si>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</si>
  <si>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</si>
  <si>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</si>
  <si>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</si>
  <si>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</si>
  <si>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</si>
  <si>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</si>
  <si>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</si>
  <si>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</si>
  <si>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</si>
  <si>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</si>
  <si>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</si>
  <si>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</si>
  <si>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</si>
  <si>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</si>
  <si>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</si>
  <si>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</si>
  <si>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</si>
  <si>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</si>
  <si>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</si>
  <si>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</si>
  <si>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</si>
  <si>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</si>
  <si>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</si>
  <si>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</si>
  <si>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</si>
  <si>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</si>
  <si>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</si>
  <si>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</si>
  <si>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</si>
  <si>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</si>
  <si>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</si>
  <si>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</si>
  <si>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</si>
  <si>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</si>
  <si>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</si>
  <si>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</si>
  <si>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</si>
  <si>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</si>
  <si>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</si>
  <si>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</si>
  <si>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</si>
  <si>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</si>
  <si>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</si>
  <si>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</si>
  <si>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</si>
  <si>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</si>
  <si>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</si>
  <si>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</si>
  <si>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</si>
  <si>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</si>
  <si>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</si>
  <si>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</si>
  <si>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</si>
  <si>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</si>
  <si>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</si>
  <si>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</si>
  <si>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</si>
  <si>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</si>
  <si>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</si>
  <si>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</si>
  <si>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</si>
  <si>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</si>
  <si>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</si>
  <si>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</si>
  <si>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</si>
  <si>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</si>
  <si>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</si>
  <si>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</si>
  <si>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</si>
  <si>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</si>
  <si>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</si>
  <si>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</si>
  <si>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</si>
  <si>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</si>
  <si>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</si>
  <si>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</si>
  <si>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</si>
  <si>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</si>
  <si>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</si>
  <si>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</si>
  <si>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</si>
  <si>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</si>
  <si>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</si>
  <si>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</si>
  <si>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</si>
  <si>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</si>
  <si>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</si>
  <si>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</si>
  <si>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</si>
  <si>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</si>
  <si>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</si>
  <si>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</si>
  <si>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</si>
  <si>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</si>
  <si>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</si>
  <si>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</si>
  <si>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</si>
  <si>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</si>
  <si>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</si>
  <si>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</si>
  <si>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</si>
  <si>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</si>
  <si>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</si>
  <si>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</si>
  <si>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</si>
  <si>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</si>
  <si>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</si>
  <si>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</si>
  <si>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</si>
  <si>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</si>
  <si>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</si>
  <si>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</si>
  <si>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</si>
  <si>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</si>
  <si>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</si>
  <si>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</si>
  <si>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</si>
  <si>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</si>
  <si>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</si>
  <si>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</si>
  <si>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</si>
  <si>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</si>
  <si>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</si>
  <si>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</si>
  <si>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</si>
  <si>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</si>
  <si>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</si>
  <si>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</si>
  <si>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</si>
  <si>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</si>
  <si>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</si>
  <si>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</si>
  <si>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</si>
  <si>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</si>
  <si>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</si>
  <si>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</si>
  <si>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</si>
  <si>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</si>
  <si>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</si>
  <si>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</si>
  <si>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</si>
  <si>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</si>
  <si>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</si>
  <si>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</si>
  <si>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</si>
  <si>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</si>
  <si>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</si>
  <si>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</si>
  <si>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</si>
  <si>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</si>
  <si>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</si>
  <si>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</si>
  <si>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</si>
  <si>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</si>
  <si>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</si>
  <si>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</si>
  <si>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</si>
  <si>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</si>
  <si>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</si>
  <si>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</si>
  <si>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</si>
  <si>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</si>
  <si>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</si>
  <si>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</si>
  <si>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</si>
  <si>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</si>
  <si>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</si>
  <si>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</si>
  <si>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</si>
  <si>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</si>
  <si>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</si>
  <si>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</si>
  <si>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</si>
  <si>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</si>
  <si>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</si>
  <si>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</si>
  <si>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</si>
  <si>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</si>
  <si>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</si>
  <si>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</si>
  <si>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</si>
  <si>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</si>
  <si>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</si>
  <si>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</si>
  <si>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</si>
  <si>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</si>
  <si>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</si>
  <si>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</si>
  <si>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</si>
  <si>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</si>
  <si>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</si>
  <si>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</si>
  <si>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</si>
  <si>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</si>
  <si>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</si>
  <si>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</si>
  <si>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</si>
  <si>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</si>
  <si>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</si>
  <si>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</si>
  <si>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</si>
  <si>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</si>
  <si>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</si>
  <si>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</si>
  <si>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</si>
  <si>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</si>
  <si>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</si>
  <si>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</si>
  <si>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</si>
  <si>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</si>
  <si>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</si>
  <si>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</si>
  <si>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</si>
  <si>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</si>
  <si>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</si>
  <si>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</si>
  <si>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</si>
  <si>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</si>
  <si>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</si>
  <si>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</si>
  <si>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</si>
  <si>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</si>
  <si>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</si>
  <si>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</si>
  <si>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</si>
  <si>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</si>
  <si>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</si>
  <si>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</si>
  <si>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</si>
  <si>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</si>
  <si>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</si>
  <si>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</si>
  <si>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</si>
  <si>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</si>
  <si>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</si>
  <si>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</si>
  <si>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</si>
  <si>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</si>
  <si>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</si>
  <si>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</si>
  <si>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</si>
  <si>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</si>
  <si>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</si>
  <si>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</si>
  <si>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</si>
  <si>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</si>
  <si>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</si>
  <si>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</si>
  <si>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</si>
  <si>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</si>
  <si>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</si>
  <si>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</si>
  <si>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</si>
  <si>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</si>
  <si>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</si>
  <si>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</si>
  <si>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</si>
  <si>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</si>
  <si>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</si>
  <si>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</si>
  <si>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</si>
  <si>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</si>
  <si>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</si>
  <si>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</si>
  <si>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</si>
  <si>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</si>
  <si>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</si>
  <si>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</si>
  <si>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</si>
  <si>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</si>
  <si>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</si>
  <si>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</si>
  <si>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</si>
  <si>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</si>
  <si>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</si>
  <si>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</si>
  <si>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</si>
  <si>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</si>
  <si>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</si>
  <si>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</si>
  <si>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</si>
  <si>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</si>
  <si>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</si>
  <si>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</si>
  <si>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</si>
  <si>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</si>
  <si>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</si>
  <si>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</si>
  <si>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</si>
  <si>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</si>
  <si>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</si>
  <si>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</si>
  <si>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</si>
  <si>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</si>
  <si>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</si>
  <si>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</si>
  <si>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</si>
  <si>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</si>
  <si>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</si>
  <si>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</si>
  <si>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</si>
  <si>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</si>
  <si>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</si>
  <si>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</si>
  <si>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</si>
  <si>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</si>
  <si>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</si>
  <si>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</si>
  <si>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</si>
  <si>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</si>
  <si>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</si>
  <si>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</si>
  <si>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</si>
  <si>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</si>
  <si>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</si>
  <si>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</si>
  <si>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</si>
  <si>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</si>
  <si>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</si>
  <si>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</si>
  <si>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</si>
  <si>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</si>
  <si>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</si>
  <si>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</si>
  <si>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</si>
  <si>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</si>
  <si>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</si>
  <si>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</si>
  <si>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</si>
  <si>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</si>
  <si>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</si>
  <si>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</si>
  <si>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</si>
  <si>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</si>
  <si>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</si>
  <si>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</si>
  <si>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</si>
  <si>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</si>
  <si>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</si>
  <si>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</si>
  <si>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</si>
  <si>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</si>
  <si>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</si>
  <si>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</si>
  <si>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</si>
  <si>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</si>
  <si>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</si>
  <si>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</si>
  <si>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</si>
  <si>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</si>
  <si>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</si>
  <si>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</si>
  <si>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</si>
  <si>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</si>
  <si>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</si>
  <si>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</si>
  <si>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</si>
  <si>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</si>
  <si>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</si>
  <si>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</si>
  <si>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</si>
  <si>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</si>
  <si>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</si>
  <si>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</si>
  <si>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</si>
  <si>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</si>
  <si>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</si>
  <si>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</si>
  <si>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</si>
  <si>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</si>
  <si>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</si>
  <si>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</si>
  <si>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</si>
  <si>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</si>
  <si>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</si>
  <si>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</si>
  <si>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</si>
  <si>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</si>
  <si>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</si>
  <si>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</si>
  <si>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</si>
  <si>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</si>
  <si>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</si>
  <si>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</si>
  <si>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</si>
  <si>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</si>
  <si>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</si>
  <si>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</si>
  <si>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</si>
  <si>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</si>
  <si>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</si>
  <si>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</si>
  <si>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</si>
  <si>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</si>
  <si>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</si>
  <si>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</si>
  <si>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</si>
  <si>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</si>
  <si>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</si>
  <si>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</si>
  <si>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</si>
  <si>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</si>
  <si>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</si>
  <si>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</si>
  <si>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</si>
  <si>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</si>
  <si>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</si>
  <si>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</si>
  <si>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</si>
  <si>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</si>
  <si>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</si>
  <si>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</si>
  <si>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</si>
  <si>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</si>
  <si>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</si>
  <si>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</si>
  <si>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</si>
  <si>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</si>
  <si>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</si>
  <si>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</si>
  <si>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</si>
  <si>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</si>
  <si>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</si>
  <si>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</si>
  <si>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</si>
  <si>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</si>
  <si>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</si>
  <si>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</si>
  <si>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</si>
  <si>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</si>
  <si>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</si>
  <si>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</si>
  <si>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</si>
  <si>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</si>
  <si>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</si>
  <si>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</si>
  <si>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</si>
  <si>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</si>
  <si>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</si>
  <si>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</si>
  <si>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</si>
  <si>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</si>
  <si>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</si>
  <si>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</si>
  <si>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</si>
  <si>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</si>
  <si>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</si>
  <si>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</si>
  <si>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</si>
  <si>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</si>
  <si>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</si>
  <si>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</si>
  <si>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</si>
  <si>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</si>
  <si>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</si>
  <si>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</si>
  <si>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</si>
  <si>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</si>
  <si>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</si>
  <si>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</si>
  <si>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</si>
  <si>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</si>
  <si>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</si>
  <si>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</si>
  <si>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</si>
  <si>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</si>
  <si>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</si>
  <si>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</si>
  <si>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</si>
  <si>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</si>
  <si>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</si>
  <si>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</si>
  <si>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</si>
  <si>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</si>
  <si>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</si>
  <si>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</si>
  <si>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</si>
  <si>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</si>
  <si>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</si>
  <si>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</si>
  <si>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</si>
  <si>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</si>
  <si>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</si>
  <si>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</si>
  <si>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</si>
  <si>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</si>
  <si>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</si>
  <si>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</si>
  <si>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</si>
  <si>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</si>
  <si>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</si>
  <si>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</si>
  <si>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</si>
  <si>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</si>
  <si>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</si>
  <si>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</si>
  <si>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</si>
  <si>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</si>
  <si>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</si>
  <si>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</si>
  <si>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</si>
  <si>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</si>
  <si>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</si>
  <si>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</si>
  <si>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</si>
  <si>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</si>
  <si>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</si>
  <si>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</si>
  <si>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</si>
  <si>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</si>
  <si>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</si>
  <si>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</si>
  <si>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</si>
  <si>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</si>
  <si>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</si>
  <si>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</si>
  <si>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</si>
  <si>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</si>
  <si>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</si>
  <si>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</si>
  <si>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</si>
  <si>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</si>
  <si>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</si>
  <si>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</si>
  <si>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</si>
  <si>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</si>
  <si>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</si>
  <si>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</si>
  <si>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</si>
  <si>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</si>
  <si>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</si>
  <si>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</si>
  <si>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</si>
  <si>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</si>
  <si>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</si>
  <si>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</si>
  <si>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</si>
  <si>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</si>
  <si>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</si>
  <si>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</si>
  <si>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</si>
  <si>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</si>
  <si>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</si>
  <si>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</si>
  <si>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</si>
  <si>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</si>
  <si>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</si>
  <si>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</si>
  <si>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</si>
  <si>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</si>
  <si>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</si>
  <si>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</si>
  <si>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</si>
  <si>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</si>
  <si>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</si>
  <si>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</si>
  <si>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</si>
  <si>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</si>
  <si>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</si>
  <si>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</si>
  <si>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</si>
  <si>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</si>
  <si>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</si>
  <si>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</si>
  <si>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</si>
  <si>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</si>
  <si>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</si>
  <si>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</si>
  <si>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</si>
  <si>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</si>
  <si>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</si>
  <si>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</si>
  <si>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</si>
  <si>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</si>
  <si>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</si>
  <si>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</si>
  <si>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</si>
  <si>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</si>
  <si>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</si>
  <si>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</si>
  <si>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</si>
  <si>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</si>
  <si>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</si>
  <si>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Si al escribir en una celda cambia un numero en otra, esa otra es formula: no la toques ni la pises.</t>
  </si>
  <si>
    <t>Nunca escribas un precio de venta a mano. El precio de venta SALE del costo, no al reves.</t>
  </si>
  <si>
    <t>Columna</t>
  </si>
  <si>
    <t>Description</t>
  </si>
  <si>
    <t>El IVA de la columna es un COSTO: lo que el proveedor nos cobra a nosotros al comprar. El impuesto del cliente es la fila IMPUESTO de COTIZACION, y depende del regimen fiscal del cliente.</t>
  </si>
  <si>
    <t>El margen de OPEX GV es la formula =Equipos!N4. Si cambias el margen en Equipos, tambien se mueve el de OPEX GV, sin ningun aviso.</t>
  </si>
  <si>
    <t>Guia de pestanas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</si>
  <si>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</si>
  <si>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</si>
  <si>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</si>
  <si>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</si>
  <si>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</si>
  <si>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</si>
  <si>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</si>
  <si>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</si>
  <si>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</si>
  <si>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</si>
  <si>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</si>
  <si>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</si>
  <si>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</si>
  <si>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</si>
  <si>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</si>
  <si>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</si>
  <si>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</si>
  <si>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</si>
  <si>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</si>
  <si>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</si>
  <si>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</si>
  <si>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</si>
  <si>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</si>
  <si>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</si>
  <si>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</si>
  <si>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</si>
  <si>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</si>
  <si>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</si>
  <si>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</si>
  <si>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</si>
  <si>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</si>
  <si>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</si>
  <si>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</si>
  <si>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</si>
  <si>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</si>
  <si>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</si>
  <si>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</si>
  <si>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</si>
  <si>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</si>
  <si>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</si>
  <si>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</si>
  <si>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</si>
  <si>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</si>
  <si>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</si>
  <si>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</si>
  <si>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</si>
  <si>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</si>
  <si>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</si>
  <si>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</si>
  <si>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</si>
  <si>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</si>
  <si>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</si>
  <si>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</si>
  <si>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</si>
  <si>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</si>
  <si>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</si>
  <si>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</si>
  <si>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</si>
  <si>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</si>
  <si>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</si>
  <si>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</si>
  <si>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</si>
  <si>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</si>
  <si>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</si>
  <si>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</si>
  <si>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</si>
  <si>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</si>
  <si>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</si>
  <si>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</si>
  <si>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Donde</t>
  </si>
  <si>
    <t>La formula tal cual esta</t>
  </si>
  <si>
    <t>Que significa</t>
  </si>
  <si>
    <t>=E6*D6</t>
  </si>
  <si>
    <t>Costo unitario por cantidad. Es el FOB, antes de cualquier gasto.</t>
  </si>
  <si>
    <t>=IF(C6="si", E6*$G$4, 0)</t>
  </si>
  <si>
    <t>Solo se cobra si la linea es IMPORTADO = si. Si es compra local, da cero.</t>
  </si>
  <si>
    <t>=(E6+G6)*$H$4</t>
  </si>
  <si>
    <t>Un colchon sobre el costo mas el transporte. Se aplica siempre.</t>
  </si>
  <si>
    <t>=(E6+G6+H6)*$I$4</t>
  </si>
  <si>
    <t>El IVA que el PROVEEDOR nos cobra a nosotros. Es un costo, no es el impuesto del cliente.</t>
  </si>
  <si>
    <t>=IF(C6="si", (E6+G6+H6+I6)*$J$4, 0)</t>
  </si>
  <si>
    <t>El impuesto de aduanas. Igual que el transporte: solo si es importado.</t>
  </si>
  <si>
    <t>=E6+G6+H6+I6+J6</t>
  </si>
  <si>
    <t>Lo que de verdad cuesta poner una unidad en Costa Rica. Es la base de todo lo que sigue.</t>
  </si>
  <si>
    <t>=K6*$L$4</t>
  </si>
  <si>
    <t>Gasto administrativo sobre el costo nacionalizado.</t>
  </si>
  <si>
    <t>=(K6+L6)*$N$4/(1-$N$4)</t>
  </si>
  <si>
    <t>=N6+K6+L6</t>
  </si>
  <si>
    <t>Costo nacionalizado mas administracion mas utilidad. Es lo que ve el cliente por unidad.</t>
  </si>
  <si>
    <t>=O6*D6</t>
  </si>
  <si>
    <t>Precio unitario por cantidad.</t>
  </si>
  <si>
    <t>=SUM(P6:P55)</t>
  </si>
  <si>
    <t>La suma de las 50 lineas. Es lo que alimenta el SUBTOTAL de la cotizacion.</t>
  </si>
  <si>
    <t>=Equipos!D6</t>
  </si>
  <si>
    <t>Copia la cantidad de la linea 1 de Equipos. Las 50 lineas se espejan igual, filas 22 a 71.</t>
  </si>
  <si>
    <t>=Equipos!B6</t>
  </si>
  <si>
    <t>Copia la descripcion tal cual se escribio en Equipos.</t>
  </si>
  <si>
    <t>=Equipos!O6</t>
  </si>
  <si>
    <t>Copia el precio de venta unitario ya calculado.</t>
  </si>
  <si>
    <t>=I22*B22</t>
  </si>
  <si>
    <t>=SUM(J21:J73)</t>
  </si>
  <si>
    <t>=ROUNDDOWN(J74+J75, 2)</t>
  </si>
  <si>
    <t>=SUMIF(Equipos!$Q$6:$Q$55, A3, Equipos!$O$6:$O$55)</t>
  </si>
  <si>
    <t>=C4-C5-C6</t>
  </si>
  <si>
    <t>El monto a financiar, menos anticipos y otros ingresos.</t>
  </si>
  <si>
    <t>formula de anualidad estandar</t>
  </si>
  <si>
    <t>Cuadro n</t>
  </si>
  <si>
    <t>fila 3 + (n-1) * 17</t>
  </si>
  <si>
    <t>=IFERROR(IF(Equipos!Q6="","", INDEX(Financiamiento!$C:$C, 12+(Equipos!Q6-1)*17)), "")</t>
  </si>
  <si>
    <t>Busca el cuadro que corresponde al ID de esa linea y trae su cuota mensual. Si la linea no tiene ID, queda vacia.</t>
  </si>
  <si>
    <t>=IFERROR(I22*B22, "")</t>
  </si>
  <si>
    <t>Cuota unitaria por cantidad. El IFERROR esta porque multiplicar vacio por un numero da error.</t>
  </si>
  <si>
    <t>=[@Costo]/(1-[@[% de venta]])</t>
  </si>
  <si>
    <t>La misma logica de margen sobre precio de venta, aplicada al componente completo.</t>
  </si>
  <si>
    <t>=Equipos!N4</t>
  </si>
  <si>
    <t>='MANO DE OBRA '!G9+'MANO DE OBRA '!K9</t>
  </si>
  <si>
    <t>El costo de la primera linea de OPEX GV lo trae la pestana MANO DE OBRA.</t>
  </si>
  <si>
    <t>=Transporte!I3</t>
  </si>
  <si>
    <t>Y MANO DE OBRA, a su vez, toma el costo del viaje de la pestana Transporte.</t>
  </si>
  <si>
    <t>=F3*E3*D3</t>
  </si>
  <si>
    <t>Total de kilometros = cantidad de viajes por kilometros por viaje por cantidad de carros.</t>
  </si>
  <si>
    <t>=H3*G3</t>
  </si>
  <si>
    <t>Costo total = costo por kilometro por el total de kilometros.</t>
  </si>
  <si>
    <t>MATRIZ Y OFERTA</t>
  </si>
  <si>
    <t>Leer esto primero. Son cinco minutos y evitan los errores que mas caro salen.</t>
  </si>
  <si>
    <t xml:space="preserve">  QUE ES ESTE ARCHIVO</t>
  </si>
  <si>
    <t>Es el machote oficial de matriz de costo y oferta. No se trabaja sobre el original: se copia una vez a la carpeta Matriz-Oferta de la cotizacion, y se llena esa copia.</t>
  </si>
  <si>
    <t>Tiene 34 pestanas: 14 de trabajo, 4 de guia (esta y las tres del final) y 16 ocultas. Las ocultas son estructura de reserva y hojas de analisis que hoy no se usan.</t>
  </si>
  <si>
    <t xml:space="preserve">  LA REGLA DE ORO</t>
  </si>
  <si>
    <t>En cada pestana de producto se escriben CUATRO columnas. Todo lo demas son formulas que calculan solas.</t>
  </si>
  <si>
    <t xml:space="preserve">  EN QUE ORDEN SE LLENA</t>
  </si>
  <si>
    <t>1.  Datos del proyecto</t>
  </si>
  <si>
    <t>La ultima pestana antes de las guias. Cliente, tipo de cotizacion, regimen fiscal, porcentajes y financiamiento.</t>
  </si>
  <si>
    <t>2.  Equipos</t>
  </si>
  <si>
    <t>Las lineas de equipo que se van a vender. Es la pestana principal.</t>
  </si>
  <si>
    <t>3.  MATERIALES</t>
  </si>
  <si>
    <t>Materiales de instalacion, si el alcance los incluye.</t>
  </si>
  <si>
    <t>4.  MANO DE OBRA y Transporte</t>
  </si>
  <si>
    <t>Solo si la oferta incluye instalacion.</t>
  </si>
  <si>
    <t>5.  Financiamiento</t>
  </si>
  <si>
    <t>Solo si el proyecto lleva esa modalidad. Si no, se deja en blanco y no pasa nada.</t>
  </si>
  <si>
    <t>6.  COTIZACION</t>
  </si>
  <si>
    <t>No se escribe: se revisa. Es lo que ve el cliente.</t>
  </si>
  <si>
    <t xml:space="preserve">  LAS UNICAS CUATRO COLUMNAS QUE SE ESCRIBEN</t>
  </si>
  <si>
    <t>Que va ahi, y con que cuidado</t>
  </si>
  <si>
    <t>Marca + modelo + descripcion del catalogo. Se copia tal cual a la cotizacion, asi que tiene que entenderse del lado del cliente.</t>
  </si>
  <si>
    <t>Cuantas unidades pide el proyecto. Si no la sabes, preguntala. No la estimes.</t>
  </si>
  <si>
    <t>Medido: sobre 10 unidades de 100 dolares, la diferencia entre 'si' y 'no' es de 387,24 dolares, un 26,5%. Excel no muestra ningun error.</t>
  </si>
  <si>
    <t xml:space="preserve">  LAS OTRAS TRES GUIAS, AL FINAL DEL LIBRO</t>
  </si>
  <si>
    <t>Que hace cada pestana de trabajo, que se escribe a mano y que sale solo.</t>
  </si>
  <si>
    <t>Las 14 pestanas de trabajo, en el orden en que aparecen. No se listan las 4 de guia ni las 16 ocultas.</t>
  </si>
  <si>
    <t>Su total va a MANO DE OBRA. La tabla de la derecha guarda UNICAMENTE la distancia de cada destino.</t>
  </si>
  <si>
    <t>Las formulas que deciden la plata, explicadas en palabras. Ninguna se escribe a mano: todas vienen en el machote.</t>
  </si>
  <si>
    <t xml:space="preserve">  EQUIPOS - de costo de compra a precio de venta, linea por linea</t>
  </si>
  <si>
    <t>F6   Costo Total</t>
  </si>
  <si>
    <t>G6   Transporte</t>
  </si>
  <si>
    <t>H6   Imprevistos</t>
  </si>
  <si>
    <t>I6   IVA de linea</t>
  </si>
  <si>
    <t>OJO</t>
  </si>
  <si>
    <t>A diferencia del transporte y del DAI, esta formula NO mira la columna IMPORTADO. El porcentaje sale de la fila 4 de la pestana y se aplica a las 50 lineas por igual: en Equipos es 0% y en MATERIALES es 13%. O sea que el IVA lo decide EN QUE PESTANA escribiste la linea, no el producto.</t>
  </si>
  <si>
    <t>J6   DAI</t>
  </si>
  <si>
    <t>K6   Costo Nacionalizado</t>
  </si>
  <si>
    <t>L6   Administracion</t>
  </si>
  <si>
    <t>N6   Margen GV</t>
  </si>
  <si>
    <t>El margen esta en 27,40 %, y eso quiere decir 27,40 % del PRECIO DE VENTA, no del costo. Sobre el costo equivale a 37,74 %.</t>
  </si>
  <si>
    <t>Por eso divide entre (1 - margen) en vez de multiplicar directo: es la unica forma de que el porcentaje se cumpla sobre el precio final. Multiplicando nada mas, el margen real quedaria por debajo del que dice la celda.</t>
  </si>
  <si>
    <t>O6   Precio Venta unitario</t>
  </si>
  <si>
    <t>P6   Precio Venta total</t>
  </si>
  <si>
    <t>P57  Total Venta</t>
  </si>
  <si>
    <t xml:space="preserve">  COTIZACION - lo que ve el cliente. No se escribe, se espeja</t>
  </si>
  <si>
    <t>B22  Cantidad</t>
  </si>
  <si>
    <t>C22  Descripcion</t>
  </si>
  <si>
    <t>I22  Precio U.</t>
  </si>
  <si>
    <t>J22  Total</t>
  </si>
  <si>
    <t>J74  SUBTOTAL</t>
  </si>
  <si>
    <t>Suma de todas las lineas, ANTES del impuesto al cliente. Es el monto que se anota en el control de cotizaciones.</t>
  </si>
  <si>
    <t>J75  IMPUESTO</t>
  </si>
  <si>
    <t>=J74*IF(LOWER(TRIM('Datos del proyecto'!$B$15))="si",0, IF(ISNUMBER('Datos del proyecto'!$B$16), IF('Datos del proyecto'!$B$16&gt;1, 'Datos del proyecto'!$B$16/100, 'Datos del proyecto'!$B$16), 0.13))</t>
  </si>
  <si>
    <t>El impuesto que paga el cliente, leido de la ficha Datos del proyecto: si B15 dice si (cliente exento) da cero; si no, usa el porcentaje de B16; si B16 esta vacio usa 13%. Si escribis 13 en vez de 13%, lo toma como 13% igual.</t>
  </si>
  <si>
    <t>J76  TOTAL</t>
  </si>
  <si>
    <t>Subtotal mas impuesto, truncado a dos decimales. No redondea hacia arriba: corta.</t>
  </si>
  <si>
    <t xml:space="preserve">  FINANCIAMIENTO - un cuadro por cada linea que se financie</t>
  </si>
  <si>
    <t>C4   Total Venta Proyecto</t>
  </si>
  <si>
    <t>Busca en la columna Financ. de Equipos el ID de este cuadro y trae el precio de venta UNITARIO de esa linea. Si ningun ID coincide da cero, y el cuadro simplemente no aplica.</t>
  </si>
  <si>
    <t>Por eso cada linea financiada lleva un ID distinto: si dos lineas comparten el mismo numero, el SUMIF suma dos precios unitarios y el resultado no significa nada.</t>
  </si>
  <si>
    <t>C8   Total a Financiar</t>
  </si>
  <si>
    <t>C12  Cuota mensual</t>
  </si>
  <si>
    <t>La cuota que paga el cliente cada mes, segun el interes anual y el plazo de ese cuadro.</t>
  </si>
  <si>
    <t>Los cuadros de Equipos van en la columna A/B: el cuadro 1 arranca en la fila 3 y el cuadro 50 en la 836.</t>
  </si>
  <si>
    <t xml:space="preserve">  COTIZACION (Financ) - la version con cuota mensual</t>
  </si>
  <si>
    <t>I22  Precio Unit. Mensual</t>
  </si>
  <si>
    <t>J22  Total Mensual</t>
  </si>
  <si>
    <t xml:space="preserve">  RESUMEN - costo y margen por componente</t>
  </si>
  <si>
    <t>F4   P. Venta</t>
  </si>
  <si>
    <t>E4   % de venta</t>
  </si>
  <si>
    <t>El porcentaje de cada fila viene de la pestana que le corresponde.</t>
  </si>
  <si>
    <t xml:space="preserve">  OPEX GV, MANO DE OBRA y Transporte - la cadena que sorprende</t>
  </si>
  <si>
    <t>OPEX GV   M4</t>
  </si>
  <si>
    <t>El margen de OPEX GV NO es independiente: es el mismo de Equipos. Cambiarlo alla lo mueve aca, sin aviso. MATERIALES y OPEX Proyecto si tienen el suyo propio.</t>
  </si>
  <si>
    <t>OPEX GV   D6</t>
  </si>
  <si>
    <t>MANO DE OBRA   I5</t>
  </si>
  <si>
    <t>Transporte   G3</t>
  </si>
  <si>
    <t>Transporte   I3</t>
  </si>
  <si>
    <t>De la tabla de destinos sale UNICAMENTE la distancia. Cuantos viajes y cuantos carros lleva el proyecto se preguntan al cotizar: eso depende del sitio y no de una tabla.</t>
  </si>
  <si>
    <t>TARIFAS DE REFERENCIA (medidas sobre 649 cotizaciones reales, 2025-2026)</t>
  </si>
  <si>
    <t>Hora hombre ,90  -  se uso en el 99% de las cotizaciones</t>
  </si>
  <si>
    <t>Precio por dia   -  confirmado por preventa</t>
  </si>
  <si>
    <t>Alimentacion  por dia y persona  -  el 88% de los casos</t>
  </si>
  <si>
    <t>Costo por kilometro ,60  -  el 99% de los casos (va en la pestana Transporte)</t>
  </si>
  <si>
    <t>Hospedaje: se deja en CERO. Solo el 12% de las cotizaciones lo cobra, porque la mayoria de los trabajos no requieren quedarse.</t>
  </si>
  <si>
    <t xml:space="preserve">   Cuando SI aplica, la tarifa mas usada es  por noche (37 de 58 casos). Se escribe a mano en la columna J.</t>
  </si>
  <si>
    <t>Todos estos son valores por defecto, no fijos: se cambian aca mismo si el proyecto lo amerita.</t>
  </si>
  <si>
    <t>si / no, segun si Grupo Vision compra ese articulo fuera del pais. NO es donde se fabrica: una camara coreana comprada a un proveedor tico es 'no'. Una linea de flete va siempre como 'no': si va 'si', se le cobra transporte al transporte.</t>
  </si>
  <si>
    <t xml:space="preserve">  LOS CUATRO ERRORES QUE MAS CARO SALEN</t>
  </si>
  <si>
    <t>1.  Poner el MSRP como costo</t>
  </si>
  <si>
    <t>La cotizacion sale cerca del DOBLE. El MSRP es donde suele terminar el precio al cliente, no de donde arranca el calculo. Medido: en 57.607 lineas de 1.119 cotizaciones reales, nadie lo hizo nunca.</t>
  </si>
  <si>
    <t>2.  Poner mal IMPORTADO</t>
  </si>
  <si>
    <t>3.  Confundir los dos IVA</t>
  </si>
  <si>
    <t>4.  Cambiar el margen en Equipos</t>
  </si>
  <si>
    <t>Lo que Grupo Vision PAGA por una unidad, en dolares: la columna Precio de compra GV del catalogo (el precio dealer). Si la fila no tiene costo, se usa el precio de lista y se avisa, porque ahi el margen real queda mayor que el que muestra la matriz. NUNCA el MSRP como costo.</t>
  </si>
  <si>
    <t>Precio de compra GV del catalogo (dealer) / costo de una cotizacion real / precio de lista, solo si no hay precio de compra</t>
  </si>
  <si>
    <t>Lineas de Equipos</t>
  </si>
  <si>
    <t>Lineas de Productos 2</t>
  </si>
  <si>
    <t>Lineas de MATERIALES</t>
  </si>
  <si>
    <t>Lineas de OPEX GV</t>
  </si>
  <si>
    <t>Combustible por viaje</t>
  </si>
  <si>
    <t>Hospedaje por noche</t>
  </si>
  <si>
    <t>Viajes</t>
  </si>
  <si>
    <t>Noches</t>
  </si>
  <si>
    <t>Combustible por viaje en colones</t>
  </si>
  <si>
    <t>Si quedan vacios, viajes y noches = dias</t>
  </si>
  <si>
    <t>El hospedaje (col. J) es el costo de UNA noche para todo el equipo, por las noches de la col. M. El combustible (col. I) es por viaje de ida y vuelta, por los viajes de la col. L; si te lo dan en colones, va en la col. 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</si>
</sst>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dd/mm/yyyy"/>
    <numFmt numFmtId="185" formatCode="0;\-0;;@"/>
    <numFmt numFmtId="186" formatCode="General;\-General;;@"/>
    <numFmt numFmtId="187" formatCode="_([$$-409]* #,##0.00_);_([$$-409]* \(#,##0.00\);;_(@_)"/>
    <numFmt numFmtId="188" formatCode="#,##0;\-#,##0;;@"/>
  </numFmts>
  <fonts count="9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sz val="11"/>
      <color rgb="FF404040"/>
      <name val="Calibri"/>
      <family val="2"/>
    </font>
    <font>
      <b/>
      <sz val="22"/>
      <color rgb="FF17365D"/>
      <name val="Calibri"/>
      <family val="2"/>
    </font>
    <font>
      <i/>
      <sz val="10.5"/>
      <color rgb="FF6E6E6E"/>
      <name val="Calibri"/>
      <family val="2"/>
    </font>
    <font>
      <b/>
      <sz val="11"/>
      <color rgb="FF404040"/>
      <name val="Calibri"/>
      <family val="2"/>
    </font>
    <font>
      <b/>
      <sz val="12"/>
      <color rgb="FFFFFFFF"/>
      <name val="Calibri"/>
      <family val="2"/>
    </font>
    <font>
      <b/>
      <sz val="12.5"/>
      <color rgb="FF2F5496"/>
      <name val="Calibri"/>
      <family val="2"/>
    </font>
    <font>
      <b/>
      <sz val="11"/>
      <color rgb="FFFFFFFF"/>
      <name val="Calibri"/>
      <family val="2"/>
    </font>
    <font>
      <b/>
      <sz val="11"/>
      <color rgb="FFBF8F00"/>
      <name val="Calibri"/>
      <family val="2"/>
    </font>
    <font>
      <b/>
      <sz val="11"/>
      <color rgb="FF2F5496"/>
      <name val="Calibri"/>
      <family val="2"/>
    </font>
    <font>
      <b/>
      <sz val="11"/>
      <color rgb="FF17365D"/>
      <name val="Calibri"/>
      <family val="2"/>
    </font>
    <font>
      <sz val="9"/>
      <color rgb="FF404040"/>
      <name val="Consolas"/>
      <family val="3"/>
    </font>
    <font>
      <i/>
      <sz val="11"/>
      <color rgb="FF404040"/>
      <name val="Calibri"/>
      <family val="2"/>
    </font>
    <font>
      <b/>
      <sz val="14"/>
      <color rgb="FF1F3864"/>
      <name val="Arial"/>
      <family val="2"/>
    </font>
    <font>
      <b/>
      <sz val="11"/>
      <color rgb="FFC00000"/>
      <name val="Calibri"/>
      <family val="2"/>
      <scheme val="minor"/>
    </font>
    <font>
      <b/>
      <i/>
      <sz val="1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3864"/>
        <bgColor indexed="64"/>
      </patternFill>
    </fill>
  </fills>
  <borders count="8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60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70" fillId="31" borderId="0" xfId="0" applyFont="1" applyFill="1"/>
    <xf numFmtId="184" fontId="0" fillId="0" borderId="0" xfId="0" applyNumberFormat="1"/>
    <xf numFmtId="0" fontId="71" fillId="0" borderId="0" xfId="0" applyFont="1"/>
    <xf numFmtId="0" fontId="72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3" fillId="0" borderId="0" xfId="0" applyFont="1"/>
    <xf numFmtId="169" fontId="74" fillId="0" borderId="0" xfId="72" applyFont="1"/>
    <xf numFmtId="0" fontId="75" fillId="47" borderId="0" xfId="0" applyFont="1" applyFill="1"/>
    <xf numFmtId="0" fontId="76" fillId="47" borderId="0" xfId="0" applyFont="1" applyFill="1"/>
    <xf numFmtId="0" fontId="77" fillId="47" borderId="0" xfId="0" applyFont="1" applyFill="1"/>
    <xf numFmtId="0" fontId="75" fillId="47" borderId="0" xfId="0" applyFont="1" applyFill="1" applyAlignment="1">
      <alignment vertical="top" wrapText="1"/>
    </xf>
    <xf numFmtId="0" fontId="78" fillId="47" borderId="0" xfId="0" applyFont="1" applyFill="1" applyAlignment="1">
      <alignment vertical="top"/>
    </xf>
    <xf numFmtId="0" fontId="81" fillId="46" borderId="0" xfId="0" applyFont="1" applyFill="1" applyAlignment="1">
      <alignment horizontal="left" vertical="center" indent="1"/>
    </xf>
    <xf numFmtId="0" fontId="78" fillId="47" borderId="78" xfId="0" applyFont="1" applyFill="1" applyBorder="1" applyAlignment="1">
      <alignment horizontal="left" vertical="top" indent="1"/>
    </xf>
    <xf numFmtId="0" fontId="75" fillId="47" borderId="78" xfId="0" applyFont="1" applyFill="1" applyBorder="1" applyAlignment="1">
      <alignment horizontal="left" vertical="top" wrapText="1" indent="1"/>
    </xf>
    <xf numFmtId="0" fontId="78" fillId="49" borderId="78" xfId="0" applyFont="1" applyFill="1" applyBorder="1" applyAlignment="1">
      <alignment horizontal="left" vertical="top" indent="1"/>
    </xf>
    <xf numFmtId="0" fontId="75" fillId="49" borderId="78" xfId="0" applyFont="1" applyFill="1" applyBorder="1" applyAlignment="1">
      <alignment horizontal="left" vertical="top" wrapText="1" indent="1"/>
    </xf>
    <xf numFmtId="0" fontId="82" fillId="50" borderId="0" xfId="0" applyFont="1" applyFill="1" applyAlignment="1">
      <alignment horizontal="left" vertical="top" indent="1"/>
    </xf>
    <xf numFmtId="0" fontId="75" fillId="50" borderId="0" xfId="0" applyFont="1" applyFill="1" applyAlignment="1">
      <alignment horizontal="left" vertical="top" wrapText="1" indent="1"/>
    </xf>
    <xf numFmtId="0" fontId="83" fillId="47" borderId="0" xfId="0" applyFont="1" applyFill="1" applyAlignment="1">
      <alignment horizontal="left" vertical="top" indent="1"/>
    </xf>
    <xf numFmtId="0" fontId="81" fillId="46" borderId="78" xfId="0" applyFont="1" applyFill="1" applyBorder="1" applyAlignment="1">
      <alignment horizontal="left" vertical="center" indent="1"/>
    </xf>
    <xf numFmtId="0" fontId="84" fillId="47" borderId="78" xfId="0" applyFont="1" applyFill="1" applyBorder="1" applyAlignment="1">
      <alignment horizontal="left" vertical="top" wrapText="1" indent="1"/>
    </xf>
    <xf numFmtId="0" fontId="84" fillId="49" borderId="78" xfId="0" applyFont="1" applyFill="1" applyBorder="1" applyAlignment="1">
      <alignment horizontal="left" vertical="top" wrapText="1" indent="1"/>
    </xf>
    <xf numFmtId="49" fontId="75" fillId="47" borderId="0" xfId="0" applyNumberFormat="1" applyFont="1" applyFill="1"/>
    <xf numFmtId="49" fontId="81" fillId="46" borderId="78" xfId="0" applyNumberFormat="1" applyFont="1" applyFill="1" applyBorder="1" applyAlignment="1">
      <alignment horizontal="left" vertical="center" indent="1"/>
    </xf>
    <xf numFmtId="0" fontId="78" fillId="47" borderId="78" xfId="0" applyFont="1" applyFill="1" applyBorder="1" applyAlignment="1">
      <alignment horizontal="left" vertical="top" wrapText="1" indent="1"/>
    </xf>
    <xf numFmtId="49" fontId="85" fillId="47" borderId="78" xfId="0" applyNumberFormat="1" applyFont="1" applyFill="1" applyBorder="1" applyAlignment="1">
      <alignment horizontal="left" vertical="top" wrapText="1" indent="1"/>
    </xf>
    <xf numFmtId="0" fontId="78" fillId="49" borderId="78" xfId="0" applyFont="1" applyFill="1" applyBorder="1" applyAlignment="1">
      <alignment horizontal="left" vertical="top" wrapText="1" indent="1"/>
    </xf>
    <xf numFmtId="49" fontId="85" fillId="49" borderId="78" xfId="0" applyNumberFormat="1" applyFont="1" applyFill="1" applyBorder="1" applyAlignment="1">
      <alignment horizontal="left" vertical="top" wrapText="1" indent="1"/>
    </xf>
    <xf numFmtId="0" fontId="82" fillId="50" borderId="78" xfId="0" applyFont="1" applyFill="1" applyBorder="1" applyAlignment="1">
      <alignment horizontal="left" vertical="top" indent="1"/>
    </xf>
    <xf numFmtId="0" fontId="72" fillId="0" borderId="0" xfId="119" applyFont="1"/>
    <xf numFmtId="0" fontId="8" fillId="0" borderId="0" xfId="119" applyFont="1"/>
    <xf numFmtId="185" fontId="66" fillId="8" borderId="8" xfId="121" applyNumberFormat="1" applyFont="1" applyFill="1" applyBorder="1" applyAlignment="1">
      <alignment horizontal="center" vertical="center"/>
    </xf>
    <xf numFmtId="187" fontId="67" fillId="8" borderId="8" xfId="123" applyNumberFormat="1" applyFont="1" applyFill="1" applyBorder="1" applyAlignment="1">
      <alignment vertical="center"/>
    </xf>
    <xf numFmtId="0" fontId="87" fillId="0" borderId="0" xfId="0" applyFont="1"/>
    <xf numFmtId="0" fontId="8" fillId="51" borderId="0" xfId="0" applyFont="1" applyFill="1"/>
    <xf numFmtId="0" fontId="70" fillId="52" borderId="2" xfId="0" applyFont="1" applyFill="1" applyBorder="1"/>
    <xf numFmtId="0" fontId="70" fillId="52" borderId="3" xfId="0" applyFont="1" applyFill="1" applyBorder="1"/>
    <xf numFmtId="0" fontId="70" fillId="52" borderId="4" xfId="0" applyFont="1" applyFill="1" applyBorder="1"/>
    <xf numFmtId="0" fontId="0" fillId="0" borderId="5" xfId="0" applyBorder="1"/>
    <xf numFmtId="0" fontId="0" fillId="0" borderId="79" xfId="0" applyBorder="1"/>
    <xf numFmtId="182" fontId="0" fillId="0" borderId="0" xfId="0" applyNumberFormat="1"/>
    <xf numFmtId="1" fontId="0" fillId="0" borderId="0" xfId="0" applyNumberFormat="1"/>
    <xf numFmtId="10" fontId="0" fillId="50" borderId="1" xfId="0" applyNumberFormat="1" applyFill="1" applyBorder="1"/>
    <xf numFmtId="182" fontId="8" fillId="0" borderId="1" xfId="0" applyNumberFormat="1" applyFont="1" applyBorder="1"/>
    <xf numFmtId="0" fontId="8" fillId="0" borderId="6" xfId="0" applyFont="1" applyBorder="1"/>
    <xf numFmtId="182" fontId="8" fillId="0" borderId="6" xfId="0" applyNumberFormat="1" applyFont="1" applyBorder="1"/>
    <xf numFmtId="184" fontId="0" fillId="50" borderId="1" xfId="0" applyNumberFormat="1" applyFill="1" applyBorder="1"/>
    <xf numFmtId="182" fontId="0" fillId="50" borderId="1" xfId="0" applyNumberFormat="1" applyFill="1" applyBorder="1"/>
    <xf numFmtId="1" fontId="0" fillId="50" borderId="1" xfId="0" applyNumberFormat="1" applyFill="1" applyBorder="1"/>
    <xf numFmtId="1" fontId="0" fillId="0" borderId="7" xfId="0" applyNumberFormat="1" applyBorder="1"/>
    <xf numFmtId="182" fontId="8" fillId="0" borderId="7" xfId="0" applyNumberFormat="1" applyFont="1" applyBorder="1"/>
    <xf numFmtId="0" fontId="70" fillId="52" borderId="0" xfId="0" applyFont="1" applyFill="1" applyAlignment="1">
      <alignment wrapText="1"/>
    </xf>
    <xf numFmtId="0" fontId="88" fillId="8" borderId="0" xfId="121" applyFont="1" applyFill="1"/>
    <xf numFmtId="0" fontId="40" fillId="28" borderId="0" xfId="119" applyFont="1" applyFill="1" applyAlignment="1">
      <alignment horizontal="center" vertical="center"/>
    </xf>
    <xf numFmtId="182" fontId="0" fillId="50" borderId="0" xfId="0" applyNumberFormat="1" applyFill="1"/>
    <xf numFmtId="0" fontId="8" fillId="0" borderId="0" xfId="0" applyFont="1"/>
    <xf numFmtId="182" fontId="8" fillId="0" borderId="0" xfId="0" applyNumberFormat="1" applyFont="1"/>
    <xf numFmtId="1" fontId="0" fillId="50" borderId="0" xfId="0" applyNumberFormat="1" applyFill="1"/>
    <xf numFmtId="0" fontId="70" fillId="52" borderId="3" xfId="0" applyFont="1" applyFill="1" applyBorder="1"/>
    <xf numFmtId="0" fontId="70" fillId="52" borderId="4" xfId="0" applyFont="1" applyFill="1" applyBorder="1"/>
    <xf numFmtId="0" fontId="75" fillId="47" borderId="0" xfId="0" applyFont="1" applyFill="1" applyAlignment="1">
      <alignment vertical="top" wrapText="1"/>
    </xf>
    <xf numFmtId="0" fontId="79" fillId="48" borderId="0" xfId="0" applyFont="1" applyFill="1" applyAlignment="1">
      <alignment vertical="center"/>
    </xf>
    <xf numFmtId="0" fontId="75" fillId="48" borderId="0" xfId="0" applyFont="1" applyFill="1" applyAlignment="1">
      <alignment vertical="center"/>
    </xf>
    <xf numFmtId="0" fontId="80" fillId="47" borderId="0" xfId="0" applyFont="1" applyFill="1" applyAlignment="1">
      <alignment vertical="top" wrapText="1"/>
    </xf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49" fontId="47" fillId="0" borderId="8" xfId="118" applyNumberFormat="1" applyFont="1" applyBorder="1" applyAlignment="1">
      <alignment horizontal="left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169" fontId="2" fillId="0" borderId="26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/>
    </xf>
    <xf numFmtId="49" fontId="8" fillId="8" borderId="76" xfId="121" applyNumberFormat="1" applyFont="1" applyFill="1" applyBorder="1" applyProtection="1">
      <protection locked="0"/>
    </xf>
    <xf numFmtId="186" fontId="67" fillId="8" borderId="9" xfId="123" applyNumberFormat="1" applyFont="1" applyFill="1" applyBorder="1" applyAlignment="1">
      <alignment horizontal="center" vertical="center" wrapText="1"/>
    </xf>
    <xf numFmtId="186" fontId="67" fillId="8" borderId="10" xfId="123" applyNumberFormat="1" applyFont="1" applyFill="1" applyBorder="1" applyAlignment="1">
      <alignment horizontal="center" vertical="center" wrapText="1"/>
    </xf>
    <xf numFmtId="186" fontId="67" fillId="8" borderId="11" xfId="123" applyNumberFormat="1" applyFont="1" applyFill="1" applyBorder="1" applyAlignment="1">
      <alignment horizontal="center" vertical="center" wrapText="1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0" fontId="67" fillId="8" borderId="9" xfId="123" applyNumberFormat="1" applyFont="1" applyFill="1" applyBorder="1" applyAlignment="1">
      <alignment horizontal="center" vertical="center" wrapText="1"/>
    </xf>
    <xf numFmtId="0" fontId="67" fillId="8" borderId="10" xfId="123" applyNumberFormat="1" applyFont="1" applyFill="1" applyBorder="1" applyAlignment="1">
      <alignment horizontal="center" vertical="center" wrapText="1"/>
    </xf>
    <xf numFmtId="0" fontId="67" fillId="8" borderId="11" xfId="123" applyNumberFormat="1" applyFont="1" applyFill="1" applyBorder="1" applyAlignment="1">
      <alignment horizontal="center" vertical="center" wrapText="1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56" fillId="0" borderId="6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  <xf numFmtId="0" fontId="79" fillId="48" borderId="78" xfId="0" applyFont="1" applyFill="1" applyBorder="1" applyAlignment="1">
      <alignment vertical="center"/>
    </xf>
    <xf numFmtId="0" fontId="75" fillId="48" borderId="78" xfId="0" applyFont="1" applyFill="1" applyBorder="1" applyAlignment="1">
      <alignment vertical="center"/>
    </xf>
    <xf numFmtId="49" fontId="86" fillId="50" borderId="78" xfId="0" applyNumberFormat="1" applyFont="1" applyFill="1" applyBorder="1" applyAlignment="1">
      <alignment horizontal="left" vertical="top" wrapText="1" indent="1"/>
    </xf>
    <xf numFmtId="49" fontId="75" fillId="50" borderId="78" xfId="0" applyNumberFormat="1" applyFont="1" applyFill="1" applyBorder="1" applyAlignment="1">
      <alignment horizontal="left" vertical="top" wrapText="1" indent="1"/>
    </xf>
    <xf numFmtId="0" fontId="54" fillId="9" borderId="0" xfId="119" applyFont="1" applyFill="1" applyBorder="1" applyAlignment="1">
      <alignment horizontal="center" vertical="center"/>
    </xf>
    <xf numFmtId="0" fontId="33" fillId="0" borderId="0" xfId="119" applyFont="1" applyBorder="1" applyAlignment="1">
      <alignment horizontal="center"/>
    </xf>
    <xf numFmtId="164" fontId="0" fillId="9" borderId="0" xfId="120" applyNumberFormat="1" applyFont="1" applyFill="1" applyBorder="1"/>
    <xf numFmtId="164" fontId="33" fillId="13" borderId="0" xfId="120" applyNumberFormat="1" applyFont="1" applyFill="1" applyBorder="1"/>
    <xf numFmtId="0" fontId="40" fillId="28" borderId="0" xfId="119" applyFont="1" applyFill="1" applyBorder="1" applyAlignment="1">
      <alignment horizontal="center" vertical="center"/>
    </xf>
    <xf numFmtId="170" fontId="33" fillId="0" borderId="0" xfId="119" applyNumberFormat="1" applyFont="1" applyBorder="1"/>
    <xf numFmtId="0" fontId="33" fillId="0" borderId="8" xfId="119" applyFont="1" applyBorder="1" applyAlignment="1">
      <alignment horizontal="center" wrapText="1"/>
    </xf>
    <xf numFmtId="0" fontId="89" fillId="9" borderId="0" xfId="119" applyFont="1" applyFill="1" applyBorder="1" applyAlignment="1">
      <alignment horizontal="center" vertical="center" wrapText="1"/>
    </xf>
    <xf numFmtId="185" fontId="0" fillId="0" borderId="8" xfId="120" applyNumberFormat="1" applyFont="1" applyBorder="1"/>
    <xf numFmtId="188" fontId="0" fillId="0" borderId="8" xfId="120" applyNumberFormat="1" applyFont="1" applyBorder="1"/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7">
    <dxf>
      <border>
        <bottom style="thin">
          <color rgb="FFBFBFBF"/>
        </bottom>
      </border>
    </dxf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42" Type="http://schemas.openxmlformats.org/officeDocument/2006/relationships/externalLink" Target="externalLinks/externalLink9.xml"/><Relationship Id="rId47" Type="http://schemas.openxmlformats.org/officeDocument/2006/relationships/externalLink" Target="externalLinks/externalLink14.xml"/><Relationship Id="rId50" Type="http://schemas.openxmlformats.org/officeDocument/2006/relationships/externalLink" Target="externalLinks/externalLink17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4.xml"/><Relationship Id="rId40" Type="http://schemas.openxmlformats.org/officeDocument/2006/relationships/externalLink" Target="externalLinks/externalLink7.xml"/><Relationship Id="rId45" Type="http://schemas.openxmlformats.org/officeDocument/2006/relationships/externalLink" Target="externalLinks/externalLink12.xml"/><Relationship Id="rId53" Type="http://schemas.openxmlformats.org/officeDocument/2006/relationships/externalLink" Target="externalLinks/externalLink20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2.xml"/><Relationship Id="rId43" Type="http://schemas.openxmlformats.org/officeDocument/2006/relationships/externalLink" Target="externalLinks/externalLink10.xml"/><Relationship Id="rId48" Type="http://schemas.openxmlformats.org/officeDocument/2006/relationships/externalLink" Target="externalLinks/externalLink15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5.xml"/><Relationship Id="rId46" Type="http://schemas.openxmlformats.org/officeDocument/2006/relationships/externalLink" Target="externalLinks/externalLink13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8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3.xml"/><Relationship Id="rId49" Type="http://schemas.openxmlformats.org/officeDocument/2006/relationships/externalLink" Target="externalLinks/externalLink16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1.xml"/><Relationship Id="rId5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6" dataDxfId="34" headerRowBorderDxfId="35">
  <tableColumns count="10">
    <tableColumn id="1" xr3:uid="{5368EB3B-6918-4618-8BB0-CF3E56463251}" name="Resumen del Proyecto" dataDxfId="33" totalsRowDxfId="32"/>
    <tableColumn id="9" xr3:uid="{C10142B2-0A47-4973-B737-0EF89BE7B7E6}" name="Cantidad total para proyecto" totalsRowDxfId="31"/>
    <tableColumn id="8" xr3:uid="{013A2879-C2FB-4AA7-A709-4B7B5B5C34C8}" name="Costo Unitario" totalsRowDxfId="30"/>
    <tableColumn id="2" xr3:uid="{B308F15D-5974-47F6-8D5C-853299A387A5}" name="Costo total" dataDxfId="29"/>
    <tableColumn id="3" xr3:uid="{C3D146A9-6CCC-4565-98E1-552B11B2EB35}" name="% del costo" dataDxfId="28"/>
    <tableColumn id="10" xr3:uid="{23F821D9-BF50-44E2-B6E8-7ACA6D120F9D}" name="Venta Unitario" dataDxfId="27"/>
    <tableColumn id="5" xr3:uid="{419626AA-09A9-4EF3-8251-42DC7A4ED9A4}" name="P. Venta total" dataDxfId="26"/>
    <tableColumn id="6" xr3:uid="{86F3DDE9-7F25-4C2F-9F65-039401B183B8}" name="Costo Mensual (4 años) " dataDxfId="25"/>
    <tableColumn id="11" xr3:uid="{A1023F84-9BA3-48A7-8E65-E4986AF4EAAD}" name="Venta mensual (4 años) Unitaria" dataDxfId="24"/>
    <tableColumn id="12" xr3:uid="{8DB11FCD-6D9A-461B-A0DD-6590A2160C4C}" name="Venta mensual total " dataDxfId="23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2" dataDxfId="20" headerRowBorderDxfId="21">
  <tableColumns count="6">
    <tableColumn id="1" xr3:uid="{00000000-0010-0000-0000-000001000000}" name="Resumen del Proyecto" dataDxfId="19" totalsRowDxfId="18"/>
    <tableColumn id="2" xr3:uid="{00000000-0010-0000-0000-000002000000}" name="Costo" dataDxfId="17"/>
    <tableColumn id="3" xr3:uid="{00000000-0010-0000-0000-000003000000}" name="% del costo" dataDxfId="16"/>
    <tableColumn id="4" xr3:uid="{00000000-0010-0000-0000-000004000000}" name="% de venta" dataDxfId="15"/>
    <tableColumn id="5" xr3:uid="{00000000-0010-0000-0000-000005000000}" name="P. Venta " dataDxfId="14"/>
    <tableColumn id="6" xr3:uid="{00000000-0010-0000-0000-000006000000}" name="Margen X Componente" dataDxfId="1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2" dataDxfId="10" headerRowBorderDxfId="11">
  <tableColumns count="6">
    <tableColumn id="1" xr3:uid="{537B03A0-2C23-416A-AF5B-E6ADD909FCAA}" name="Resumen del Proyecto" dataDxfId="9" totalsRowDxfId="8"/>
    <tableColumn id="2" xr3:uid="{1B8520EC-58AD-4B7E-A295-1E5013A58461}" name="Costo" dataDxfId="7"/>
    <tableColumn id="3" xr3:uid="{46550BCA-C462-4104-8445-D7F18A4DEAE3}" name="% del costo" dataDxfId="6"/>
    <tableColumn id="4" xr3:uid="{9572AAF8-9F15-4B15-8B1D-A37F48F1C326}" name="% de venta" dataDxfId="5"/>
    <tableColumn id="5" xr3:uid="{5B5A9EF9-2DA7-48C0-A8E5-90D96442665A}" name="P. Venta " dataDxfId="4"/>
    <tableColumn id="6" xr3:uid="{00524EC1-8078-486B-9E00-DDC32042D459}" name="Margen X Componente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4588-A4EE-4DB2-BF7E-3770A8F1C237}">
  <sheetPr>
    <tabColor rgb="FF17365D"/>
  </sheetPr>
  <dimension ref="B1:C36"/>
  <sheetViews>
    <sheetView showGridLines="0" workbookViewId="0"/>
  </sheetViews>
  <sheetFormatPr defaultRowHeight="14.5"/>
  <cols>
    <col min="1" max="1" width="3.1796875" style="451" customWidth="1"/>
    <col min="2" max="2" width="34.6328125" style="451" customWidth="1"/>
    <col min="3" max="3" width="98.6328125" style="451" customWidth="1"/>
    <col min="4" max="16384" width="8.7265625" style="451"/>
  </cols>
  <sheetData>
    <row r="1" spans="2:3" ht="32" customHeight="1">
      <c r="B1" s="452" t="s">
        <v>775</v>
      </c>
    </row>
    <row r="2" spans="2:3" ht="16" customHeight="1">
      <c r="B2" s="453" t="s">
        <v>776</v>
      </c>
    </row>
    <row r="3" spans="2:3" ht="8" customHeight="1"/>
    <row r="4" spans="2:3" ht="15.5">
      <c r="B4" s="506" t="s">
        <v>777</v>
      </c>
      <c r="C4" s="507"/>
    </row>
    <row r="5" spans="2:3">
      <c r="B5" s="505" t="s">
        <v>778</v>
      </c>
      <c r="C5" s="505"/>
    </row>
    <row r="6" spans="2:3">
      <c r="B6" s="505" t="s">
        <v>779</v>
      </c>
      <c r="C6" s="505"/>
    </row>
    <row r="8" spans="2:3" ht="15.5">
      <c r="B8" s="506" t="s">
        <v>780</v>
      </c>
      <c r="C8" s="507"/>
    </row>
    <row r="9" spans="2:3" ht="16.5">
      <c r="B9" s="508" t="s">
        <v>781</v>
      </c>
      <c r="C9" s="508"/>
    </row>
    <row r="10" spans="2:3">
      <c r="B10" s="505" t="s">
        <v>645</v>
      </c>
      <c r="C10" s="505"/>
    </row>
    <row r="11" spans="2:3">
      <c r="B11" s="505" t="s">
        <v>646</v>
      </c>
      <c r="C11" s="505"/>
    </row>
    <row r="13" spans="2:3" ht="15.5">
      <c r="B13" s="506" t="s">
        <v>782</v>
      </c>
      <c r="C13" s="507"/>
    </row>
    <row r="14" spans="2:3">
      <c r="B14" s="455" t="s">
        <v>783</v>
      </c>
      <c r="C14" s="454" t="s">
        <v>784</v>
      </c>
    </row>
    <row r="15" spans="2:3">
      <c r="B15" s="455" t="s">
        <v>785</v>
      </c>
      <c r="C15" s="454" t="s">
        <v>786</v>
      </c>
    </row>
    <row r="16" spans="2:3">
      <c r="B16" s="455" t="s">
        <v>787</v>
      </c>
      <c r="C16" s="454" t="s">
        <v>788</v>
      </c>
    </row>
    <row r="17" spans="2:3">
      <c r="B17" s="455" t="s">
        <v>789</v>
      </c>
      <c r="C17" s="454" t="s">
        <v>790</v>
      </c>
    </row>
    <row r="18" spans="2:3">
      <c r="B18" s="455" t="s">
        <v>791</v>
      </c>
      <c r="C18" s="454" t="s">
        <v>792</v>
      </c>
    </row>
    <row r="19" spans="2:3">
      <c r="B19" s="455" t="s">
        <v>793</v>
      </c>
      <c r="C19" s="454" t="s">
        <v>794</v>
      </c>
    </row>
    <row r="21" spans="2:3" ht="15.5">
      <c r="B21" s="506" t="s">
        <v>795</v>
      </c>
      <c r="C21" s="507"/>
    </row>
    <row r="22" spans="2:3">
      <c r="B22" s="456" t="s">
        <v>647</v>
      </c>
      <c r="C22" s="456" t="s">
        <v>796</v>
      </c>
    </row>
    <row r="23" spans="2:3" ht="29">
      <c r="B23" s="457" t="s">
        <v>648</v>
      </c>
      <c r="C23" s="458" t="s">
        <v>797</v>
      </c>
    </row>
    <row r="24" spans="2:3" ht="43.5">
      <c r="B24" s="459" t="s">
        <v>363</v>
      </c>
      <c r="C24" s="460" t="s">
        <v>864</v>
      </c>
    </row>
    <row r="25" spans="2:3">
      <c r="B25" s="457" t="s">
        <v>1</v>
      </c>
      <c r="C25" s="458" t="s">
        <v>798</v>
      </c>
    </row>
    <row r="26" spans="2:3" ht="43.5">
      <c r="B26" s="459" t="s">
        <v>364</v>
      </c>
      <c r="C26" s="460" t="s">
        <v>871</v>
      </c>
    </row>
    <row r="28" spans="2:3" ht="15.5">
      <c r="B28" s="506" t="s">
        <v>865</v>
      </c>
      <c r="C28" s="507"/>
    </row>
    <row r="29" spans="2:3" ht="29">
      <c r="B29" s="461" t="s">
        <v>866</v>
      </c>
      <c r="C29" s="462" t="s">
        <v>867</v>
      </c>
    </row>
    <row r="30" spans="2:3" ht="29">
      <c r="B30" s="461" t="s">
        <v>868</v>
      </c>
      <c r="C30" s="462" t="s">
        <v>799</v>
      </c>
    </row>
    <row r="31" spans="2:3" ht="29">
      <c r="B31" s="461" t="s">
        <v>869</v>
      </c>
      <c r="C31" s="462" t="s">
        <v>649</v>
      </c>
    </row>
    <row r="32" spans="2:3" ht="29">
      <c r="B32" s="461" t="s">
        <v>870</v>
      </c>
      <c r="C32" s="462" t="s">
        <v>650</v>
      </c>
    </row>
    <row r="33" spans="2:3" ht="15.5">
      <c r="B33" s="506" t="s">
        <v>800</v>
      </c>
      <c r="C33" s="507"/>
    </row>
    <row r="34" spans="2:3">
      <c r="B34" s="463" t="s">
        <v>651</v>
      </c>
      <c r="C34" s="454" t="s">
        <v>801</v>
      </c>
    </row>
    <row r="35" spans="2:3">
      <c r="B35" s="463" t="s">
        <v>652</v>
      </c>
      <c r="C35" s="454" t="s">
        <v>653</v>
      </c>
    </row>
    <row r="36" spans="2:3">
      <c r="B36" s="463"/>
      <c r="C36" s="454"/>
    </row>
  </sheetData>
  <mergeCells count="11">
    <mergeCell ref="B10:C10"/>
    <mergeCell ref="B4:C4"/>
    <mergeCell ref="B5:C5"/>
    <mergeCell ref="B6:C6"/>
    <mergeCell ref="B8:C8"/>
    <mergeCell ref="B9:C9"/>
    <mergeCell ref="B11:C11"/>
    <mergeCell ref="B13:C13"/>
    <mergeCell ref="B21:C21"/>
    <mergeCell ref="B28:C28"/>
    <mergeCell ref="B33:C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509" t="s">
        <v>2</v>
      </c>
      <c r="K1" s="510"/>
      <c r="L1" s="510"/>
      <c r="M1" s="510"/>
      <c r="N1" s="510"/>
      <c r="O1" s="510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1" t="s">
        <v>16</v>
      </c>
      <c r="C3" s="382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1" t="s">
        <v>24</v>
      </c>
      <c r="C4" s="382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3" t="s">
        <v>31</v>
      </c>
      <c r="C5" s="382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3" t="s">
        <v>37</v>
      </c>
      <c r="C6" s="382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3" t="s">
        <v>45</v>
      </c>
      <c r="C7" s="382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3" t="s">
        <v>53</v>
      </c>
      <c r="C8" s="382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3" t="s">
        <v>61</v>
      </c>
      <c r="C9" s="382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2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3" t="s">
        <v>82</v>
      </c>
      <c r="C12" s="382">
        <v>242</v>
      </c>
      <c r="E12"/>
      <c r="F12"/>
      <c r="G12"/>
      <c r="J12"/>
      <c r="K12"/>
      <c r="L12"/>
      <c r="M12"/>
      <c r="N12"/>
      <c r="O12"/>
    </row>
    <row r="13" spans="2:16" ht="25">
      <c r="B13" s="383" t="s">
        <v>83</v>
      </c>
      <c r="C13" s="382">
        <v>55</v>
      </c>
    </row>
    <row r="14" spans="2:16" ht="25">
      <c r="B14" s="378" t="s">
        <v>84</v>
      </c>
      <c r="C14" s="382">
        <v>7</v>
      </c>
      <c r="F14" s="36" t="s">
        <v>85</v>
      </c>
    </row>
    <row r="15" spans="2:16" ht="25">
      <c r="B15" s="378" t="s">
        <v>86</v>
      </c>
      <c r="C15" s="382">
        <v>2</v>
      </c>
      <c r="G15" s="17" t="s">
        <v>87</v>
      </c>
    </row>
    <row r="16" spans="2:16" ht="25">
      <c r="B16" s="378" t="s">
        <v>88</v>
      </c>
      <c r="C16" s="382">
        <v>21</v>
      </c>
    </row>
    <row r="17" spans="2:15" ht="25.5" thickBot="1">
      <c r="B17" s="378" t="s">
        <v>89</v>
      </c>
      <c r="C17" s="382">
        <v>7</v>
      </c>
    </row>
    <row r="18" spans="2:15" ht="25">
      <c r="B18" s="383" t="s">
        <v>90</v>
      </c>
      <c r="C18" s="382">
        <v>2</v>
      </c>
      <c r="F18" s="516" t="s">
        <v>91</v>
      </c>
      <c r="G18" s="517"/>
      <c r="H18" s="517"/>
      <c r="I18" s="517"/>
      <c r="J18" s="517"/>
      <c r="K18" s="517"/>
      <c r="L18" s="517"/>
      <c r="M18" s="517"/>
      <c r="N18" s="518"/>
      <c r="O18"/>
    </row>
    <row r="19" spans="2:15" ht="25">
      <c r="B19" s="383" t="s">
        <v>92</v>
      </c>
      <c r="C19" s="382">
        <v>6</v>
      </c>
      <c r="F19" s="511" t="s">
        <v>91</v>
      </c>
      <c r="G19" s="512"/>
      <c r="H19" s="512"/>
      <c r="J19" s="512" t="s">
        <v>93</v>
      </c>
      <c r="K19" s="512"/>
      <c r="L19" s="512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4">
        <v>95</v>
      </c>
      <c r="N21" s="385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4">
        <v>9</v>
      </c>
      <c r="N22" s="385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4">
        <v>15</v>
      </c>
      <c r="N23" s="385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4">
        <v>10</v>
      </c>
      <c r="N24" s="385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4">
        <v>10</v>
      </c>
      <c r="N25" s="385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4">
        <v>10</v>
      </c>
      <c r="N26" s="385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4">
        <v>95</v>
      </c>
      <c r="N27" s="385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4">
        <v>9</v>
      </c>
      <c r="N28" s="385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4">
        <v>15</v>
      </c>
      <c r="N29" s="385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4">
        <v>10</v>
      </c>
      <c r="N30" s="385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4">
        <v>10</v>
      </c>
      <c r="N31" s="385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4">
        <v>10</v>
      </c>
      <c r="N32" s="385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4">
        <v>95</v>
      </c>
      <c r="N33" s="385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4">
        <v>9</v>
      </c>
      <c r="N34" s="385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4">
        <v>15</v>
      </c>
      <c r="N35" s="386" t="s">
        <v>104</v>
      </c>
      <c r="O35"/>
    </row>
    <row r="36" spans="6:15" ht="25">
      <c r="F36" s="95"/>
      <c r="G36" s="90" t="s">
        <v>99</v>
      </c>
      <c r="H36" s="88"/>
      <c r="K36"/>
      <c r="M36" s="384">
        <v>12</v>
      </c>
      <c r="N36" s="387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4">
        <v>10</v>
      </c>
      <c r="N37" s="386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4">
        <v>11</v>
      </c>
      <c r="N38" s="387" t="s">
        <v>105</v>
      </c>
      <c r="O38"/>
    </row>
    <row r="39" spans="6:15" ht="25">
      <c r="F39" s="95"/>
      <c r="G39" s="90" t="s">
        <v>99</v>
      </c>
      <c r="H39" s="88"/>
      <c r="K39"/>
      <c r="M39" s="384">
        <v>50</v>
      </c>
      <c r="N39" s="388" t="s">
        <v>96</v>
      </c>
      <c r="O39"/>
    </row>
    <row r="40" spans="6:15" ht="25">
      <c r="F40" s="95"/>
      <c r="G40" s="89" t="s">
        <v>104</v>
      </c>
      <c r="H40" s="88"/>
      <c r="K40"/>
      <c r="M40" s="384">
        <v>53</v>
      </c>
      <c r="N40" s="387" t="s">
        <v>96</v>
      </c>
      <c r="O40"/>
    </row>
    <row r="41" spans="6:15" ht="25">
      <c r="F41" s="95"/>
      <c r="G41" s="89" t="s">
        <v>101</v>
      </c>
      <c r="H41" s="88"/>
      <c r="K41"/>
      <c r="M41" s="384">
        <v>95</v>
      </c>
      <c r="N41" s="386" t="s">
        <v>96</v>
      </c>
      <c r="O41"/>
    </row>
    <row r="42" spans="6:15" ht="25">
      <c r="F42" s="95"/>
      <c r="G42" s="89" t="s">
        <v>103</v>
      </c>
      <c r="H42" s="88"/>
      <c r="K42"/>
      <c r="M42" s="384">
        <v>177</v>
      </c>
      <c r="N42" s="387" t="s">
        <v>96</v>
      </c>
      <c r="O42"/>
    </row>
    <row r="43" spans="6:15" ht="25">
      <c r="F43" s="95"/>
      <c r="G43" s="91" t="s">
        <v>107</v>
      </c>
      <c r="H43" s="88"/>
      <c r="K43"/>
      <c r="M43" s="384">
        <v>53</v>
      </c>
      <c r="N43" s="387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4">
        <v>177</v>
      </c>
      <c r="N44" s="387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4">
        <v>12</v>
      </c>
      <c r="N45" s="387" t="s">
        <v>103</v>
      </c>
      <c r="O45"/>
    </row>
    <row r="46" spans="6:15" ht="25">
      <c r="F46" s="95"/>
      <c r="G46" s="89" t="s">
        <v>101</v>
      </c>
      <c r="H46" s="88"/>
      <c r="K46"/>
      <c r="M46" s="384">
        <v>13</v>
      </c>
      <c r="N46" s="387" t="s">
        <v>103</v>
      </c>
      <c r="O46"/>
    </row>
    <row r="47" spans="6:15" ht="25">
      <c r="F47" s="95"/>
      <c r="G47" s="89" t="s">
        <v>103</v>
      </c>
      <c r="H47" s="88"/>
      <c r="K47"/>
      <c r="M47" s="384">
        <v>9</v>
      </c>
      <c r="N47" s="387" t="s">
        <v>103</v>
      </c>
      <c r="O47"/>
    </row>
    <row r="48" spans="6:15" ht="25">
      <c r="F48" s="95"/>
      <c r="G48" s="91" t="s">
        <v>106</v>
      </c>
      <c r="H48" s="88"/>
      <c r="K48"/>
      <c r="M48" s="384">
        <v>2</v>
      </c>
      <c r="N48" s="387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4">
        <v>11</v>
      </c>
      <c r="N49" s="387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4">
        <v>92</v>
      </c>
      <c r="N50" s="389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4">
        <v>108</v>
      </c>
      <c r="N51" s="389" t="s">
        <v>107</v>
      </c>
      <c r="O51"/>
    </row>
    <row r="52" spans="6:15" ht="25">
      <c r="F52" s="95"/>
      <c r="G52" s="89" t="s">
        <v>103</v>
      </c>
      <c r="H52" s="88"/>
      <c r="K52"/>
      <c r="M52" s="384">
        <v>50</v>
      </c>
      <c r="N52" s="388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4">
        <v>10</v>
      </c>
      <c r="N53" s="388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4">
        <v>2</v>
      </c>
      <c r="N54" s="388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4">
        <v>27</v>
      </c>
      <c r="N55" s="388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4">
        <v>53</v>
      </c>
      <c r="N56" s="387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4">
        <v>177</v>
      </c>
      <c r="N57" s="387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4">
        <v>12</v>
      </c>
      <c r="N58" s="387" t="s">
        <v>101</v>
      </c>
      <c r="O58"/>
    </row>
    <row r="59" spans="6:15" ht="25">
      <c r="F59" s="95"/>
      <c r="G59" s="90" t="s">
        <v>99</v>
      </c>
      <c r="H59" s="88"/>
      <c r="K59"/>
      <c r="M59" s="384">
        <v>13</v>
      </c>
      <c r="N59" s="387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4">
        <v>9</v>
      </c>
      <c r="N60" s="387" t="s">
        <v>101</v>
      </c>
      <c r="O60"/>
    </row>
    <row r="61" spans="6:15" ht="25">
      <c r="F61" s="95"/>
      <c r="G61" s="89" t="s">
        <v>101</v>
      </c>
      <c r="H61" s="88"/>
      <c r="K61"/>
      <c r="M61" s="384">
        <v>2</v>
      </c>
      <c r="N61" s="387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0" t="s">
        <v>101</v>
      </c>
      <c r="O62"/>
    </row>
    <row r="64" spans="6:15" ht="13" thickBot="1"/>
    <row r="65" spans="2:14" ht="13">
      <c r="F65" s="516" t="s">
        <v>110</v>
      </c>
      <c r="G65" s="517"/>
      <c r="H65" s="517"/>
      <c r="I65" s="517"/>
      <c r="J65" s="517"/>
      <c r="K65" s="517"/>
      <c r="L65" s="517"/>
      <c r="M65" s="517"/>
      <c r="N65" s="518"/>
    </row>
    <row r="66" spans="2:14" ht="14.5">
      <c r="B66" s="27" t="s">
        <v>0</v>
      </c>
      <c r="C66" s="27" t="s">
        <v>1</v>
      </c>
      <c r="F66" s="513" t="s">
        <v>111</v>
      </c>
      <c r="G66" s="513"/>
      <c r="H66" s="513"/>
      <c r="I66" s="513"/>
      <c r="K66" s="513" t="s">
        <v>112</v>
      </c>
      <c r="L66" s="513"/>
      <c r="M66" s="513"/>
      <c r="N66" s="513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1" t="s">
        <v>16</v>
      </c>
      <c r="C68" s="382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1" t="s">
        <v>24</v>
      </c>
      <c r="C69" s="382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3" t="s">
        <v>31</v>
      </c>
      <c r="C70" s="382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3" t="s">
        <v>37</v>
      </c>
      <c r="C71" s="382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3" t="s">
        <v>45</v>
      </c>
      <c r="C72" s="382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3" t="s">
        <v>53</v>
      </c>
      <c r="C73" s="382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3" t="s">
        <v>61</v>
      </c>
      <c r="C74" s="382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2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3" t="s">
        <v>82</v>
      </c>
      <c r="C77" s="382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3" t="s">
        <v>83</v>
      </c>
      <c r="C78" s="382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2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2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2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2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3" t="s">
        <v>90</v>
      </c>
      <c r="C83" s="382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514" t="s">
        <v>208</v>
      </c>
      <c r="H160" s="515"/>
      <c r="I160" s="127"/>
      <c r="K160" s="126"/>
      <c r="L160" s="514" t="s">
        <v>208</v>
      </c>
      <c r="M160" s="515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2" priority="1" operator="equal">
      <formula>0</formula>
    </cfRule>
    <cfRule type="cellIs" dxfId="1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519" t="s">
        <v>243</v>
      </c>
      <c r="C2" s="519"/>
      <c r="D2" s="519"/>
      <c r="E2" s="519"/>
      <c r="F2" s="519"/>
      <c r="G2" s="519"/>
      <c r="H2" s="519"/>
      <c r="I2" s="519"/>
      <c r="J2" s="519"/>
      <c r="K2" s="519"/>
      <c r="L2" s="519"/>
      <c r="M2" s="519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526" t="s">
        <v>243</v>
      </c>
      <c r="C2" s="526"/>
      <c r="D2" s="526"/>
      <c r="E2" s="526"/>
      <c r="F2" s="526"/>
      <c r="G2" s="526"/>
      <c r="H2" s="239"/>
      <c r="I2" s="240"/>
      <c r="J2" s="523" t="s">
        <v>287</v>
      </c>
      <c r="K2" s="524"/>
      <c r="L2" s="524"/>
      <c r="M2" s="525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527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528"/>
      <c r="B5" s="391" t="str">
        <f>+'Productos 2'!A3</f>
        <v>Productos 2</v>
      </c>
      <c r="C5" s="392">
        <f>+'Productos 2'!L17</f>
        <v>0</v>
      </c>
      <c r="D5" s="393" t="str">
        <f t="shared" si="0"/>
        <v/>
      </c>
      <c r="E5" s="394">
        <f>+'Productos 2'!M4</f>
        <v>0.3</v>
      </c>
      <c r="F5" s="395">
        <f>Tabla2[[#This Row],[Costo]]/(1-Tabla2[[#This Row],[% de venta]])</f>
        <v>0</v>
      </c>
      <c r="G5" s="396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528"/>
      <c r="B6" s="397" t="str">
        <f>+'Productos 3'!A3</f>
        <v>Productos 3</v>
      </c>
      <c r="C6" s="392">
        <f>+'Productos 3'!L22</f>
        <v>0</v>
      </c>
      <c r="D6" s="393" t="str">
        <f t="shared" si="0"/>
        <v/>
      </c>
      <c r="E6" s="394">
        <f>+'Productos 3'!M4</f>
        <v>0.3</v>
      </c>
      <c r="F6" s="395">
        <f>Tabla2[[#This Row],[Costo]]/(1-Tabla2[[#This Row],[% de venta]])</f>
        <v>0</v>
      </c>
      <c r="G6" s="396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528"/>
      <c r="B7" s="391" t="str">
        <f>+'Productos 4'!A3</f>
        <v>Productos 4</v>
      </c>
      <c r="C7" s="392">
        <f>+'Productos 4'!L21</f>
        <v>0</v>
      </c>
      <c r="D7" s="393" t="str">
        <f t="shared" si="0"/>
        <v/>
      </c>
      <c r="E7" s="394">
        <f>+'Productos 4'!M4</f>
        <v>0.3</v>
      </c>
      <c r="F7" s="395">
        <f>Tabla2[[#This Row],[Costo]]/(1-Tabla2[[#This Row],[% de venta]])</f>
        <v>0</v>
      </c>
      <c r="G7" s="396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529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398" t="str">
        <f>+'OPEX GV'!A3</f>
        <v>OPEX GV</v>
      </c>
      <c r="C10" s="399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520" t="s">
        <v>304</v>
      </c>
      <c r="C32" s="521"/>
      <c r="D32" s="522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534" t="s">
        <v>324</v>
      </c>
      <c r="I15" s="535"/>
      <c r="J15" s="286" t="s">
        <v>246</v>
      </c>
      <c r="K15" s="287" t="s">
        <v>318</v>
      </c>
    </row>
    <row r="16" spans="2:11" ht="21" customHeight="1">
      <c r="B16" s="536"/>
      <c r="C16" s="537"/>
      <c r="D16" s="537"/>
      <c r="E16" s="537"/>
      <c r="F16" s="537"/>
      <c r="G16" s="537"/>
      <c r="H16" s="537"/>
      <c r="I16" s="537"/>
      <c r="J16" s="537"/>
      <c r="K16" s="538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531"/>
      <c r="I17" s="532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531">
        <f>+Equipos!B6</f>
        <v>0</v>
      </c>
      <c r="I18" s="532"/>
      <c r="J18" s="292">
        <f>+Equipos!O6</f>
        <v>0</v>
      </c>
      <c r="K18" s="292">
        <f t="shared" si="0"/>
        <v>0</v>
      </c>
      <c r="L18" s="533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531">
        <f>+Equipos!B7</f>
        <v>0</v>
      </c>
      <c r="I19" s="532"/>
      <c r="J19" s="292">
        <f>+Equipos!O7</f>
        <v>0</v>
      </c>
      <c r="K19" s="292">
        <f t="shared" si="0"/>
        <v>0</v>
      </c>
      <c r="L19" s="533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531"/>
      <c r="I20" s="532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531"/>
      <c r="I21" s="532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531"/>
      <c r="I22" s="532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530"/>
      <c r="I23" s="530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530"/>
      <c r="I24" s="530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530"/>
      <c r="I25" s="530"/>
      <c r="J25" s="292">
        <f>+'Productos 5'!N11</f>
        <v>0</v>
      </c>
      <c r="K25" s="292">
        <f t="shared" si="1"/>
        <v>0</v>
      </c>
    </row>
    <row r="26" spans="2:12" ht="15.75" hidden="1" customHeight="1">
      <c r="B26" s="539" t="s">
        <v>325</v>
      </c>
      <c r="C26" s="540"/>
      <c r="D26" s="540"/>
      <c r="E26" s="540"/>
      <c r="F26" s="540"/>
      <c r="G26" s="540"/>
      <c r="H26" s="540"/>
      <c r="I26" s="540"/>
      <c r="J26" s="540"/>
      <c r="K26" s="541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534" t="s">
        <v>324</v>
      </c>
      <c r="I44" s="535"/>
      <c r="J44" s="286" t="s">
        <v>246</v>
      </c>
      <c r="K44" s="287" t="s">
        <v>318</v>
      </c>
    </row>
    <row r="45" spans="2:11" ht="18">
      <c r="B45" s="536" t="s">
        <v>332</v>
      </c>
      <c r="C45" s="537"/>
      <c r="D45" s="537"/>
      <c r="E45" s="537"/>
      <c r="F45" s="537"/>
      <c r="G45" s="537"/>
      <c r="H45" s="537"/>
      <c r="I45" s="537"/>
      <c r="J45" s="537"/>
      <c r="K45" s="538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542">
        <f>'Productos 2'!A6</f>
        <v>0</v>
      </c>
      <c r="I46" s="542"/>
      <c r="J46" s="292">
        <f>'Productos 2'!N6</f>
        <v>0</v>
      </c>
      <c r="K46" s="292">
        <f>+J46*C46</f>
        <v>0</v>
      </c>
    </row>
    <row r="47" spans="2:11">
      <c r="B47" s="539" t="s">
        <v>325</v>
      </c>
      <c r="C47" s="540"/>
      <c r="D47" s="540"/>
      <c r="E47" s="540"/>
      <c r="F47" s="540"/>
      <c r="G47" s="540"/>
      <c r="H47" s="540"/>
      <c r="I47" s="540"/>
      <c r="J47" s="540"/>
      <c r="K47" s="541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B47:K47"/>
    <mergeCell ref="H44:I44"/>
    <mergeCell ref="B45:K45"/>
    <mergeCell ref="H46:I46"/>
    <mergeCell ref="B26:K26"/>
    <mergeCell ref="L18:L19"/>
    <mergeCell ref="H20:I20"/>
    <mergeCell ref="H21:I21"/>
    <mergeCell ref="H15:I15"/>
    <mergeCell ref="B16:K16"/>
    <mergeCell ref="H25:I25"/>
    <mergeCell ref="H17:I17"/>
    <mergeCell ref="H18:I18"/>
    <mergeCell ref="H19:I19"/>
    <mergeCell ref="H24:I24"/>
    <mergeCell ref="H23:I23"/>
    <mergeCell ref="H22:I22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A72" sqref="A72:XFD72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47" t="s">
        <v>335</v>
      </c>
      <c r="C5" s="547"/>
      <c r="F5" s="344"/>
      <c r="I5" s="347" t="s">
        <v>336</v>
      </c>
    </row>
    <row r="6" spans="2:10" ht="15" customHeight="1">
      <c r="B6" s="548" t="s">
        <v>337</v>
      </c>
      <c r="C6" s="548"/>
      <c r="D6" s="548"/>
      <c r="E6" s="548"/>
      <c r="F6" s="548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38" t="s">
        <v>519</v>
      </c>
    </row>
    <row r="12" spans="2:10">
      <c r="B12" s="353" t="s">
        <v>340</v>
      </c>
      <c r="C12" s="549"/>
      <c r="D12" s="549"/>
      <c r="E12" s="549"/>
      <c r="F12" s="549"/>
      <c r="G12" s="549"/>
      <c r="I12" s="341" t="s">
        <v>341</v>
      </c>
      <c r="J12" s="354">
        <f ca="1">TODAY()</f>
        <v>46322</v>
      </c>
    </row>
    <row r="13" spans="2:10">
      <c r="B13" s="430" t="s">
        <v>522</v>
      </c>
      <c r="C13" s="550"/>
      <c r="D13" s="551"/>
      <c r="E13" s="551"/>
      <c r="F13" s="551"/>
      <c r="G13" s="551"/>
      <c r="I13" s="341" t="s">
        <v>342</v>
      </c>
      <c r="J13" s="355" t="s">
        <v>527</v>
      </c>
    </row>
    <row r="14" spans="2:10">
      <c r="B14" s="430" t="s">
        <v>523</v>
      </c>
      <c r="C14" s="543"/>
      <c r="D14" s="543"/>
      <c r="E14" s="543"/>
      <c r="F14" s="543"/>
      <c r="G14" s="543"/>
      <c r="I14" s="341" t="s">
        <v>343</v>
      </c>
      <c r="J14" s="356" t="s">
        <v>518</v>
      </c>
    </row>
    <row r="15" spans="2:10">
      <c r="B15" s="430" t="s">
        <v>521</v>
      </c>
      <c r="C15" s="435"/>
      <c r="D15" s="436"/>
      <c r="E15" s="436"/>
      <c r="F15" s="436"/>
      <c r="G15" s="436"/>
      <c r="I15" s="437" t="s">
        <v>344</v>
      </c>
      <c r="J15" s="356" t="s">
        <v>345</v>
      </c>
    </row>
    <row r="16" spans="2:10">
      <c r="B16" s="430" t="s">
        <v>525</v>
      </c>
      <c r="C16" s="435" t="s">
        <v>528</v>
      </c>
      <c r="D16" s="436"/>
      <c r="E16" s="436"/>
      <c r="F16" s="436"/>
      <c r="G16" s="436"/>
      <c r="I16" s="437" t="s">
        <v>526</v>
      </c>
      <c r="J16" s="356"/>
    </row>
    <row r="17" spans="2:14">
      <c r="B17" s="430" t="s">
        <v>524</v>
      </c>
      <c r="C17" s="435"/>
      <c r="D17" s="436"/>
      <c r="E17" s="436"/>
      <c r="F17" s="436"/>
      <c r="G17" s="436"/>
      <c r="J17" s="341"/>
    </row>
    <row r="18" spans="2:14" hidden="1">
      <c r="B18" s="353"/>
      <c r="C18" s="543"/>
      <c r="D18" s="543"/>
      <c r="E18" s="543"/>
      <c r="F18" s="543"/>
      <c r="G18" s="543"/>
      <c r="J18" s="357"/>
    </row>
    <row r="19" spans="2:14" ht="18" customHeight="1"/>
    <row r="20" spans="2:14" ht="15.5">
      <c r="B20" s="358" t="s">
        <v>8</v>
      </c>
      <c r="C20" s="552" t="s">
        <v>310</v>
      </c>
      <c r="D20" s="553"/>
      <c r="E20" s="553"/>
      <c r="F20" s="553"/>
      <c r="G20" s="553"/>
      <c r="H20" s="554"/>
      <c r="I20" s="359" t="s">
        <v>346</v>
      </c>
      <c r="J20" s="360" t="s">
        <v>347</v>
      </c>
    </row>
    <row r="21" spans="2:14" ht="15.5">
      <c r="B21" s="431"/>
      <c r="C21" s="555" t="s">
        <v>516</v>
      </c>
      <c r="D21" s="556"/>
      <c r="E21" s="556"/>
      <c r="F21" s="556"/>
      <c r="G21" s="556"/>
      <c r="H21" s="557"/>
      <c r="I21" s="432"/>
      <c r="J21" s="433"/>
    </row>
    <row r="22" spans="2:14" ht="42" customHeight="1">
      <c r="B22" s="476">
        <f>Equipos!D6</f>
        <v>0</v>
      </c>
      <c r="C22" s="544">
        <f>Equipos!B6</f>
        <v>0</v>
      </c>
      <c r="D22" s="545"/>
      <c r="E22" s="545"/>
      <c r="F22" s="545"/>
      <c r="G22" s="545"/>
      <c r="H22" s="546"/>
      <c r="I22" s="477">
        <f>Equipos!O6</f>
        <v>0</v>
      </c>
      <c r="J22" s="477">
        <f t="shared" ref="J22:J25" si="0">I22*B22</f>
        <v>0</v>
      </c>
    </row>
    <row r="23" spans="2:14" s="342" customFormat="1" ht="52.5" customHeight="1">
      <c r="B23" s="476">
        <f>Equipos!D7</f>
        <v>0</v>
      </c>
      <c r="C23" s="544">
        <f>Equipos!B7</f>
        <v>0</v>
      </c>
      <c r="D23" s="545"/>
      <c r="E23" s="545"/>
      <c r="F23" s="545"/>
      <c r="G23" s="545"/>
      <c r="H23" s="546"/>
      <c r="I23" s="477">
        <f>Equipos!O7</f>
        <v>0</v>
      </c>
      <c r="J23" s="477">
        <f t="shared" si="0"/>
        <v>0</v>
      </c>
      <c r="N23" s="361"/>
    </row>
    <row r="24" spans="2:14" s="342" customFormat="1" ht="57.75" customHeight="1">
      <c r="B24" s="476">
        <f>Equipos!D8</f>
        <v>0</v>
      </c>
      <c r="C24" s="544">
        <f>Equipos!B8</f>
        <v>0</v>
      </c>
      <c r="D24" s="545"/>
      <c r="E24" s="545"/>
      <c r="F24" s="545"/>
      <c r="G24" s="545"/>
      <c r="H24" s="546"/>
      <c r="I24" s="477">
        <f>Equipos!O8</f>
        <v>0</v>
      </c>
      <c r="J24" s="477">
        <f t="shared" si="0"/>
        <v>0</v>
      </c>
      <c r="N24" s="361"/>
    </row>
    <row r="25" spans="2:14" s="342" customFormat="1" ht="53.25" customHeight="1">
      <c r="B25" s="476">
        <f>Equipos!D9</f>
        <v>0</v>
      </c>
      <c r="C25" s="544">
        <f>Equipos!B9</f>
        <v>0</v>
      </c>
      <c r="D25" s="545"/>
      <c r="E25" s="545"/>
      <c r="F25" s="545"/>
      <c r="G25" s="545"/>
      <c r="H25" s="546"/>
      <c r="I25" s="477">
        <f>Equipos!O9</f>
        <v>0</v>
      </c>
      <c r="J25" s="477">
        <f t="shared" si="0"/>
        <v>0</v>
      </c>
      <c r="N25" s="361"/>
    </row>
    <row r="26" spans="2:14" s="342" customFormat="1" ht="53.25" customHeight="1">
      <c r="B26" s="476">
        <f>Equipos!D10</f>
        <v>0</v>
      </c>
      <c r="C26" s="544">
        <f>Equipos!B10</f>
        <v>0</v>
      </c>
      <c r="D26" s="545"/>
      <c r="E26" s="545"/>
      <c r="F26" s="545"/>
      <c r="G26" s="545"/>
      <c r="H26" s="546"/>
      <c r="I26" s="477">
        <f>Equipos!O10</f>
        <v>0</v>
      </c>
      <c r="J26" s="477">
        <f t="shared" ref="J26:J71" si="1">I26*B26</f>
        <v>0</v>
      </c>
      <c r="N26" s="361"/>
    </row>
    <row r="27" spans="2:14" s="342" customFormat="1" ht="53.25" customHeight="1">
      <c r="B27" s="476">
        <f>Equipos!D11</f>
        <v>0</v>
      </c>
      <c r="C27" s="544">
        <f>Equipos!B11</f>
        <v>0</v>
      </c>
      <c r="D27" s="545"/>
      <c r="E27" s="545"/>
      <c r="F27" s="545"/>
      <c r="G27" s="545"/>
      <c r="H27" s="546"/>
      <c r="I27" s="477">
        <f>Equipos!O11</f>
        <v>0</v>
      </c>
      <c r="J27" s="477">
        <f t="shared" si="1"/>
        <v>0</v>
      </c>
      <c r="N27" s="361"/>
    </row>
    <row r="28" spans="2:14" s="342" customFormat="1" ht="53.25" customHeight="1">
      <c r="B28" s="476">
        <f>Equipos!D12</f>
        <v>0</v>
      </c>
      <c r="C28" s="544">
        <f>Equipos!B12</f>
        <v>0</v>
      </c>
      <c r="D28" s="545"/>
      <c r="E28" s="545"/>
      <c r="F28" s="545"/>
      <c r="G28" s="545"/>
      <c r="H28" s="546"/>
      <c r="I28" s="477">
        <f>Equipos!O12</f>
        <v>0</v>
      </c>
      <c r="J28" s="477">
        <f t="shared" si="1"/>
        <v>0</v>
      </c>
      <c r="N28" s="361"/>
    </row>
    <row r="29" spans="2:14" s="342" customFormat="1" ht="53.25" customHeight="1">
      <c r="B29" s="476">
        <f>Equipos!D13</f>
        <v>0</v>
      </c>
      <c r="C29" s="544">
        <f>Equipos!B13</f>
        <v>0</v>
      </c>
      <c r="D29" s="545"/>
      <c r="E29" s="545"/>
      <c r="F29" s="545"/>
      <c r="G29" s="545"/>
      <c r="H29" s="546"/>
      <c r="I29" s="477">
        <f>Equipos!O13</f>
        <v>0</v>
      </c>
      <c r="J29" s="477">
        <f t="shared" si="1"/>
        <v>0</v>
      </c>
      <c r="N29" s="361"/>
    </row>
    <row r="30" spans="2:14" s="342" customFormat="1" ht="53.25" customHeight="1">
      <c r="B30" s="476">
        <f>Equipos!D14</f>
        <v>0</v>
      </c>
      <c r="C30" s="544">
        <f>Equipos!B14</f>
        <v>0</v>
      </c>
      <c r="D30" s="545"/>
      <c r="E30" s="545"/>
      <c r="F30" s="545"/>
      <c r="G30" s="545"/>
      <c r="H30" s="546"/>
      <c r="I30" s="477">
        <f>Equipos!O14</f>
        <v>0</v>
      </c>
      <c r="J30" s="477">
        <f t="shared" si="1"/>
        <v>0</v>
      </c>
      <c r="N30" s="361"/>
    </row>
    <row r="31" spans="2:14" s="342" customFormat="1" ht="53.25" customHeight="1">
      <c r="B31" s="476">
        <f>Equipos!D15</f>
        <v>0</v>
      </c>
      <c r="C31" s="544">
        <f>Equipos!B15</f>
        <v>0</v>
      </c>
      <c r="D31" s="545"/>
      <c r="E31" s="545"/>
      <c r="F31" s="545"/>
      <c r="G31" s="545"/>
      <c r="H31" s="546"/>
      <c r="I31" s="477">
        <f>Equipos!O15</f>
        <v>0</v>
      </c>
      <c r="J31" s="477">
        <f t="shared" si="1"/>
        <v>0</v>
      </c>
      <c r="N31" s="361"/>
    </row>
    <row r="32" spans="2:14" s="342" customFormat="1" ht="53.25" customHeight="1">
      <c r="B32" s="476">
        <f>Equipos!D16</f>
        <v>0</v>
      </c>
      <c r="C32" s="544">
        <f>Equipos!B16</f>
        <v>0</v>
      </c>
      <c r="D32" s="545"/>
      <c r="E32" s="545"/>
      <c r="F32" s="545"/>
      <c r="G32" s="545"/>
      <c r="H32" s="546"/>
      <c r="I32" s="477">
        <f>Equipos!O16</f>
        <v>0</v>
      </c>
      <c r="J32" s="477">
        <f t="shared" si="1"/>
        <v>0</v>
      </c>
      <c r="N32" s="361"/>
    </row>
    <row r="33" spans="2:14" s="342" customFormat="1" ht="53.25" customHeight="1">
      <c r="B33" s="476">
        <f>Equipos!D17</f>
        <v>0</v>
      </c>
      <c r="C33" s="544">
        <f>Equipos!B17</f>
        <v>0</v>
      </c>
      <c r="D33" s="545"/>
      <c r="E33" s="545"/>
      <c r="F33" s="545"/>
      <c r="G33" s="545"/>
      <c r="H33" s="546"/>
      <c r="I33" s="477">
        <f>Equipos!O17</f>
        <v>0</v>
      </c>
      <c r="J33" s="477">
        <f t="shared" si="1"/>
        <v>0</v>
      </c>
      <c r="N33" s="361"/>
    </row>
    <row r="34" spans="2:14" s="342" customFormat="1" ht="53.25" customHeight="1">
      <c r="B34" s="476">
        <f>Equipos!D18</f>
        <v>0</v>
      </c>
      <c r="C34" s="544">
        <f>Equipos!B18</f>
        <v>0</v>
      </c>
      <c r="D34" s="545"/>
      <c r="E34" s="545"/>
      <c r="F34" s="545"/>
      <c r="G34" s="545"/>
      <c r="H34" s="546"/>
      <c r="I34" s="477">
        <f>Equipos!O18</f>
        <v>0</v>
      </c>
      <c r="J34" s="477">
        <f t="shared" si="1"/>
        <v>0</v>
      </c>
      <c r="N34" s="361"/>
    </row>
    <row r="35" spans="2:14" s="342" customFormat="1" ht="53.25" customHeight="1">
      <c r="B35" s="476">
        <f>Equipos!D19</f>
        <v>0</v>
      </c>
      <c r="C35" s="544">
        <f>Equipos!B19</f>
        <v>0</v>
      </c>
      <c r="D35" s="545"/>
      <c r="E35" s="545"/>
      <c r="F35" s="545"/>
      <c r="G35" s="545"/>
      <c r="H35" s="546"/>
      <c r="I35" s="477">
        <f>Equipos!O19</f>
        <v>0</v>
      </c>
      <c r="J35" s="477">
        <f t="shared" si="1"/>
        <v>0</v>
      </c>
      <c r="N35" s="361"/>
    </row>
    <row r="36" spans="2:14" s="342" customFormat="1" ht="53.25" customHeight="1">
      <c r="B36" s="476">
        <f>Equipos!D20</f>
        <v>0</v>
      </c>
      <c r="C36" s="544">
        <f>Equipos!B20</f>
        <v>0</v>
      </c>
      <c r="D36" s="545"/>
      <c r="E36" s="545"/>
      <c r="F36" s="545"/>
      <c r="G36" s="545"/>
      <c r="H36" s="546"/>
      <c r="I36" s="477">
        <f>Equipos!O20</f>
        <v>0</v>
      </c>
      <c r="J36" s="477">
        <f t="shared" si="1"/>
        <v>0</v>
      </c>
      <c r="N36" s="361"/>
    </row>
    <row r="37" spans="2:14" s="342" customFormat="1" ht="53.25" customHeight="1">
      <c r="B37" s="476">
        <f>Equipos!D21</f>
        <v>0</v>
      </c>
      <c r="C37" s="544">
        <f>Equipos!B21</f>
        <v>0</v>
      </c>
      <c r="D37" s="545"/>
      <c r="E37" s="545"/>
      <c r="F37" s="545"/>
      <c r="G37" s="545"/>
      <c r="H37" s="546"/>
      <c r="I37" s="477">
        <f>Equipos!O21</f>
        <v>0</v>
      </c>
      <c r="J37" s="477">
        <f t="shared" si="1"/>
        <v>0</v>
      </c>
      <c r="N37" s="361"/>
    </row>
    <row r="38" spans="2:14" s="342" customFormat="1" ht="53.25" customHeight="1">
      <c r="B38" s="476">
        <f>Equipos!D22</f>
        <v>0</v>
      </c>
      <c r="C38" s="544">
        <f>Equipos!B22</f>
        <v>0</v>
      </c>
      <c r="D38" s="545"/>
      <c r="E38" s="545"/>
      <c r="F38" s="545"/>
      <c r="G38" s="545"/>
      <c r="H38" s="546"/>
      <c r="I38" s="477">
        <f>Equipos!O22</f>
        <v>0</v>
      </c>
      <c r="J38" s="477">
        <f t="shared" si="1"/>
        <v>0</v>
      </c>
      <c r="N38" s="361"/>
    </row>
    <row r="39" spans="2:14" s="342" customFormat="1" ht="53.25" customHeight="1">
      <c r="B39" s="476">
        <f>Equipos!D23</f>
        <v>0</v>
      </c>
      <c r="C39" s="544">
        <f>Equipos!B23</f>
        <v>0</v>
      </c>
      <c r="D39" s="545"/>
      <c r="E39" s="545"/>
      <c r="F39" s="545"/>
      <c r="G39" s="545"/>
      <c r="H39" s="546"/>
      <c r="I39" s="477">
        <f>Equipos!O23</f>
        <v>0</v>
      </c>
      <c r="J39" s="477">
        <f t="shared" si="1"/>
        <v>0</v>
      </c>
      <c r="N39" s="361"/>
    </row>
    <row r="40" spans="2:14" s="342" customFormat="1" ht="53.25" customHeight="1">
      <c r="B40" s="476">
        <f>Equipos!D24</f>
        <v>0</v>
      </c>
      <c r="C40" s="544">
        <f>Equipos!B24</f>
        <v>0</v>
      </c>
      <c r="D40" s="545"/>
      <c r="E40" s="545"/>
      <c r="F40" s="545"/>
      <c r="G40" s="545"/>
      <c r="H40" s="546"/>
      <c r="I40" s="477">
        <f>Equipos!O24</f>
        <v>0</v>
      </c>
      <c r="J40" s="477">
        <f t="shared" si="1"/>
        <v>0</v>
      </c>
      <c r="N40" s="361"/>
    </row>
    <row r="41" spans="2:14" s="342" customFormat="1" ht="53.25" customHeight="1">
      <c r="B41" s="476">
        <f>Equipos!D25</f>
        <v>0</v>
      </c>
      <c r="C41" s="544">
        <f>Equipos!B25</f>
        <v>0</v>
      </c>
      <c r="D41" s="545"/>
      <c r="E41" s="545"/>
      <c r="F41" s="545"/>
      <c r="G41" s="545"/>
      <c r="H41" s="546"/>
      <c r="I41" s="477">
        <f>Equipos!O25</f>
        <v>0</v>
      </c>
      <c r="J41" s="477">
        <f t="shared" si="1"/>
        <v>0</v>
      </c>
      <c r="N41" s="361"/>
    </row>
    <row r="42" spans="2:14" s="342" customFormat="1" ht="53.25" customHeight="1">
      <c r="B42" s="476">
        <f>Equipos!D26</f>
        <v>0</v>
      </c>
      <c r="C42" s="544">
        <f>Equipos!B26</f>
        <v>0</v>
      </c>
      <c r="D42" s="545"/>
      <c r="E42" s="545"/>
      <c r="F42" s="545"/>
      <c r="G42" s="545"/>
      <c r="H42" s="546"/>
      <c r="I42" s="477">
        <f>Equipos!O26</f>
        <v>0</v>
      </c>
      <c r="J42" s="477">
        <f t="shared" si="1"/>
        <v>0</v>
      </c>
      <c r="N42" s="361"/>
    </row>
    <row r="43" spans="2:14" s="342" customFormat="1" ht="53.25" customHeight="1">
      <c r="B43" s="476">
        <f>Equipos!D27</f>
        <v>0</v>
      </c>
      <c r="C43" s="544">
        <f>Equipos!B27</f>
        <v>0</v>
      </c>
      <c r="D43" s="545"/>
      <c r="E43" s="545"/>
      <c r="F43" s="545"/>
      <c r="G43" s="545"/>
      <c r="H43" s="546"/>
      <c r="I43" s="477">
        <f>Equipos!O27</f>
        <v>0</v>
      </c>
      <c r="J43" s="477">
        <f t="shared" si="1"/>
        <v>0</v>
      </c>
      <c r="N43" s="361"/>
    </row>
    <row r="44" spans="2:14" s="342" customFormat="1" ht="53.25" customHeight="1">
      <c r="B44" s="476">
        <f>Equipos!D28</f>
        <v>0</v>
      </c>
      <c r="C44" s="544">
        <f>Equipos!B28</f>
        <v>0</v>
      </c>
      <c r="D44" s="545"/>
      <c r="E44" s="545"/>
      <c r="F44" s="545"/>
      <c r="G44" s="545"/>
      <c r="H44" s="546"/>
      <c r="I44" s="477">
        <f>Equipos!O28</f>
        <v>0</v>
      </c>
      <c r="J44" s="477">
        <f t="shared" si="1"/>
        <v>0</v>
      </c>
      <c r="N44" s="361"/>
    </row>
    <row r="45" spans="2:14" s="342" customFormat="1" ht="53.25" customHeight="1">
      <c r="B45" s="476">
        <f>Equipos!D29</f>
        <v>0</v>
      </c>
      <c r="C45" s="544">
        <f>Equipos!B29</f>
        <v>0</v>
      </c>
      <c r="D45" s="545"/>
      <c r="E45" s="545"/>
      <c r="F45" s="545"/>
      <c r="G45" s="545"/>
      <c r="H45" s="546"/>
      <c r="I45" s="477">
        <f>Equipos!O29</f>
        <v>0</v>
      </c>
      <c r="J45" s="477">
        <f t="shared" si="1"/>
        <v>0</v>
      </c>
      <c r="N45" s="361"/>
    </row>
    <row r="46" spans="2:14" s="342" customFormat="1" ht="53.25" customHeight="1">
      <c r="B46" s="476">
        <f>Equipos!D30</f>
        <v>0</v>
      </c>
      <c r="C46" s="544">
        <f>Equipos!B30</f>
        <v>0</v>
      </c>
      <c r="D46" s="545"/>
      <c r="E46" s="545"/>
      <c r="F46" s="545"/>
      <c r="G46" s="545"/>
      <c r="H46" s="546"/>
      <c r="I46" s="477">
        <f>Equipos!O30</f>
        <v>0</v>
      </c>
      <c r="J46" s="477">
        <f t="shared" si="1"/>
        <v>0</v>
      </c>
      <c r="N46" s="361"/>
    </row>
    <row r="47" spans="2:14" s="342" customFormat="1" ht="53.25" customHeight="1">
      <c r="B47" s="476">
        <f>Equipos!D31</f>
        <v>0</v>
      </c>
      <c r="C47" s="544">
        <f>Equipos!B31</f>
        <v>0</v>
      </c>
      <c r="D47" s="545"/>
      <c r="E47" s="545"/>
      <c r="F47" s="545"/>
      <c r="G47" s="545"/>
      <c r="H47" s="546"/>
      <c r="I47" s="477">
        <f>Equipos!O31</f>
        <v>0</v>
      </c>
      <c r="J47" s="477">
        <f t="shared" si="1"/>
        <v>0</v>
      </c>
      <c r="N47" s="361"/>
    </row>
    <row r="48" spans="2:14" s="342" customFormat="1" ht="53.25" customHeight="1">
      <c r="B48" s="476">
        <f>Equipos!D32</f>
        <v>0</v>
      </c>
      <c r="C48" s="544">
        <f>Equipos!B32</f>
        <v>0</v>
      </c>
      <c r="D48" s="545"/>
      <c r="E48" s="545"/>
      <c r="F48" s="545"/>
      <c r="G48" s="545"/>
      <c r="H48" s="546"/>
      <c r="I48" s="477">
        <f>Equipos!O32</f>
        <v>0</v>
      </c>
      <c r="J48" s="477">
        <f t="shared" si="1"/>
        <v>0</v>
      </c>
      <c r="N48" s="361"/>
    </row>
    <row r="49" spans="2:14" s="342" customFormat="1" ht="53.25" customHeight="1">
      <c r="B49" s="476">
        <f>Equipos!D33</f>
        <v>0</v>
      </c>
      <c r="C49" s="544">
        <f>Equipos!B33</f>
        <v>0</v>
      </c>
      <c r="D49" s="545"/>
      <c r="E49" s="545"/>
      <c r="F49" s="545"/>
      <c r="G49" s="545"/>
      <c r="H49" s="546"/>
      <c r="I49" s="477">
        <f>Equipos!O33</f>
        <v>0</v>
      </c>
      <c r="J49" s="477">
        <f t="shared" si="1"/>
        <v>0</v>
      </c>
      <c r="N49" s="361"/>
    </row>
    <row r="50" spans="2:14" s="342" customFormat="1" ht="53.25" customHeight="1">
      <c r="B50" s="476">
        <f>Equipos!D34</f>
        <v>0</v>
      </c>
      <c r="C50" s="544">
        <f>Equipos!B34</f>
        <v>0</v>
      </c>
      <c r="D50" s="545"/>
      <c r="E50" s="545"/>
      <c r="F50" s="545"/>
      <c r="G50" s="545"/>
      <c r="H50" s="546"/>
      <c r="I50" s="477">
        <f>Equipos!O34</f>
        <v>0</v>
      </c>
      <c r="J50" s="477">
        <f t="shared" si="1"/>
        <v>0</v>
      </c>
      <c r="N50" s="361"/>
    </row>
    <row r="51" spans="2:14" s="342" customFormat="1" ht="53.25" customHeight="1">
      <c r="B51" s="476">
        <f>Equipos!D35</f>
        <v>0</v>
      </c>
      <c r="C51" s="544">
        <f>Equipos!B35</f>
        <v>0</v>
      </c>
      <c r="D51" s="545"/>
      <c r="E51" s="545"/>
      <c r="F51" s="545"/>
      <c r="G51" s="545"/>
      <c r="H51" s="546"/>
      <c r="I51" s="477">
        <f>Equipos!O35</f>
        <v>0</v>
      </c>
      <c r="J51" s="477">
        <f t="shared" si="1"/>
        <v>0</v>
      </c>
      <c r="N51" s="361"/>
    </row>
    <row r="52" spans="2:14" s="342" customFormat="1" ht="53.25" customHeight="1">
      <c r="B52" s="476">
        <f>Equipos!D36</f>
        <v>0</v>
      </c>
      <c r="C52" s="544">
        <f>Equipos!B36</f>
        <v>0</v>
      </c>
      <c r="D52" s="545"/>
      <c r="E52" s="545"/>
      <c r="F52" s="545"/>
      <c r="G52" s="545"/>
      <c r="H52" s="546"/>
      <c r="I52" s="477">
        <f>Equipos!O36</f>
        <v>0</v>
      </c>
      <c r="J52" s="477">
        <f t="shared" si="1"/>
        <v>0</v>
      </c>
      <c r="N52" s="361"/>
    </row>
    <row r="53" spans="2:14" s="342" customFormat="1" ht="53.25" customHeight="1">
      <c r="B53" s="476">
        <f>Equipos!D37</f>
        <v>0</v>
      </c>
      <c r="C53" s="544">
        <f>Equipos!B37</f>
        <v>0</v>
      </c>
      <c r="D53" s="545"/>
      <c r="E53" s="545"/>
      <c r="F53" s="545"/>
      <c r="G53" s="545"/>
      <c r="H53" s="546"/>
      <c r="I53" s="477">
        <f>Equipos!O37</f>
        <v>0</v>
      </c>
      <c r="J53" s="477">
        <f t="shared" si="1"/>
        <v>0</v>
      </c>
      <c r="N53" s="361"/>
    </row>
    <row r="54" spans="2:14" s="342" customFormat="1" ht="53.25" customHeight="1">
      <c r="B54" s="476">
        <f>Equipos!D38</f>
        <v>0</v>
      </c>
      <c r="C54" s="544">
        <f>Equipos!B38</f>
        <v>0</v>
      </c>
      <c r="D54" s="545"/>
      <c r="E54" s="545"/>
      <c r="F54" s="545"/>
      <c r="G54" s="545"/>
      <c r="H54" s="546"/>
      <c r="I54" s="477">
        <f>Equipos!O38</f>
        <v>0</v>
      </c>
      <c r="J54" s="477">
        <f t="shared" si="1"/>
        <v>0</v>
      </c>
      <c r="N54" s="361"/>
    </row>
    <row r="55" spans="2:14" s="342" customFormat="1" ht="53.25" customHeight="1">
      <c r="B55" s="476">
        <f>Equipos!D39</f>
        <v>0</v>
      </c>
      <c r="C55" s="544">
        <f>Equipos!B39</f>
        <v>0</v>
      </c>
      <c r="D55" s="545"/>
      <c r="E55" s="545"/>
      <c r="F55" s="545"/>
      <c r="G55" s="545"/>
      <c r="H55" s="546"/>
      <c r="I55" s="477">
        <f>Equipos!O39</f>
        <v>0</v>
      </c>
      <c r="J55" s="477">
        <f t="shared" si="1"/>
        <v>0</v>
      </c>
      <c r="N55" s="361"/>
    </row>
    <row r="56" spans="2:14" s="342" customFormat="1" ht="53.25" customHeight="1">
      <c r="B56" s="476">
        <f>Equipos!D40</f>
        <v>0</v>
      </c>
      <c r="C56" s="544">
        <f>Equipos!B40</f>
        <v>0</v>
      </c>
      <c r="D56" s="545"/>
      <c r="E56" s="545"/>
      <c r="F56" s="545"/>
      <c r="G56" s="545"/>
      <c r="H56" s="546"/>
      <c r="I56" s="477">
        <f>Equipos!O40</f>
        <v>0</v>
      </c>
      <c r="J56" s="477">
        <f t="shared" si="1"/>
        <v>0</v>
      </c>
      <c r="N56" s="361"/>
    </row>
    <row r="57" spans="2:14" s="342" customFormat="1" ht="53.25" customHeight="1">
      <c r="B57" s="476">
        <f>Equipos!D41</f>
        <v>0</v>
      </c>
      <c r="C57" s="544">
        <f>Equipos!B41</f>
        <v>0</v>
      </c>
      <c r="D57" s="545"/>
      <c r="E57" s="545"/>
      <c r="F57" s="545"/>
      <c r="G57" s="545"/>
      <c r="H57" s="546"/>
      <c r="I57" s="477">
        <f>Equipos!O41</f>
        <v>0</v>
      </c>
      <c r="J57" s="477">
        <f t="shared" si="1"/>
        <v>0</v>
      </c>
      <c r="N57" s="361"/>
    </row>
    <row r="58" spans="2:14" s="342" customFormat="1" ht="53.25" customHeight="1">
      <c r="B58" s="476">
        <f>Equipos!D42</f>
        <v>0</v>
      </c>
      <c r="C58" s="544">
        <f>Equipos!B42</f>
        <v>0</v>
      </c>
      <c r="D58" s="545"/>
      <c r="E58" s="545"/>
      <c r="F58" s="545"/>
      <c r="G58" s="545"/>
      <c r="H58" s="546"/>
      <c r="I58" s="477">
        <f>Equipos!O42</f>
        <v>0</v>
      </c>
      <c r="J58" s="477">
        <f t="shared" si="1"/>
        <v>0</v>
      </c>
      <c r="N58" s="361"/>
    </row>
    <row r="59" spans="2:14" s="342" customFormat="1" ht="53.25" customHeight="1">
      <c r="B59" s="476">
        <f>Equipos!D43</f>
        <v>0</v>
      </c>
      <c r="C59" s="544">
        <f>Equipos!B43</f>
        <v>0</v>
      </c>
      <c r="D59" s="545"/>
      <c r="E59" s="545"/>
      <c r="F59" s="545"/>
      <c r="G59" s="545"/>
      <c r="H59" s="546"/>
      <c r="I59" s="477">
        <f>Equipos!O43</f>
        <v>0</v>
      </c>
      <c r="J59" s="477">
        <f t="shared" si="1"/>
        <v>0</v>
      </c>
      <c r="N59" s="361"/>
    </row>
    <row r="60" spans="2:14" s="342" customFormat="1" ht="53.25" customHeight="1">
      <c r="B60" s="476">
        <f>Equipos!D44</f>
        <v>0</v>
      </c>
      <c r="C60" s="544">
        <f>Equipos!B44</f>
        <v>0</v>
      </c>
      <c r="D60" s="545"/>
      <c r="E60" s="545"/>
      <c r="F60" s="545"/>
      <c r="G60" s="545"/>
      <c r="H60" s="546"/>
      <c r="I60" s="477">
        <f>Equipos!O44</f>
        <v>0</v>
      </c>
      <c r="J60" s="477">
        <f t="shared" si="1"/>
        <v>0</v>
      </c>
      <c r="N60" s="361"/>
    </row>
    <row r="61" spans="2:14" s="342" customFormat="1" ht="53.25" customHeight="1">
      <c r="B61" s="476">
        <f>Equipos!D45</f>
        <v>0</v>
      </c>
      <c r="C61" s="544">
        <f>Equipos!B45</f>
        <v>0</v>
      </c>
      <c r="D61" s="545"/>
      <c r="E61" s="545"/>
      <c r="F61" s="545"/>
      <c r="G61" s="545"/>
      <c r="H61" s="546"/>
      <c r="I61" s="477">
        <f>Equipos!O45</f>
        <v>0</v>
      </c>
      <c r="J61" s="477">
        <f t="shared" si="1"/>
        <v>0</v>
      </c>
      <c r="N61" s="361"/>
    </row>
    <row r="62" spans="2:14" s="342" customFormat="1" ht="53.25" customHeight="1">
      <c r="B62" s="476">
        <f>Equipos!D46</f>
        <v>0</v>
      </c>
      <c r="C62" s="544">
        <f>Equipos!B46</f>
        <v>0</v>
      </c>
      <c r="D62" s="545"/>
      <c r="E62" s="545"/>
      <c r="F62" s="545"/>
      <c r="G62" s="545"/>
      <c r="H62" s="546"/>
      <c r="I62" s="477">
        <f>Equipos!O46</f>
        <v>0</v>
      </c>
      <c r="J62" s="477">
        <f t="shared" si="1"/>
        <v>0</v>
      </c>
      <c r="N62" s="361"/>
    </row>
    <row r="63" spans="2:14" s="342" customFormat="1" ht="53.25" customHeight="1">
      <c r="B63" s="476">
        <f>Equipos!D47</f>
        <v>0</v>
      </c>
      <c r="C63" s="544">
        <f>Equipos!B47</f>
        <v>0</v>
      </c>
      <c r="D63" s="545"/>
      <c r="E63" s="545"/>
      <c r="F63" s="545"/>
      <c r="G63" s="545"/>
      <c r="H63" s="546"/>
      <c r="I63" s="477">
        <f>Equipos!O47</f>
        <v>0</v>
      </c>
      <c r="J63" s="477">
        <f t="shared" si="1"/>
        <v>0</v>
      </c>
      <c r="N63" s="361"/>
    </row>
    <row r="64" spans="2:14" s="342" customFormat="1" ht="53.25" customHeight="1">
      <c r="B64" s="476">
        <f>Equipos!D48</f>
        <v>0</v>
      </c>
      <c r="C64" s="544">
        <f>Equipos!B48</f>
        <v>0</v>
      </c>
      <c r="D64" s="545"/>
      <c r="E64" s="545"/>
      <c r="F64" s="545"/>
      <c r="G64" s="545"/>
      <c r="H64" s="546"/>
      <c r="I64" s="477">
        <f>Equipos!O48</f>
        <v>0</v>
      </c>
      <c r="J64" s="477">
        <f t="shared" si="1"/>
        <v>0</v>
      </c>
      <c r="N64" s="361"/>
    </row>
    <row r="65" spans="2:14" s="342" customFormat="1" ht="53.25" customHeight="1">
      <c r="B65" s="476">
        <f>Equipos!D49</f>
        <v>0</v>
      </c>
      <c r="C65" s="544">
        <f>Equipos!B49</f>
        <v>0</v>
      </c>
      <c r="D65" s="545"/>
      <c r="E65" s="545"/>
      <c r="F65" s="545"/>
      <c r="G65" s="545"/>
      <c r="H65" s="546"/>
      <c r="I65" s="477">
        <f>Equipos!O49</f>
        <v>0</v>
      </c>
      <c r="J65" s="477">
        <f t="shared" si="1"/>
        <v>0</v>
      </c>
      <c r="N65" s="361"/>
    </row>
    <row r="66" spans="2:14" s="342" customFormat="1" ht="53.25" customHeight="1">
      <c r="B66" s="476">
        <f>Equipos!D50</f>
        <v>0</v>
      </c>
      <c r="C66" s="544">
        <f>Equipos!B50</f>
        <v>0</v>
      </c>
      <c r="D66" s="545"/>
      <c r="E66" s="545"/>
      <c r="F66" s="545"/>
      <c r="G66" s="545"/>
      <c r="H66" s="546"/>
      <c r="I66" s="477">
        <f>Equipos!O50</f>
        <v>0</v>
      </c>
      <c r="J66" s="477">
        <f t="shared" si="1"/>
        <v>0</v>
      </c>
      <c r="N66" s="361"/>
    </row>
    <row r="67" spans="2:14" s="342" customFormat="1" ht="53.25" customHeight="1">
      <c r="B67" s="476">
        <f>Equipos!D51</f>
        <v>0</v>
      </c>
      <c r="C67" s="544">
        <f>Equipos!B51</f>
        <v>0</v>
      </c>
      <c r="D67" s="545"/>
      <c r="E67" s="545"/>
      <c r="F67" s="545"/>
      <c r="G67" s="545"/>
      <c r="H67" s="546"/>
      <c r="I67" s="477">
        <f>Equipos!O51</f>
        <v>0</v>
      </c>
      <c r="J67" s="477">
        <f t="shared" si="1"/>
        <v>0</v>
      </c>
      <c r="N67" s="361"/>
    </row>
    <row r="68" spans="2:14" s="342" customFormat="1" ht="53.25" customHeight="1">
      <c r="B68" s="476">
        <f>Equipos!D52</f>
        <v>0</v>
      </c>
      <c r="C68" s="544">
        <f>Equipos!B52</f>
        <v>0</v>
      </c>
      <c r="D68" s="545"/>
      <c r="E68" s="545"/>
      <c r="F68" s="545"/>
      <c r="G68" s="545"/>
      <c r="H68" s="546"/>
      <c r="I68" s="477">
        <f>Equipos!O52</f>
        <v>0</v>
      </c>
      <c r="J68" s="477">
        <f t="shared" si="1"/>
        <v>0</v>
      </c>
      <c r="N68" s="361"/>
    </row>
    <row r="69" spans="2:14" s="342" customFormat="1" ht="53.25" customHeight="1">
      <c r="B69" s="476">
        <f>Equipos!D53</f>
        <v>0</v>
      </c>
      <c r="C69" s="544">
        <f>Equipos!B53</f>
        <v>0</v>
      </c>
      <c r="D69" s="545"/>
      <c r="E69" s="545"/>
      <c r="F69" s="545"/>
      <c r="G69" s="545"/>
      <c r="H69" s="546"/>
      <c r="I69" s="477">
        <f>Equipos!O53</f>
        <v>0</v>
      </c>
      <c r="J69" s="477">
        <f t="shared" si="1"/>
        <v>0</v>
      </c>
      <c r="N69" s="361"/>
    </row>
    <row r="70" spans="2:14" s="342" customFormat="1" ht="53.25" customHeight="1">
      <c r="B70" s="476">
        <f>Equipos!D54</f>
        <v>0</v>
      </c>
      <c r="C70" s="544">
        <f>Equipos!B54</f>
        <v>0</v>
      </c>
      <c r="D70" s="545"/>
      <c r="E70" s="545"/>
      <c r="F70" s="545"/>
      <c r="G70" s="545"/>
      <c r="H70" s="546"/>
      <c r="I70" s="477">
        <f>Equipos!O54</f>
        <v>0</v>
      </c>
      <c r="J70" s="477">
        <f t="shared" si="1"/>
        <v>0</v>
      </c>
      <c r="N70" s="361"/>
    </row>
    <row r="71" spans="2:14" s="342" customFormat="1" ht="39" customHeight="1">
      <c r="B71" s="476">
        <f>Equipos!D55</f>
        <v>0</v>
      </c>
      <c r="C71" s="544">
        <f>Equipos!B55</f>
        <v>0</v>
      </c>
      <c r="D71" s="545"/>
      <c r="E71" s="545"/>
      <c r="F71" s="545"/>
      <c r="G71" s="545"/>
      <c r="H71" s="546"/>
      <c r="I71" s="477">
        <f>Equipos!O55</f>
        <v>0</v>
      </c>
      <c r="J71" s="477">
        <f t="shared" si="1"/>
        <v>0</v>
      </c>
      <c r="N71" s="361"/>
    </row>
    <row r="72" spans="2:14" s="342" customFormat="1" ht="39" customHeight="1">
      <c r="B72" s="476">
        <f>IF(I72&gt;0,1,0)</f>
        <v>0</v>
      </c>
      <c r="C72" s="563" t="str">
        <f>IF(AND('OPEX GV'!O17&gt;0,MATERIALES!O46&gt;0),"Instalaci"&amp;_xlfn.UNICHAR(243)&amp;"n, configuraci"&amp;_xlfn.UNICHAR(243)&amp;"n y puesta en marcha de los equipos ofertados (mano de obra y materiales)",IF(MATERIALES!O46&gt;0,"Materiales de instalaci"&amp;_xlfn.UNICHAR(243)&amp;"n","Instalaci"&amp;_xlfn.UNICHAR(243)&amp;"n, configuraci"&amp;_xlfn.UNICHAR(243)&amp;"n y puesta en marcha de los equipos ofertados"))</f>
        <v>Instalación, configuración y puesta en marcha de los equipos ofertados</v>
      </c>
      <c r="D72" s="564"/>
      <c r="E72" s="564"/>
      <c r="F72" s="564"/>
      <c r="G72" s="564"/>
      <c r="H72" s="565"/>
      <c r="I72" s="477">
        <f>'OPEX GV'!O17+MATERIALES!O46</f>
        <v>0</v>
      </c>
      <c r="J72" s="477">
        <f>I72*B72</f>
        <v>0</v>
      </c>
      <c r="N72" s="361"/>
    </row>
    <row r="73" spans="2:14">
      <c r="B73" s="560" t="s">
        <v>348</v>
      </c>
      <c r="C73" s="561"/>
      <c r="D73" s="561"/>
      <c r="E73" s="561"/>
      <c r="F73" s="561"/>
      <c r="G73" s="561"/>
      <c r="H73" s="561"/>
      <c r="I73" s="561"/>
      <c r="J73" s="562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4">
        <f>+Equipos!P57+'OPEX GV'!O17+MATERIALES!O46</f>
        <v>0</v>
      </c>
      <c r="L74" s="497" t="str">
        <f>IF(ROUND(SUM(J22:J71)-SUBTOTAL(109,J22:J71),2)&lt;&gt;0,"OJO: hay l"&amp;_xlfn.UNICHAR(237)&amp;"neas ocultas con monto. Mostralas: si no, suman pero no aparecen en la cotizaci"&amp;_xlfn.UNICHAR(243)&amp;"n.","")</f>
        <v/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  <c r="L75" s="497" t="str">
        <f>IF(ROUND(J74-K74,2)&lt;&gt;0,"OJO: el SUBTOTAL no da Equipos + OPEX GV + MATERIALES ("&amp;TEXT(K74,"#,##0.00")&amp;"). Revis"&amp;_xlfn.UNICHAR(225)&amp;" las l"&amp;_xlfn.UNICHAR(237)&amp;"neas.","")</f>
        <v/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58" t="s">
        <v>353</v>
      </c>
      <c r="C89" s="558"/>
      <c r="D89" s="558"/>
      <c r="E89" s="558"/>
    </row>
    <row r="90" spans="2:10" ht="25.5" customHeight="1">
      <c r="B90" s="559" t="s">
        <v>354</v>
      </c>
      <c r="C90" s="559"/>
      <c r="D90" s="559"/>
      <c r="E90" s="559"/>
    </row>
    <row r="91" spans="2:10">
      <c r="B91" s="558" t="s">
        <v>339</v>
      </c>
      <c r="C91" s="558"/>
      <c r="D91" s="558"/>
      <c r="E91" s="558"/>
    </row>
    <row r="92" spans="2:10">
      <c r="B92" s="558" t="s">
        <v>572</v>
      </c>
      <c r="C92" s="558"/>
      <c r="D92" s="558"/>
      <c r="E92" s="362"/>
    </row>
  </sheetData>
  <mergeCells count="64">
    <mergeCell ref="C61:H61"/>
    <mergeCell ref="C62:H62"/>
    <mergeCell ref="C63:H63"/>
    <mergeCell ref="B73:J73"/>
    <mergeCell ref="C72:H72"/>
    <mergeCell ref="C69:H69"/>
    <mergeCell ref="C70:H70"/>
    <mergeCell ref="C64:H64"/>
    <mergeCell ref="C65:H65"/>
    <mergeCell ref="C66:H66"/>
    <mergeCell ref="C67:H67"/>
    <mergeCell ref="C68:H68"/>
    <mergeCell ref="C71:H71"/>
    <mergeCell ref="C56:H56"/>
    <mergeCell ref="C57:H57"/>
    <mergeCell ref="C58:H58"/>
    <mergeCell ref="C59:H59"/>
    <mergeCell ref="C60:H60"/>
    <mergeCell ref="C51:H51"/>
    <mergeCell ref="C52:H52"/>
    <mergeCell ref="C53:H53"/>
    <mergeCell ref="C54:H54"/>
    <mergeCell ref="C55:H55"/>
    <mergeCell ref="C46:H46"/>
    <mergeCell ref="C47:H47"/>
    <mergeCell ref="C48:H48"/>
    <mergeCell ref="C49:H49"/>
    <mergeCell ref="C50:H50"/>
    <mergeCell ref="C41:H41"/>
    <mergeCell ref="C42:H42"/>
    <mergeCell ref="C43:H43"/>
    <mergeCell ref="C44:H44"/>
    <mergeCell ref="C45:H45"/>
    <mergeCell ref="C36:H36"/>
    <mergeCell ref="C37:H37"/>
    <mergeCell ref="C38:H38"/>
    <mergeCell ref="C39:H39"/>
    <mergeCell ref="C40:H40"/>
    <mergeCell ref="C24:H24"/>
    <mergeCell ref="C25:H25"/>
    <mergeCell ref="B92:D92"/>
    <mergeCell ref="B89:E89"/>
    <mergeCell ref="B90:E90"/>
    <mergeCell ref="B91:E91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</mergeCells>
  <dataValidations count="2"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47" t="s">
        <v>335</v>
      </c>
      <c r="C5" s="547"/>
      <c r="F5" s="344"/>
      <c r="I5" s="347" t="s">
        <v>336</v>
      </c>
    </row>
    <row r="6" spans="2:10" ht="15" customHeight="1">
      <c r="B6" s="548" t="s">
        <v>337</v>
      </c>
      <c r="C6" s="548"/>
      <c r="D6" s="548"/>
      <c r="E6" s="548"/>
      <c r="F6" s="548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38" t="s">
        <v>519</v>
      </c>
    </row>
    <row r="12" spans="2:10">
      <c r="B12" s="353" t="s">
        <v>340</v>
      </c>
      <c r="C12" s="549"/>
      <c r="D12" s="549"/>
      <c r="E12" s="549"/>
      <c r="F12" s="549"/>
      <c r="G12" s="549"/>
      <c r="I12" s="341" t="s">
        <v>341</v>
      </c>
      <c r="J12" s="354">
        <f ca="1">TODAY()</f>
        <v>46322</v>
      </c>
    </row>
    <row r="13" spans="2:10">
      <c r="B13" s="430" t="s">
        <v>522</v>
      </c>
      <c r="C13" s="550"/>
      <c r="D13" s="551"/>
      <c r="E13" s="551"/>
      <c r="F13" s="551"/>
      <c r="G13" s="551"/>
      <c r="I13" s="341" t="s">
        <v>342</v>
      </c>
      <c r="J13" s="355" t="s">
        <v>527</v>
      </c>
    </row>
    <row r="14" spans="2:10">
      <c r="B14" s="430" t="s">
        <v>523</v>
      </c>
      <c r="C14" s="543"/>
      <c r="D14" s="543"/>
      <c r="E14" s="543"/>
      <c r="F14" s="543"/>
      <c r="G14" s="543"/>
      <c r="I14" s="341" t="s">
        <v>343</v>
      </c>
      <c r="J14" s="356" t="s">
        <v>518</v>
      </c>
    </row>
    <row r="15" spans="2:10">
      <c r="B15" s="430" t="s">
        <v>521</v>
      </c>
      <c r="C15" s="435"/>
      <c r="D15" s="436"/>
      <c r="E15" s="436"/>
      <c r="F15" s="436"/>
      <c r="G15" s="436"/>
      <c r="I15" s="437" t="s">
        <v>344</v>
      </c>
      <c r="J15" s="356" t="s">
        <v>345</v>
      </c>
    </row>
    <row r="16" spans="2:10">
      <c r="B16" s="430" t="s">
        <v>525</v>
      </c>
      <c r="C16" s="435" t="s">
        <v>528</v>
      </c>
      <c r="D16" s="436"/>
      <c r="E16" s="436"/>
      <c r="F16" s="436"/>
      <c r="G16" s="436"/>
      <c r="I16" s="437" t="s">
        <v>526</v>
      </c>
      <c r="J16" s="356"/>
    </row>
    <row r="17" spans="2:14">
      <c r="B17" s="430" t="s">
        <v>524</v>
      </c>
      <c r="C17" s="435"/>
      <c r="D17" s="436"/>
      <c r="E17" s="436"/>
      <c r="F17" s="436"/>
      <c r="G17" s="436"/>
      <c r="J17" s="341"/>
    </row>
    <row r="18" spans="2:14" hidden="1">
      <c r="B18" s="353"/>
      <c r="C18" s="543"/>
      <c r="D18" s="543"/>
      <c r="E18" s="543"/>
      <c r="F18" s="543"/>
      <c r="G18" s="543"/>
      <c r="J18" s="357"/>
    </row>
    <row r="19" spans="2:14" ht="18" customHeight="1"/>
    <row r="20" spans="2:14" ht="46.5">
      <c r="B20" s="358" t="s">
        <v>8</v>
      </c>
      <c r="C20" s="552" t="s">
        <v>310</v>
      </c>
      <c r="D20" s="553"/>
      <c r="E20" s="553"/>
      <c r="F20" s="553"/>
      <c r="G20" s="553"/>
      <c r="H20" s="554"/>
      <c r="I20" s="359" t="s">
        <v>642</v>
      </c>
      <c r="J20" s="360" t="s">
        <v>643</v>
      </c>
    </row>
    <row r="21" spans="2:14" ht="15.5">
      <c r="B21" s="431"/>
      <c r="C21" s="555" t="s">
        <v>516</v>
      </c>
      <c r="D21" s="556"/>
      <c r="E21" s="556"/>
      <c r="F21" s="556"/>
      <c r="G21" s="556"/>
      <c r="H21" s="557"/>
      <c r="I21" s="432"/>
      <c r="J21" s="433"/>
    </row>
    <row r="22" spans="2:14" ht="42" customHeight="1">
      <c r="B22" s="476">
        <f>Equipos!D6</f>
        <v>0</v>
      </c>
      <c r="C22" s="544">
        <f>Equipos!B6</f>
        <v>0</v>
      </c>
      <c r="D22" s="545"/>
      <c r="E22" s="545"/>
      <c r="F22" s="545"/>
      <c r="G22" s="545"/>
      <c r="H22" s="546"/>
      <c r="I22" s="477" t="str">
        <f>IFERROR(IF(Equipos!Q6="","",INDEX(Financiamiento!$C:$C,12+(Equipos!Q6-1)*17)),"")</f>
        <v/>
      </c>
      <c r="J22" s="477" t="str">
        <f t="shared" ref="J22:J53" si="0">IFERROR(I22*B22,"")</f>
        <v/>
      </c>
    </row>
    <row r="23" spans="2:14" s="342" customFormat="1" ht="52.5" customHeight="1">
      <c r="B23" s="476">
        <f>Equipos!D7</f>
        <v>0</v>
      </c>
      <c r="C23" s="544">
        <f>Equipos!B7</f>
        <v>0</v>
      </c>
      <c r="D23" s="545"/>
      <c r="E23" s="545"/>
      <c r="F23" s="545"/>
      <c r="G23" s="545"/>
      <c r="H23" s="546"/>
      <c r="I23" s="477" t="str">
        <f>IFERROR(IF(Equipos!Q7="","",INDEX(Financiamiento!$C:$C,12+(Equipos!Q7-1)*17)),"")</f>
        <v/>
      </c>
      <c r="J23" s="477" t="str">
        <f t="shared" si="0"/>
        <v/>
      </c>
      <c r="N23" s="361"/>
    </row>
    <row r="24" spans="2:14" s="342" customFormat="1" ht="57.75" customHeight="1">
      <c r="B24" s="476">
        <f>Equipos!D8</f>
        <v>0</v>
      </c>
      <c r="C24" s="544">
        <f>Equipos!B8</f>
        <v>0</v>
      </c>
      <c r="D24" s="545"/>
      <c r="E24" s="545"/>
      <c r="F24" s="545"/>
      <c r="G24" s="545"/>
      <c r="H24" s="546"/>
      <c r="I24" s="477" t="str">
        <f>IFERROR(IF(Equipos!Q8="","",INDEX(Financiamiento!$C:$C,12+(Equipos!Q8-1)*17)),"")</f>
        <v/>
      </c>
      <c r="J24" s="477" t="str">
        <f t="shared" si="0"/>
        <v/>
      </c>
      <c r="N24" s="361"/>
    </row>
    <row r="25" spans="2:14" s="342" customFormat="1" ht="53.25" customHeight="1">
      <c r="B25" s="476">
        <f>Equipos!D9</f>
        <v>0</v>
      </c>
      <c r="C25" s="544">
        <f>Equipos!B9</f>
        <v>0</v>
      </c>
      <c r="D25" s="545"/>
      <c r="E25" s="545"/>
      <c r="F25" s="545"/>
      <c r="G25" s="545"/>
      <c r="H25" s="546"/>
      <c r="I25" s="477" t="str">
        <f>IFERROR(IF(Equipos!Q9="","",INDEX(Financiamiento!$C:$C,12+(Equipos!Q9-1)*17)),"")</f>
        <v/>
      </c>
      <c r="J25" s="477" t="str">
        <f t="shared" si="0"/>
        <v/>
      </c>
      <c r="N25" s="361"/>
    </row>
    <row r="26" spans="2:14" s="342" customFormat="1" ht="53.25" customHeight="1">
      <c r="B26" s="476">
        <f>Equipos!D10</f>
        <v>0</v>
      </c>
      <c r="C26" s="544">
        <f>Equipos!B10</f>
        <v>0</v>
      </c>
      <c r="D26" s="545"/>
      <c r="E26" s="545"/>
      <c r="F26" s="545"/>
      <c r="G26" s="545"/>
      <c r="H26" s="546"/>
      <c r="I26" s="477" t="str">
        <f>IFERROR(IF(Equipos!Q10="","",INDEX(Financiamiento!$C:$C,12+(Equipos!Q10-1)*17)),"")</f>
        <v/>
      </c>
      <c r="J26" s="477" t="str">
        <f t="shared" si="0"/>
        <v/>
      </c>
      <c r="N26" s="361"/>
    </row>
    <row r="27" spans="2:14" s="342" customFormat="1" ht="53.25" customHeight="1">
      <c r="B27" s="476">
        <f>Equipos!D11</f>
        <v>0</v>
      </c>
      <c r="C27" s="544">
        <f>Equipos!B11</f>
        <v>0</v>
      </c>
      <c r="D27" s="545"/>
      <c r="E27" s="545"/>
      <c r="F27" s="545"/>
      <c r="G27" s="545"/>
      <c r="H27" s="546"/>
      <c r="I27" s="477" t="str">
        <f>IFERROR(IF(Equipos!Q11="","",INDEX(Financiamiento!$C:$C,12+(Equipos!Q11-1)*17)),"")</f>
        <v/>
      </c>
      <c r="J27" s="477" t="str">
        <f t="shared" si="0"/>
        <v/>
      </c>
      <c r="N27" s="361"/>
    </row>
    <row r="28" spans="2:14" s="342" customFormat="1" ht="53.25" customHeight="1">
      <c r="B28" s="476">
        <f>Equipos!D12</f>
        <v>0</v>
      </c>
      <c r="C28" s="544">
        <f>Equipos!B12</f>
        <v>0</v>
      </c>
      <c r="D28" s="545"/>
      <c r="E28" s="545"/>
      <c r="F28" s="545"/>
      <c r="G28" s="545"/>
      <c r="H28" s="546"/>
      <c r="I28" s="477" t="str">
        <f>IFERROR(IF(Equipos!Q12="","",INDEX(Financiamiento!$C:$C,12+(Equipos!Q12-1)*17)),"")</f>
        <v/>
      </c>
      <c r="J28" s="477" t="str">
        <f t="shared" si="0"/>
        <v/>
      </c>
      <c r="N28" s="361"/>
    </row>
    <row r="29" spans="2:14" s="342" customFormat="1" ht="53.25" customHeight="1">
      <c r="B29" s="476">
        <f>Equipos!D13</f>
        <v>0</v>
      </c>
      <c r="C29" s="544">
        <f>Equipos!B13</f>
        <v>0</v>
      </c>
      <c r="D29" s="545"/>
      <c r="E29" s="545"/>
      <c r="F29" s="545"/>
      <c r="G29" s="545"/>
      <c r="H29" s="546"/>
      <c r="I29" s="477" t="str">
        <f>IFERROR(IF(Equipos!Q13="","",INDEX(Financiamiento!$C:$C,12+(Equipos!Q13-1)*17)),"")</f>
        <v/>
      </c>
      <c r="J29" s="477" t="str">
        <f t="shared" si="0"/>
        <v/>
      </c>
      <c r="N29" s="361"/>
    </row>
    <row r="30" spans="2:14" s="342" customFormat="1" ht="53.25" customHeight="1">
      <c r="B30" s="476">
        <f>Equipos!D14</f>
        <v>0</v>
      </c>
      <c r="C30" s="544">
        <f>Equipos!B14</f>
        <v>0</v>
      </c>
      <c r="D30" s="545"/>
      <c r="E30" s="545"/>
      <c r="F30" s="545"/>
      <c r="G30" s="545"/>
      <c r="H30" s="546"/>
      <c r="I30" s="477" t="str">
        <f>IFERROR(IF(Equipos!Q14="","",INDEX(Financiamiento!$C:$C,12+(Equipos!Q14-1)*17)),"")</f>
        <v/>
      </c>
      <c r="J30" s="477" t="str">
        <f t="shared" si="0"/>
        <v/>
      </c>
      <c r="N30" s="361"/>
    </row>
    <row r="31" spans="2:14" s="342" customFormat="1" ht="53.25" customHeight="1">
      <c r="B31" s="476">
        <f>Equipos!D15</f>
        <v>0</v>
      </c>
      <c r="C31" s="544">
        <f>Equipos!B15</f>
        <v>0</v>
      </c>
      <c r="D31" s="545"/>
      <c r="E31" s="545"/>
      <c r="F31" s="545"/>
      <c r="G31" s="545"/>
      <c r="H31" s="546"/>
      <c r="I31" s="477" t="str">
        <f>IFERROR(IF(Equipos!Q15="","",INDEX(Financiamiento!$C:$C,12+(Equipos!Q15-1)*17)),"")</f>
        <v/>
      </c>
      <c r="J31" s="477" t="str">
        <f t="shared" si="0"/>
        <v/>
      </c>
      <c r="N31" s="361"/>
    </row>
    <row r="32" spans="2:14" s="342" customFormat="1" ht="53.25" customHeight="1">
      <c r="B32" s="476">
        <f>Equipos!D16</f>
        <v>0</v>
      </c>
      <c r="C32" s="544">
        <f>Equipos!B16</f>
        <v>0</v>
      </c>
      <c r="D32" s="545"/>
      <c r="E32" s="545"/>
      <c r="F32" s="545"/>
      <c r="G32" s="545"/>
      <c r="H32" s="546"/>
      <c r="I32" s="477" t="str">
        <f>IFERROR(IF(Equipos!Q16="","",INDEX(Financiamiento!$C:$C,12+(Equipos!Q16-1)*17)),"")</f>
        <v/>
      </c>
      <c r="J32" s="477" t="str">
        <f t="shared" si="0"/>
        <v/>
      </c>
      <c r="N32" s="361"/>
    </row>
    <row r="33" spans="2:14" s="342" customFormat="1" ht="53.25" customHeight="1">
      <c r="B33" s="476">
        <f>Equipos!D17</f>
        <v>0</v>
      </c>
      <c r="C33" s="544">
        <f>Equipos!B17</f>
        <v>0</v>
      </c>
      <c r="D33" s="545"/>
      <c r="E33" s="545"/>
      <c r="F33" s="545"/>
      <c r="G33" s="545"/>
      <c r="H33" s="546"/>
      <c r="I33" s="477" t="str">
        <f>IFERROR(IF(Equipos!Q17="","",INDEX(Financiamiento!$C:$C,12+(Equipos!Q17-1)*17)),"")</f>
        <v/>
      </c>
      <c r="J33" s="477" t="str">
        <f t="shared" si="0"/>
        <v/>
      </c>
      <c r="N33" s="361"/>
    </row>
    <row r="34" spans="2:14" s="342" customFormat="1" ht="53.25" customHeight="1">
      <c r="B34" s="476">
        <f>Equipos!D18</f>
        <v>0</v>
      </c>
      <c r="C34" s="544">
        <f>Equipos!B18</f>
        <v>0</v>
      </c>
      <c r="D34" s="545"/>
      <c r="E34" s="545"/>
      <c r="F34" s="545"/>
      <c r="G34" s="545"/>
      <c r="H34" s="546"/>
      <c r="I34" s="477" t="str">
        <f>IFERROR(IF(Equipos!Q18="","",INDEX(Financiamiento!$C:$C,12+(Equipos!Q18-1)*17)),"")</f>
        <v/>
      </c>
      <c r="J34" s="477" t="str">
        <f t="shared" si="0"/>
        <v/>
      </c>
      <c r="N34" s="361"/>
    </row>
    <row r="35" spans="2:14" s="342" customFormat="1" ht="53.25" customHeight="1">
      <c r="B35" s="476">
        <f>Equipos!D19</f>
        <v>0</v>
      </c>
      <c r="C35" s="544">
        <f>Equipos!B19</f>
        <v>0</v>
      </c>
      <c r="D35" s="545"/>
      <c r="E35" s="545"/>
      <c r="F35" s="545"/>
      <c r="G35" s="545"/>
      <c r="H35" s="546"/>
      <c r="I35" s="477" t="str">
        <f>IFERROR(IF(Equipos!Q19="","",INDEX(Financiamiento!$C:$C,12+(Equipos!Q19-1)*17)),"")</f>
        <v/>
      </c>
      <c r="J35" s="477" t="str">
        <f t="shared" si="0"/>
        <v/>
      </c>
      <c r="N35" s="361"/>
    </row>
    <row r="36" spans="2:14" s="342" customFormat="1" ht="53.25" customHeight="1">
      <c r="B36" s="476">
        <f>Equipos!D20</f>
        <v>0</v>
      </c>
      <c r="C36" s="544">
        <f>Equipos!B20</f>
        <v>0</v>
      </c>
      <c r="D36" s="545"/>
      <c r="E36" s="545"/>
      <c r="F36" s="545"/>
      <c r="G36" s="545"/>
      <c r="H36" s="546"/>
      <c r="I36" s="477" t="str">
        <f>IFERROR(IF(Equipos!Q20="","",INDEX(Financiamiento!$C:$C,12+(Equipos!Q20-1)*17)),"")</f>
        <v/>
      </c>
      <c r="J36" s="477" t="str">
        <f t="shared" si="0"/>
        <v/>
      </c>
      <c r="N36" s="361"/>
    </row>
    <row r="37" spans="2:14" s="342" customFormat="1" ht="53.25" customHeight="1">
      <c r="B37" s="476">
        <f>Equipos!D21</f>
        <v>0</v>
      </c>
      <c r="C37" s="544">
        <f>Equipos!B21</f>
        <v>0</v>
      </c>
      <c r="D37" s="545"/>
      <c r="E37" s="545"/>
      <c r="F37" s="545"/>
      <c r="G37" s="545"/>
      <c r="H37" s="546"/>
      <c r="I37" s="477" t="str">
        <f>IFERROR(IF(Equipos!Q21="","",INDEX(Financiamiento!$C:$C,12+(Equipos!Q21-1)*17)),"")</f>
        <v/>
      </c>
      <c r="J37" s="477" t="str">
        <f t="shared" si="0"/>
        <v/>
      </c>
      <c r="N37" s="361"/>
    </row>
    <row r="38" spans="2:14" s="342" customFormat="1" ht="53.25" customHeight="1">
      <c r="B38" s="476">
        <f>Equipos!D22</f>
        <v>0</v>
      </c>
      <c r="C38" s="544">
        <f>Equipos!B22</f>
        <v>0</v>
      </c>
      <c r="D38" s="545"/>
      <c r="E38" s="545"/>
      <c r="F38" s="545"/>
      <c r="G38" s="545"/>
      <c r="H38" s="546"/>
      <c r="I38" s="477" t="str">
        <f>IFERROR(IF(Equipos!Q22="","",INDEX(Financiamiento!$C:$C,12+(Equipos!Q22-1)*17)),"")</f>
        <v/>
      </c>
      <c r="J38" s="477" t="str">
        <f t="shared" si="0"/>
        <v/>
      </c>
      <c r="N38" s="361"/>
    </row>
    <row r="39" spans="2:14" s="342" customFormat="1" ht="53.25" customHeight="1">
      <c r="B39" s="476">
        <f>Equipos!D23</f>
        <v>0</v>
      </c>
      <c r="C39" s="544">
        <f>Equipos!B23</f>
        <v>0</v>
      </c>
      <c r="D39" s="545"/>
      <c r="E39" s="545"/>
      <c r="F39" s="545"/>
      <c r="G39" s="545"/>
      <c r="H39" s="546"/>
      <c r="I39" s="477" t="str">
        <f>IFERROR(IF(Equipos!Q23="","",INDEX(Financiamiento!$C:$C,12+(Equipos!Q23-1)*17)),"")</f>
        <v/>
      </c>
      <c r="J39" s="477" t="str">
        <f t="shared" si="0"/>
        <v/>
      </c>
      <c r="N39" s="361"/>
    </row>
    <row r="40" spans="2:14" s="342" customFormat="1" ht="53.25" customHeight="1">
      <c r="B40" s="476">
        <f>Equipos!D24</f>
        <v>0</v>
      </c>
      <c r="C40" s="544">
        <f>Equipos!B24</f>
        <v>0</v>
      </c>
      <c r="D40" s="545"/>
      <c r="E40" s="545"/>
      <c r="F40" s="545"/>
      <c r="G40" s="545"/>
      <c r="H40" s="546"/>
      <c r="I40" s="477" t="str">
        <f>IFERROR(IF(Equipos!Q24="","",INDEX(Financiamiento!$C:$C,12+(Equipos!Q24-1)*17)),"")</f>
        <v/>
      </c>
      <c r="J40" s="477" t="str">
        <f t="shared" si="0"/>
        <v/>
      </c>
      <c r="N40" s="361"/>
    </row>
    <row r="41" spans="2:14" s="342" customFormat="1" ht="53.25" customHeight="1">
      <c r="B41" s="476">
        <f>Equipos!D25</f>
        <v>0</v>
      </c>
      <c r="C41" s="544">
        <f>Equipos!B25</f>
        <v>0</v>
      </c>
      <c r="D41" s="545"/>
      <c r="E41" s="545"/>
      <c r="F41" s="545"/>
      <c r="G41" s="545"/>
      <c r="H41" s="546"/>
      <c r="I41" s="477" t="str">
        <f>IFERROR(IF(Equipos!Q25="","",INDEX(Financiamiento!$C:$C,12+(Equipos!Q25-1)*17)),"")</f>
        <v/>
      </c>
      <c r="J41" s="477" t="str">
        <f t="shared" si="0"/>
        <v/>
      </c>
      <c r="N41" s="361"/>
    </row>
    <row r="42" spans="2:14" s="342" customFormat="1" ht="53.25" customHeight="1">
      <c r="B42" s="476">
        <f>Equipos!D26</f>
        <v>0</v>
      </c>
      <c r="C42" s="544">
        <f>Equipos!B26</f>
        <v>0</v>
      </c>
      <c r="D42" s="545"/>
      <c r="E42" s="545"/>
      <c r="F42" s="545"/>
      <c r="G42" s="545"/>
      <c r="H42" s="546"/>
      <c r="I42" s="477" t="str">
        <f>IFERROR(IF(Equipos!Q26="","",INDEX(Financiamiento!$C:$C,12+(Equipos!Q26-1)*17)),"")</f>
        <v/>
      </c>
      <c r="J42" s="477" t="str">
        <f t="shared" si="0"/>
        <v/>
      </c>
      <c r="N42" s="361"/>
    </row>
    <row r="43" spans="2:14" s="342" customFormat="1" ht="53.25" customHeight="1">
      <c r="B43" s="476">
        <f>Equipos!D27</f>
        <v>0</v>
      </c>
      <c r="C43" s="544">
        <f>Equipos!B27</f>
        <v>0</v>
      </c>
      <c r="D43" s="545"/>
      <c r="E43" s="545"/>
      <c r="F43" s="545"/>
      <c r="G43" s="545"/>
      <c r="H43" s="546"/>
      <c r="I43" s="477" t="str">
        <f>IFERROR(IF(Equipos!Q27="","",INDEX(Financiamiento!$C:$C,12+(Equipos!Q27-1)*17)),"")</f>
        <v/>
      </c>
      <c r="J43" s="477" t="str">
        <f t="shared" si="0"/>
        <v/>
      </c>
      <c r="N43" s="361"/>
    </row>
    <row r="44" spans="2:14" s="342" customFormat="1" ht="53.25" customHeight="1">
      <c r="B44" s="476">
        <f>Equipos!D28</f>
        <v>0</v>
      </c>
      <c r="C44" s="544">
        <f>Equipos!B28</f>
        <v>0</v>
      </c>
      <c r="D44" s="545"/>
      <c r="E44" s="545"/>
      <c r="F44" s="545"/>
      <c r="G44" s="545"/>
      <c r="H44" s="546"/>
      <c r="I44" s="477" t="str">
        <f>IFERROR(IF(Equipos!Q28="","",INDEX(Financiamiento!$C:$C,12+(Equipos!Q28-1)*17)),"")</f>
        <v/>
      </c>
      <c r="J44" s="477" t="str">
        <f t="shared" si="0"/>
        <v/>
      </c>
      <c r="N44" s="361"/>
    </row>
    <row r="45" spans="2:14" s="342" customFormat="1" ht="53.25" customHeight="1">
      <c r="B45" s="476">
        <f>Equipos!D29</f>
        <v>0</v>
      </c>
      <c r="C45" s="544">
        <f>Equipos!B29</f>
        <v>0</v>
      </c>
      <c r="D45" s="545"/>
      <c r="E45" s="545"/>
      <c r="F45" s="545"/>
      <c r="G45" s="545"/>
      <c r="H45" s="546"/>
      <c r="I45" s="477" t="str">
        <f>IFERROR(IF(Equipos!Q29="","",INDEX(Financiamiento!$C:$C,12+(Equipos!Q29-1)*17)),"")</f>
        <v/>
      </c>
      <c r="J45" s="477" t="str">
        <f t="shared" si="0"/>
        <v/>
      </c>
      <c r="N45" s="361"/>
    </row>
    <row r="46" spans="2:14" s="342" customFormat="1" ht="53.25" customHeight="1">
      <c r="B46" s="476">
        <f>Equipos!D30</f>
        <v>0</v>
      </c>
      <c r="C46" s="544">
        <f>Equipos!B30</f>
        <v>0</v>
      </c>
      <c r="D46" s="545"/>
      <c r="E46" s="545"/>
      <c r="F46" s="545"/>
      <c r="G46" s="545"/>
      <c r="H46" s="546"/>
      <c r="I46" s="477" t="str">
        <f>IFERROR(IF(Equipos!Q30="","",INDEX(Financiamiento!$C:$C,12+(Equipos!Q30-1)*17)),"")</f>
        <v/>
      </c>
      <c r="J46" s="477" t="str">
        <f t="shared" si="0"/>
        <v/>
      </c>
      <c r="N46" s="361"/>
    </row>
    <row r="47" spans="2:14" s="342" customFormat="1" ht="53.25" customHeight="1">
      <c r="B47" s="476">
        <f>Equipos!D31</f>
        <v>0</v>
      </c>
      <c r="C47" s="544">
        <f>Equipos!B31</f>
        <v>0</v>
      </c>
      <c r="D47" s="545"/>
      <c r="E47" s="545"/>
      <c r="F47" s="545"/>
      <c r="G47" s="545"/>
      <c r="H47" s="546"/>
      <c r="I47" s="477" t="str">
        <f>IFERROR(IF(Equipos!Q31="","",INDEX(Financiamiento!$C:$C,12+(Equipos!Q31-1)*17)),"")</f>
        <v/>
      </c>
      <c r="J47" s="477" t="str">
        <f t="shared" si="0"/>
        <v/>
      </c>
      <c r="N47" s="361"/>
    </row>
    <row r="48" spans="2:14" s="342" customFormat="1" ht="53.25" customHeight="1">
      <c r="B48" s="476">
        <f>Equipos!D32</f>
        <v>0</v>
      </c>
      <c r="C48" s="544">
        <f>Equipos!B32</f>
        <v>0</v>
      </c>
      <c r="D48" s="545"/>
      <c r="E48" s="545"/>
      <c r="F48" s="545"/>
      <c r="G48" s="545"/>
      <c r="H48" s="546"/>
      <c r="I48" s="477" t="str">
        <f>IFERROR(IF(Equipos!Q32="","",INDEX(Financiamiento!$C:$C,12+(Equipos!Q32-1)*17)),"")</f>
        <v/>
      </c>
      <c r="J48" s="477" t="str">
        <f t="shared" si="0"/>
        <v/>
      </c>
      <c r="N48" s="361"/>
    </row>
    <row r="49" spans="2:14" s="342" customFormat="1" ht="53.25" customHeight="1">
      <c r="B49" s="476">
        <f>Equipos!D33</f>
        <v>0</v>
      </c>
      <c r="C49" s="544">
        <f>Equipos!B33</f>
        <v>0</v>
      </c>
      <c r="D49" s="545"/>
      <c r="E49" s="545"/>
      <c r="F49" s="545"/>
      <c r="G49" s="545"/>
      <c r="H49" s="546"/>
      <c r="I49" s="477" t="str">
        <f>IFERROR(IF(Equipos!Q33="","",INDEX(Financiamiento!$C:$C,12+(Equipos!Q33-1)*17)),"")</f>
        <v/>
      </c>
      <c r="J49" s="477" t="str">
        <f t="shared" si="0"/>
        <v/>
      </c>
      <c r="N49" s="361"/>
    </row>
    <row r="50" spans="2:14" s="342" customFormat="1" ht="53.25" customHeight="1">
      <c r="B50" s="476">
        <f>Equipos!D34</f>
        <v>0</v>
      </c>
      <c r="C50" s="544">
        <f>Equipos!B34</f>
        <v>0</v>
      </c>
      <c r="D50" s="545"/>
      <c r="E50" s="545"/>
      <c r="F50" s="545"/>
      <c r="G50" s="545"/>
      <c r="H50" s="546"/>
      <c r="I50" s="477" t="str">
        <f>IFERROR(IF(Equipos!Q34="","",INDEX(Financiamiento!$C:$C,12+(Equipos!Q34-1)*17)),"")</f>
        <v/>
      </c>
      <c r="J50" s="477" t="str">
        <f t="shared" si="0"/>
        <v/>
      </c>
      <c r="N50" s="361"/>
    </row>
    <row r="51" spans="2:14" s="342" customFormat="1" ht="53.25" customHeight="1">
      <c r="B51" s="476">
        <f>Equipos!D35</f>
        <v>0</v>
      </c>
      <c r="C51" s="544">
        <f>Equipos!B35</f>
        <v>0</v>
      </c>
      <c r="D51" s="545"/>
      <c r="E51" s="545"/>
      <c r="F51" s="545"/>
      <c r="G51" s="545"/>
      <c r="H51" s="546"/>
      <c r="I51" s="477" t="str">
        <f>IFERROR(IF(Equipos!Q35="","",INDEX(Financiamiento!$C:$C,12+(Equipos!Q35-1)*17)),"")</f>
        <v/>
      </c>
      <c r="J51" s="477" t="str">
        <f t="shared" si="0"/>
        <v/>
      </c>
      <c r="N51" s="361"/>
    </row>
    <row r="52" spans="2:14" s="342" customFormat="1" ht="53.25" customHeight="1">
      <c r="B52" s="476">
        <f>Equipos!D36</f>
        <v>0</v>
      </c>
      <c r="C52" s="544">
        <f>Equipos!B36</f>
        <v>0</v>
      </c>
      <c r="D52" s="545"/>
      <c r="E52" s="545"/>
      <c r="F52" s="545"/>
      <c r="G52" s="545"/>
      <c r="H52" s="546"/>
      <c r="I52" s="477" t="str">
        <f>IFERROR(IF(Equipos!Q36="","",INDEX(Financiamiento!$C:$C,12+(Equipos!Q36-1)*17)),"")</f>
        <v/>
      </c>
      <c r="J52" s="477" t="str">
        <f t="shared" si="0"/>
        <v/>
      </c>
      <c r="N52" s="361"/>
    </row>
    <row r="53" spans="2:14" s="342" customFormat="1" ht="53.25" customHeight="1">
      <c r="B53" s="476">
        <f>Equipos!D37</f>
        <v>0</v>
      </c>
      <c r="C53" s="544">
        <f>Equipos!B37</f>
        <v>0</v>
      </c>
      <c r="D53" s="545"/>
      <c r="E53" s="545"/>
      <c r="F53" s="545"/>
      <c r="G53" s="545"/>
      <c r="H53" s="546"/>
      <c r="I53" s="477" t="str">
        <f>IFERROR(IF(Equipos!Q37="","",INDEX(Financiamiento!$C:$C,12+(Equipos!Q37-1)*17)),"")</f>
        <v/>
      </c>
      <c r="J53" s="477" t="str">
        <f t="shared" si="0"/>
        <v/>
      </c>
      <c r="N53" s="361"/>
    </row>
    <row r="54" spans="2:14" s="342" customFormat="1" ht="53.25" customHeight="1">
      <c r="B54" s="476">
        <f>Equipos!D38</f>
        <v>0</v>
      </c>
      <c r="C54" s="544">
        <f>Equipos!B38</f>
        <v>0</v>
      </c>
      <c r="D54" s="545"/>
      <c r="E54" s="545"/>
      <c r="F54" s="545"/>
      <c r="G54" s="545"/>
      <c r="H54" s="546"/>
      <c r="I54" s="477" t="str">
        <f>IFERROR(IF(Equipos!Q38="","",INDEX(Financiamiento!$C:$C,12+(Equipos!Q38-1)*17)),"")</f>
        <v/>
      </c>
      <c r="J54" s="477" t="str">
        <f t="shared" ref="J54:J71" si="1">IFERROR(I54*B54,"")</f>
        <v/>
      </c>
      <c r="N54" s="361"/>
    </row>
    <row r="55" spans="2:14" s="342" customFormat="1" ht="53.25" customHeight="1">
      <c r="B55" s="476">
        <f>Equipos!D39</f>
        <v>0</v>
      </c>
      <c r="C55" s="544">
        <f>Equipos!B39</f>
        <v>0</v>
      </c>
      <c r="D55" s="545"/>
      <c r="E55" s="545"/>
      <c r="F55" s="545"/>
      <c r="G55" s="545"/>
      <c r="H55" s="546"/>
      <c r="I55" s="477" t="str">
        <f>IFERROR(IF(Equipos!Q39="","",INDEX(Financiamiento!$C:$C,12+(Equipos!Q39-1)*17)),"")</f>
        <v/>
      </c>
      <c r="J55" s="477" t="str">
        <f t="shared" si="1"/>
        <v/>
      </c>
      <c r="N55" s="361"/>
    </row>
    <row r="56" spans="2:14" s="342" customFormat="1" ht="53.25" customHeight="1">
      <c r="B56" s="476">
        <f>Equipos!D40</f>
        <v>0</v>
      </c>
      <c r="C56" s="544">
        <f>Equipos!B40</f>
        <v>0</v>
      </c>
      <c r="D56" s="545"/>
      <c r="E56" s="545"/>
      <c r="F56" s="545"/>
      <c r="G56" s="545"/>
      <c r="H56" s="546"/>
      <c r="I56" s="477" t="str">
        <f>IFERROR(IF(Equipos!Q40="","",INDEX(Financiamiento!$C:$C,12+(Equipos!Q40-1)*17)),"")</f>
        <v/>
      </c>
      <c r="J56" s="477" t="str">
        <f t="shared" si="1"/>
        <v/>
      </c>
      <c r="N56" s="361"/>
    </row>
    <row r="57" spans="2:14" s="342" customFormat="1" ht="53.25" customHeight="1">
      <c r="B57" s="476">
        <f>Equipos!D41</f>
        <v>0</v>
      </c>
      <c r="C57" s="544">
        <f>Equipos!B41</f>
        <v>0</v>
      </c>
      <c r="D57" s="545"/>
      <c r="E57" s="545"/>
      <c r="F57" s="545"/>
      <c r="G57" s="545"/>
      <c r="H57" s="546"/>
      <c r="I57" s="477" t="str">
        <f>IFERROR(IF(Equipos!Q41="","",INDEX(Financiamiento!$C:$C,12+(Equipos!Q41-1)*17)),"")</f>
        <v/>
      </c>
      <c r="J57" s="477" t="str">
        <f t="shared" si="1"/>
        <v/>
      </c>
      <c r="N57" s="361"/>
    </row>
    <row r="58" spans="2:14" s="342" customFormat="1" ht="53.25" customHeight="1">
      <c r="B58" s="476">
        <f>Equipos!D42</f>
        <v>0</v>
      </c>
      <c r="C58" s="544">
        <f>Equipos!B42</f>
        <v>0</v>
      </c>
      <c r="D58" s="545"/>
      <c r="E58" s="545"/>
      <c r="F58" s="545"/>
      <c r="G58" s="545"/>
      <c r="H58" s="546"/>
      <c r="I58" s="477" t="str">
        <f>IFERROR(IF(Equipos!Q42="","",INDEX(Financiamiento!$C:$C,12+(Equipos!Q42-1)*17)),"")</f>
        <v/>
      </c>
      <c r="J58" s="477" t="str">
        <f t="shared" si="1"/>
        <v/>
      </c>
      <c r="N58" s="361"/>
    </row>
    <row r="59" spans="2:14" s="342" customFormat="1" ht="53.25" customHeight="1">
      <c r="B59" s="476">
        <f>Equipos!D43</f>
        <v>0</v>
      </c>
      <c r="C59" s="544">
        <f>Equipos!B43</f>
        <v>0</v>
      </c>
      <c r="D59" s="545"/>
      <c r="E59" s="545"/>
      <c r="F59" s="545"/>
      <c r="G59" s="545"/>
      <c r="H59" s="546"/>
      <c r="I59" s="477" t="str">
        <f>IFERROR(IF(Equipos!Q43="","",INDEX(Financiamiento!$C:$C,12+(Equipos!Q43-1)*17)),"")</f>
        <v/>
      </c>
      <c r="J59" s="477" t="str">
        <f t="shared" si="1"/>
        <v/>
      </c>
      <c r="N59" s="361"/>
    </row>
    <row r="60" spans="2:14" s="342" customFormat="1" ht="53.25" customHeight="1">
      <c r="B60" s="476">
        <f>Equipos!D44</f>
        <v>0</v>
      </c>
      <c r="C60" s="544">
        <f>Equipos!B44</f>
        <v>0</v>
      </c>
      <c r="D60" s="545"/>
      <c r="E60" s="545"/>
      <c r="F60" s="545"/>
      <c r="G60" s="545"/>
      <c r="H60" s="546"/>
      <c r="I60" s="477" t="str">
        <f>IFERROR(IF(Equipos!Q44="","",INDEX(Financiamiento!$C:$C,12+(Equipos!Q44-1)*17)),"")</f>
        <v/>
      </c>
      <c r="J60" s="477" t="str">
        <f t="shared" si="1"/>
        <v/>
      </c>
      <c r="N60" s="361"/>
    </row>
    <row r="61" spans="2:14" s="342" customFormat="1" ht="53.25" customHeight="1">
      <c r="B61" s="476">
        <f>Equipos!D45</f>
        <v>0</v>
      </c>
      <c r="C61" s="544">
        <f>Equipos!B45</f>
        <v>0</v>
      </c>
      <c r="D61" s="545"/>
      <c r="E61" s="545"/>
      <c r="F61" s="545"/>
      <c r="G61" s="545"/>
      <c r="H61" s="546"/>
      <c r="I61" s="477" t="str">
        <f>IFERROR(IF(Equipos!Q45="","",INDEX(Financiamiento!$C:$C,12+(Equipos!Q45-1)*17)),"")</f>
        <v/>
      </c>
      <c r="J61" s="477" t="str">
        <f t="shared" si="1"/>
        <v/>
      </c>
      <c r="N61" s="361"/>
    </row>
    <row r="62" spans="2:14" s="342" customFormat="1" ht="53.25" customHeight="1">
      <c r="B62" s="476">
        <f>Equipos!D46</f>
        <v>0</v>
      </c>
      <c r="C62" s="544">
        <f>Equipos!B46</f>
        <v>0</v>
      </c>
      <c r="D62" s="545"/>
      <c r="E62" s="545"/>
      <c r="F62" s="545"/>
      <c r="G62" s="545"/>
      <c r="H62" s="546"/>
      <c r="I62" s="477" t="str">
        <f>IFERROR(IF(Equipos!Q46="","",INDEX(Financiamiento!$C:$C,12+(Equipos!Q46-1)*17)),"")</f>
        <v/>
      </c>
      <c r="J62" s="477" t="str">
        <f t="shared" si="1"/>
        <v/>
      </c>
      <c r="N62" s="361"/>
    </row>
    <row r="63" spans="2:14" s="342" customFormat="1" ht="53.25" customHeight="1">
      <c r="B63" s="476">
        <f>Equipos!D47</f>
        <v>0</v>
      </c>
      <c r="C63" s="544">
        <f>Equipos!B47</f>
        <v>0</v>
      </c>
      <c r="D63" s="545"/>
      <c r="E63" s="545"/>
      <c r="F63" s="545"/>
      <c r="G63" s="545"/>
      <c r="H63" s="546"/>
      <c r="I63" s="477" t="str">
        <f>IFERROR(IF(Equipos!Q47="","",INDEX(Financiamiento!$C:$C,12+(Equipos!Q47-1)*17)),"")</f>
        <v/>
      </c>
      <c r="J63" s="477" t="str">
        <f t="shared" si="1"/>
        <v/>
      </c>
      <c r="N63" s="361"/>
    </row>
    <row r="64" spans="2:14" s="342" customFormat="1" ht="53.25" customHeight="1">
      <c r="B64" s="476">
        <f>Equipos!D48</f>
        <v>0</v>
      </c>
      <c r="C64" s="544">
        <f>Equipos!B48</f>
        <v>0</v>
      </c>
      <c r="D64" s="545"/>
      <c r="E64" s="545"/>
      <c r="F64" s="545"/>
      <c r="G64" s="545"/>
      <c r="H64" s="546"/>
      <c r="I64" s="477" t="str">
        <f>IFERROR(IF(Equipos!Q48="","",INDEX(Financiamiento!$C:$C,12+(Equipos!Q48-1)*17)),"")</f>
        <v/>
      </c>
      <c r="J64" s="477" t="str">
        <f t="shared" si="1"/>
        <v/>
      </c>
      <c r="N64" s="361"/>
    </row>
    <row r="65" spans="2:14" s="342" customFormat="1" ht="53.25" customHeight="1">
      <c r="B65" s="476">
        <f>Equipos!D49</f>
        <v>0</v>
      </c>
      <c r="C65" s="544">
        <f>Equipos!B49</f>
        <v>0</v>
      </c>
      <c r="D65" s="545"/>
      <c r="E65" s="545"/>
      <c r="F65" s="545"/>
      <c r="G65" s="545"/>
      <c r="H65" s="546"/>
      <c r="I65" s="477" t="str">
        <f>IFERROR(IF(Equipos!Q49="","",INDEX(Financiamiento!$C:$C,12+(Equipos!Q49-1)*17)),"")</f>
        <v/>
      </c>
      <c r="J65" s="477" t="str">
        <f t="shared" si="1"/>
        <v/>
      </c>
      <c r="N65" s="361"/>
    </row>
    <row r="66" spans="2:14" s="342" customFormat="1" ht="53.25" customHeight="1">
      <c r="B66" s="476">
        <f>Equipos!D50</f>
        <v>0</v>
      </c>
      <c r="C66" s="544">
        <f>Equipos!B50</f>
        <v>0</v>
      </c>
      <c r="D66" s="545"/>
      <c r="E66" s="545"/>
      <c r="F66" s="545"/>
      <c r="G66" s="545"/>
      <c r="H66" s="546"/>
      <c r="I66" s="477" t="str">
        <f>IFERROR(IF(Equipos!Q50="","",INDEX(Financiamiento!$C:$C,12+(Equipos!Q50-1)*17)),"")</f>
        <v/>
      </c>
      <c r="J66" s="477" t="str">
        <f t="shared" si="1"/>
        <v/>
      </c>
      <c r="N66" s="361"/>
    </row>
    <row r="67" spans="2:14" s="342" customFormat="1" ht="53.25" customHeight="1">
      <c r="B67" s="476">
        <f>Equipos!D51</f>
        <v>0</v>
      </c>
      <c r="C67" s="544">
        <f>Equipos!B51</f>
        <v>0</v>
      </c>
      <c r="D67" s="545"/>
      <c r="E67" s="545"/>
      <c r="F67" s="545"/>
      <c r="G67" s="545"/>
      <c r="H67" s="546"/>
      <c r="I67" s="477" t="str">
        <f>IFERROR(IF(Equipos!Q51="","",INDEX(Financiamiento!$C:$C,12+(Equipos!Q51-1)*17)),"")</f>
        <v/>
      </c>
      <c r="J67" s="477" t="str">
        <f t="shared" si="1"/>
        <v/>
      </c>
      <c r="N67" s="361"/>
    </row>
    <row r="68" spans="2:14" s="342" customFormat="1" ht="53.25" customHeight="1">
      <c r="B68" s="476">
        <f>Equipos!D52</f>
        <v>0</v>
      </c>
      <c r="C68" s="544">
        <f>Equipos!B52</f>
        <v>0</v>
      </c>
      <c r="D68" s="545"/>
      <c r="E68" s="545"/>
      <c r="F68" s="545"/>
      <c r="G68" s="545"/>
      <c r="H68" s="546"/>
      <c r="I68" s="477" t="str">
        <f>IFERROR(IF(Equipos!Q52="","",INDEX(Financiamiento!$C:$C,12+(Equipos!Q52-1)*17)),"")</f>
        <v/>
      </c>
      <c r="J68" s="477" t="str">
        <f t="shared" si="1"/>
        <v/>
      </c>
      <c r="N68" s="361"/>
    </row>
    <row r="69" spans="2:14" s="342" customFormat="1" ht="53.25" customHeight="1">
      <c r="B69" s="476">
        <f>Equipos!D53</f>
        <v>0</v>
      </c>
      <c r="C69" s="544">
        <f>Equipos!B53</f>
        <v>0</v>
      </c>
      <c r="D69" s="545"/>
      <c r="E69" s="545"/>
      <c r="F69" s="545"/>
      <c r="G69" s="545"/>
      <c r="H69" s="546"/>
      <c r="I69" s="477" t="str">
        <f>IFERROR(IF(Equipos!Q53="","",INDEX(Financiamiento!$C:$C,12+(Equipos!Q53-1)*17)),"")</f>
        <v/>
      </c>
      <c r="J69" s="477" t="str">
        <f t="shared" si="1"/>
        <v/>
      </c>
      <c r="N69" s="361"/>
    </row>
    <row r="70" spans="2:14" s="342" customFormat="1" ht="53.25" customHeight="1">
      <c r="B70" s="476">
        <f>Equipos!D54</f>
        <v>0</v>
      </c>
      <c r="C70" s="544">
        <f>Equipos!B54</f>
        <v>0</v>
      </c>
      <c r="D70" s="545"/>
      <c r="E70" s="545"/>
      <c r="F70" s="545"/>
      <c r="G70" s="545"/>
      <c r="H70" s="546"/>
      <c r="I70" s="477" t="str">
        <f>IFERROR(IF(Equipos!Q54="","",INDEX(Financiamiento!$C:$C,12+(Equipos!Q54-1)*17)),"")</f>
        <v/>
      </c>
      <c r="J70" s="477" t="str">
        <f t="shared" si="1"/>
        <v/>
      </c>
      <c r="N70" s="361"/>
    </row>
    <row r="71" spans="2:14" s="342" customFormat="1" ht="39" customHeight="1">
      <c r="B71" s="476">
        <f>Equipos!D55</f>
        <v>0</v>
      </c>
      <c r="C71" s="544">
        <f>Equipos!B55</f>
        <v>0</v>
      </c>
      <c r="D71" s="545"/>
      <c r="E71" s="545"/>
      <c r="F71" s="545"/>
      <c r="G71" s="545"/>
      <c r="H71" s="546"/>
      <c r="I71" s="477" t="str">
        <f>IFERROR(IF(Equipos!Q55="","",INDEX(Financiamiento!$C:$C,12+(Equipos!Q55-1)*17)),"")</f>
        <v/>
      </c>
      <c r="J71" s="477" t="str">
        <f t="shared" si="1"/>
        <v/>
      </c>
      <c r="N71" s="361"/>
    </row>
    <row r="72" spans="2:14">
      <c r="B72" s="560" t="s">
        <v>348</v>
      </c>
      <c r="C72" s="561"/>
      <c r="D72" s="561"/>
      <c r="E72" s="561"/>
      <c r="F72" s="561"/>
      <c r="G72" s="561"/>
      <c r="H72" s="561"/>
      <c r="I72" s="561"/>
      <c r="J72" s="562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4">
        <f>+Equipos!P57+'OPEX GV'!O17</f>
        <v>0</v>
      </c>
      <c r="L74" s="497" t="str">
        <f>IF(ROUND(SUM(J22:J71)-SUBTOTAL(109,J22:J71),2)&lt;&gt;0,"OJO: hay l"&amp;_xlfn.UNICHAR(237)&amp;"neas ocultas con monto. Mostralas: si no, suman pero no aparecen en la cotizaci"&amp;_xlfn.UNICHAR(243)&amp;"n.","")</f>
        <v/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644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58" t="s">
        <v>353</v>
      </c>
      <c r="C89" s="558"/>
      <c r="D89" s="558"/>
      <c r="E89" s="558"/>
    </row>
    <row r="90" spans="2:10" ht="25.5" customHeight="1">
      <c r="B90" s="559" t="s">
        <v>354</v>
      </c>
      <c r="C90" s="559"/>
      <c r="D90" s="559"/>
      <c r="E90" s="559"/>
    </row>
    <row r="91" spans="2:10">
      <c r="B91" s="558" t="s">
        <v>339</v>
      </c>
      <c r="C91" s="558"/>
      <c r="D91" s="558"/>
      <c r="E91" s="558"/>
    </row>
    <row r="92" spans="2:10">
      <c r="B92" s="558" t="s">
        <v>572</v>
      </c>
      <c r="C92" s="558"/>
      <c r="D92" s="558"/>
      <c r="E92" s="362"/>
    </row>
  </sheetData>
  <mergeCells count="63">
    <mergeCell ref="C18:G18"/>
    <mergeCell ref="B5:C5"/>
    <mergeCell ref="B6:F6"/>
    <mergeCell ref="C12:G12"/>
    <mergeCell ref="C13:G13"/>
    <mergeCell ref="C14:G14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66" t="s">
        <v>355</v>
      </c>
      <c r="C1" s="566"/>
      <c r="D1" s="566"/>
      <c r="E1" s="567"/>
      <c r="F1" s="568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69" t="s">
        <v>356</v>
      </c>
      <c r="C3" s="569"/>
      <c r="D3" s="569"/>
      <c r="E3" s="569"/>
      <c r="F3" s="569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39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5"/>
      <c r="B6" s="428"/>
      <c r="C6" s="426" t="s">
        <v>369</v>
      </c>
      <c r="D6" s="427">
        <v>0</v>
      </c>
      <c r="E6" s="401">
        <v>0</v>
      </c>
      <c r="F6" s="402">
        <f>E6*D6</f>
        <v>0</v>
      </c>
      <c r="G6" s="401">
        <f t="shared" ref="G6:G55" si="0">IF(C6="si",E6*$G$4,0)</f>
        <v>0</v>
      </c>
      <c r="H6" s="401">
        <f>(E6+G6)*$H$4</f>
        <v>0</v>
      </c>
      <c r="I6" s="401">
        <f>+(E6+G6+H6)*$I$4</f>
        <v>0</v>
      </c>
      <c r="J6" s="401">
        <f>IF(C6="si",(E6+G6+H6+I6)*$J$4,0)</f>
        <v>0</v>
      </c>
      <c r="K6" s="401">
        <f>E6+G6+H6+I6+J6</f>
        <v>0</v>
      </c>
      <c r="L6" s="401">
        <f>K6*$L$4</f>
        <v>0</v>
      </c>
      <c r="M6" s="403">
        <f>(K6+L6)*D6</f>
        <v>0</v>
      </c>
      <c r="N6" s="401">
        <f>(K6+L6)*$N$4/(1-$N$4)</f>
        <v>0</v>
      </c>
      <c r="O6" s="401">
        <f>N6+K6+L6</f>
        <v>0</v>
      </c>
      <c r="P6" s="401">
        <f>O6*D6</f>
        <v>0</v>
      </c>
    </row>
    <row r="7" spans="1:17">
      <c r="A7" s="425"/>
      <c r="B7" s="425"/>
      <c r="C7" s="426" t="s">
        <v>369</v>
      </c>
      <c r="D7" s="427">
        <v>0</v>
      </c>
      <c r="E7" s="401">
        <v>0</v>
      </c>
      <c r="F7" s="402">
        <f t="shared" ref="F7:F55" si="1">E7*D7</f>
        <v>0</v>
      </c>
      <c r="G7" s="401">
        <f t="shared" si="0"/>
        <v>0</v>
      </c>
      <c r="H7" s="401">
        <f t="shared" ref="H7:H55" si="2">(E7+G7)*$H$4</f>
        <v>0</v>
      </c>
      <c r="I7" s="401">
        <f t="shared" ref="I7:I55" si="3">+(E7+G7+H7)*$I$4</f>
        <v>0</v>
      </c>
      <c r="J7" s="401">
        <f t="shared" ref="J7:J55" si="4">IF(C7="si",(E7+G7+H7+I7)*$J$4,0)</f>
        <v>0</v>
      </c>
      <c r="K7" s="401">
        <f t="shared" ref="K7:K55" si="5">E7+G7+H7+I7+J7</f>
        <v>0</v>
      </c>
      <c r="L7" s="401">
        <f t="shared" ref="L7:L55" si="6">K7*$L$4</f>
        <v>0</v>
      </c>
      <c r="M7" s="403">
        <f t="shared" ref="M7:M55" si="7">(K7+L7)*D7</f>
        <v>0</v>
      </c>
      <c r="N7" s="401">
        <f t="shared" ref="N7:N55" si="8">(K7+L7)*$N$4/(1-$N$4)</f>
        <v>0</v>
      </c>
      <c r="O7" s="401">
        <f t="shared" ref="O7:O55" si="9">N7+K7+L7</f>
        <v>0</v>
      </c>
      <c r="P7" s="401">
        <f t="shared" ref="P7:P55" si="10">O7*D7</f>
        <v>0</v>
      </c>
    </row>
    <row r="8" spans="1:17">
      <c r="A8" s="425"/>
      <c r="B8" s="425"/>
      <c r="C8" s="426" t="s">
        <v>369</v>
      </c>
      <c r="D8" s="427">
        <v>0</v>
      </c>
      <c r="E8" s="401">
        <v>0</v>
      </c>
      <c r="F8" s="402">
        <f t="shared" si="1"/>
        <v>0</v>
      </c>
      <c r="G8" s="401">
        <f t="shared" si="0"/>
        <v>0</v>
      </c>
      <c r="H8" s="401">
        <f t="shared" si="2"/>
        <v>0</v>
      </c>
      <c r="I8" s="401">
        <f t="shared" si="3"/>
        <v>0</v>
      </c>
      <c r="J8" s="401">
        <f t="shared" si="4"/>
        <v>0</v>
      </c>
      <c r="K8" s="401">
        <f t="shared" si="5"/>
        <v>0</v>
      </c>
      <c r="L8" s="401">
        <f t="shared" si="6"/>
        <v>0</v>
      </c>
      <c r="M8" s="403">
        <f t="shared" si="7"/>
        <v>0</v>
      </c>
      <c r="N8" s="401">
        <f t="shared" si="8"/>
        <v>0</v>
      </c>
      <c r="O8" s="401">
        <f t="shared" si="9"/>
        <v>0</v>
      </c>
      <c r="P8" s="401">
        <f t="shared" si="10"/>
        <v>0</v>
      </c>
    </row>
    <row r="9" spans="1:17">
      <c r="A9" s="425"/>
      <c r="B9" s="425"/>
      <c r="C9" s="426" t="s">
        <v>369</v>
      </c>
      <c r="D9" s="427">
        <v>0</v>
      </c>
      <c r="E9" s="401">
        <v>0</v>
      </c>
      <c r="F9" s="402">
        <f t="shared" si="1"/>
        <v>0</v>
      </c>
      <c r="G9" s="401">
        <f t="shared" si="0"/>
        <v>0</v>
      </c>
      <c r="H9" s="401">
        <f t="shared" si="2"/>
        <v>0</v>
      </c>
      <c r="I9" s="401">
        <f t="shared" si="3"/>
        <v>0</v>
      </c>
      <c r="J9" s="401">
        <f t="shared" si="4"/>
        <v>0</v>
      </c>
      <c r="K9" s="401">
        <f t="shared" si="5"/>
        <v>0</v>
      </c>
      <c r="L9" s="401">
        <f t="shared" si="6"/>
        <v>0</v>
      </c>
      <c r="M9" s="403">
        <f t="shared" si="7"/>
        <v>0</v>
      </c>
      <c r="N9" s="401">
        <f t="shared" si="8"/>
        <v>0</v>
      </c>
      <c r="O9" s="401">
        <f t="shared" si="9"/>
        <v>0</v>
      </c>
      <c r="P9" s="401">
        <f t="shared" si="10"/>
        <v>0</v>
      </c>
    </row>
    <row r="10" spans="1:17">
      <c r="A10" s="425"/>
      <c r="B10" s="428"/>
      <c r="C10" s="426" t="s">
        <v>369</v>
      </c>
      <c r="D10" s="427">
        <v>0</v>
      </c>
      <c r="E10" s="401">
        <v>0</v>
      </c>
      <c r="F10" s="402">
        <f t="shared" si="1"/>
        <v>0</v>
      </c>
      <c r="G10" s="401">
        <f t="shared" si="0"/>
        <v>0</v>
      </c>
      <c r="H10" s="401">
        <f t="shared" si="2"/>
        <v>0</v>
      </c>
      <c r="I10" s="401">
        <f t="shared" si="3"/>
        <v>0</v>
      </c>
      <c r="J10" s="401">
        <f t="shared" si="4"/>
        <v>0</v>
      </c>
      <c r="K10" s="401">
        <f t="shared" si="5"/>
        <v>0</v>
      </c>
      <c r="L10" s="401">
        <f t="shared" si="6"/>
        <v>0</v>
      </c>
      <c r="M10" s="403">
        <f t="shared" si="7"/>
        <v>0</v>
      </c>
      <c r="N10" s="401">
        <f t="shared" si="8"/>
        <v>0</v>
      </c>
      <c r="O10" s="401">
        <f t="shared" si="9"/>
        <v>0</v>
      </c>
      <c r="P10" s="401">
        <f t="shared" si="10"/>
        <v>0</v>
      </c>
    </row>
    <row r="11" spans="1:17">
      <c r="A11" s="425"/>
      <c r="B11" s="425"/>
      <c r="C11" s="426" t="s">
        <v>369</v>
      </c>
      <c r="D11" s="427">
        <v>0</v>
      </c>
      <c r="E11" s="401">
        <v>0</v>
      </c>
      <c r="F11" s="402">
        <f t="shared" si="1"/>
        <v>0</v>
      </c>
      <c r="G11" s="401">
        <f t="shared" si="0"/>
        <v>0</v>
      </c>
      <c r="H11" s="401">
        <f t="shared" si="2"/>
        <v>0</v>
      </c>
      <c r="I11" s="401">
        <f t="shared" si="3"/>
        <v>0</v>
      </c>
      <c r="J11" s="401">
        <f t="shared" si="4"/>
        <v>0</v>
      </c>
      <c r="K11" s="401">
        <f t="shared" si="5"/>
        <v>0</v>
      </c>
      <c r="L11" s="401">
        <f t="shared" si="6"/>
        <v>0</v>
      </c>
      <c r="M11" s="403">
        <f t="shared" si="7"/>
        <v>0</v>
      </c>
      <c r="N11" s="401">
        <f t="shared" si="8"/>
        <v>0</v>
      </c>
      <c r="O11" s="401">
        <f t="shared" si="9"/>
        <v>0</v>
      </c>
      <c r="P11" s="401">
        <f t="shared" si="10"/>
        <v>0</v>
      </c>
    </row>
    <row r="12" spans="1:17">
      <c r="A12" s="425"/>
      <c r="B12" s="428"/>
      <c r="C12" s="426" t="s">
        <v>369</v>
      </c>
      <c r="D12" s="427">
        <v>0</v>
      </c>
      <c r="E12" s="401">
        <v>0</v>
      </c>
      <c r="F12" s="402">
        <f t="shared" si="1"/>
        <v>0</v>
      </c>
      <c r="G12" s="401">
        <f t="shared" si="0"/>
        <v>0</v>
      </c>
      <c r="H12" s="401">
        <f t="shared" si="2"/>
        <v>0</v>
      </c>
      <c r="I12" s="401">
        <f t="shared" si="3"/>
        <v>0</v>
      </c>
      <c r="J12" s="401">
        <f t="shared" si="4"/>
        <v>0</v>
      </c>
      <c r="K12" s="401">
        <f t="shared" si="5"/>
        <v>0</v>
      </c>
      <c r="L12" s="401">
        <f t="shared" si="6"/>
        <v>0</v>
      </c>
      <c r="M12" s="403">
        <f t="shared" si="7"/>
        <v>0</v>
      </c>
      <c r="N12" s="401">
        <f t="shared" si="8"/>
        <v>0</v>
      </c>
      <c r="O12" s="401">
        <f t="shared" si="9"/>
        <v>0</v>
      </c>
      <c r="P12" s="401">
        <f t="shared" si="10"/>
        <v>0</v>
      </c>
    </row>
    <row r="13" spans="1:17">
      <c r="A13" s="425"/>
      <c r="B13" s="425"/>
      <c r="C13" s="426" t="s">
        <v>369</v>
      </c>
      <c r="D13" s="427">
        <v>0</v>
      </c>
      <c r="E13" s="401">
        <v>0</v>
      </c>
      <c r="F13" s="402">
        <f t="shared" si="1"/>
        <v>0</v>
      </c>
      <c r="G13" s="401">
        <f t="shared" si="0"/>
        <v>0</v>
      </c>
      <c r="H13" s="401">
        <f t="shared" si="2"/>
        <v>0</v>
      </c>
      <c r="I13" s="401">
        <f t="shared" si="3"/>
        <v>0</v>
      </c>
      <c r="J13" s="401">
        <f t="shared" si="4"/>
        <v>0</v>
      </c>
      <c r="K13" s="401">
        <f t="shared" si="5"/>
        <v>0</v>
      </c>
      <c r="L13" s="401">
        <f t="shared" si="6"/>
        <v>0</v>
      </c>
      <c r="M13" s="403">
        <f t="shared" si="7"/>
        <v>0</v>
      </c>
      <c r="N13" s="401">
        <f t="shared" si="8"/>
        <v>0</v>
      </c>
      <c r="O13" s="401">
        <f t="shared" si="9"/>
        <v>0</v>
      </c>
      <c r="P13" s="401">
        <f t="shared" si="10"/>
        <v>0</v>
      </c>
    </row>
    <row r="14" spans="1:17">
      <c r="A14" s="425"/>
      <c r="B14" s="412"/>
      <c r="C14" s="426" t="s">
        <v>369</v>
      </c>
      <c r="D14" s="427">
        <v>0</v>
      </c>
      <c r="E14" s="401">
        <v>0</v>
      </c>
      <c r="F14" s="402">
        <f t="shared" si="1"/>
        <v>0</v>
      </c>
      <c r="G14" s="401">
        <f t="shared" si="0"/>
        <v>0</v>
      </c>
      <c r="H14" s="401">
        <f t="shared" si="2"/>
        <v>0</v>
      </c>
      <c r="I14" s="401">
        <f t="shared" si="3"/>
        <v>0</v>
      </c>
      <c r="J14" s="401">
        <f t="shared" si="4"/>
        <v>0</v>
      </c>
      <c r="K14" s="401">
        <f t="shared" si="5"/>
        <v>0</v>
      </c>
      <c r="L14" s="401">
        <f t="shared" si="6"/>
        <v>0</v>
      </c>
      <c r="M14" s="403">
        <f t="shared" si="7"/>
        <v>0</v>
      </c>
      <c r="N14" s="401">
        <f t="shared" si="8"/>
        <v>0</v>
      </c>
      <c r="O14" s="401">
        <f t="shared" si="9"/>
        <v>0</v>
      </c>
      <c r="P14" s="401">
        <f t="shared" si="10"/>
        <v>0</v>
      </c>
    </row>
    <row r="15" spans="1:17">
      <c r="A15" s="425"/>
      <c r="B15" s="412"/>
      <c r="C15" s="426" t="s">
        <v>369</v>
      </c>
      <c r="D15" s="427">
        <v>0</v>
      </c>
      <c r="E15" s="401">
        <v>0</v>
      </c>
      <c r="F15" s="402">
        <f t="shared" si="1"/>
        <v>0</v>
      </c>
      <c r="G15" s="401">
        <f t="shared" si="0"/>
        <v>0</v>
      </c>
      <c r="H15" s="401">
        <f t="shared" si="2"/>
        <v>0</v>
      </c>
      <c r="I15" s="401">
        <f t="shared" si="3"/>
        <v>0</v>
      </c>
      <c r="J15" s="401">
        <f t="shared" si="4"/>
        <v>0</v>
      </c>
      <c r="K15" s="401">
        <f t="shared" si="5"/>
        <v>0</v>
      </c>
      <c r="L15" s="401">
        <f t="shared" si="6"/>
        <v>0</v>
      </c>
      <c r="M15" s="403">
        <f t="shared" si="7"/>
        <v>0</v>
      </c>
      <c r="N15" s="401">
        <f t="shared" si="8"/>
        <v>0</v>
      </c>
      <c r="O15" s="401">
        <f t="shared" si="9"/>
        <v>0</v>
      </c>
      <c r="P15" s="401">
        <f t="shared" si="10"/>
        <v>0</v>
      </c>
    </row>
    <row r="16" spans="1:17">
      <c r="A16" s="425"/>
      <c r="B16" s="131"/>
      <c r="C16" s="426" t="s">
        <v>369</v>
      </c>
      <c r="D16" s="427">
        <v>0</v>
      </c>
      <c r="E16" s="401">
        <v>0</v>
      </c>
      <c r="F16" s="402">
        <f t="shared" si="1"/>
        <v>0</v>
      </c>
      <c r="G16" s="401">
        <f t="shared" si="0"/>
        <v>0</v>
      </c>
      <c r="H16" s="401">
        <f t="shared" si="2"/>
        <v>0</v>
      </c>
      <c r="I16" s="401">
        <f t="shared" si="3"/>
        <v>0</v>
      </c>
      <c r="J16" s="401">
        <f t="shared" si="4"/>
        <v>0</v>
      </c>
      <c r="K16" s="401">
        <f t="shared" si="5"/>
        <v>0</v>
      </c>
      <c r="L16" s="401">
        <f t="shared" si="6"/>
        <v>0</v>
      </c>
      <c r="M16" s="403">
        <f t="shared" si="7"/>
        <v>0</v>
      </c>
      <c r="N16" s="401">
        <f t="shared" si="8"/>
        <v>0</v>
      </c>
      <c r="O16" s="401">
        <f t="shared" si="9"/>
        <v>0</v>
      </c>
      <c r="P16" s="401">
        <f t="shared" si="10"/>
        <v>0</v>
      </c>
    </row>
    <row r="17" spans="1:16">
      <c r="A17" s="425"/>
      <c r="B17" s="425"/>
      <c r="C17" s="426" t="s">
        <v>369</v>
      </c>
      <c r="D17" s="427">
        <v>0</v>
      </c>
      <c r="E17" s="401">
        <v>0</v>
      </c>
      <c r="F17" s="402">
        <f t="shared" si="1"/>
        <v>0</v>
      </c>
      <c r="G17" s="401">
        <f t="shared" si="0"/>
        <v>0</v>
      </c>
      <c r="H17" s="401">
        <f t="shared" si="2"/>
        <v>0</v>
      </c>
      <c r="I17" s="401">
        <f t="shared" si="3"/>
        <v>0</v>
      </c>
      <c r="J17" s="401">
        <f t="shared" si="4"/>
        <v>0</v>
      </c>
      <c r="K17" s="401">
        <f t="shared" si="5"/>
        <v>0</v>
      </c>
      <c r="L17" s="401">
        <f t="shared" si="6"/>
        <v>0</v>
      </c>
      <c r="M17" s="403">
        <f t="shared" si="7"/>
        <v>0</v>
      </c>
      <c r="N17" s="401">
        <f t="shared" si="8"/>
        <v>0</v>
      </c>
      <c r="O17" s="401">
        <f t="shared" si="9"/>
        <v>0</v>
      </c>
      <c r="P17" s="401">
        <f t="shared" si="10"/>
        <v>0</v>
      </c>
    </row>
    <row r="18" spans="1:16">
      <c r="A18" s="425"/>
      <c r="B18" s="412"/>
      <c r="C18" s="426" t="s">
        <v>369</v>
      </c>
      <c r="D18" s="427">
        <v>0</v>
      </c>
      <c r="E18" s="401">
        <v>0</v>
      </c>
      <c r="F18" s="402">
        <f t="shared" si="1"/>
        <v>0</v>
      </c>
      <c r="G18" s="401">
        <f t="shared" si="0"/>
        <v>0</v>
      </c>
      <c r="H18" s="401">
        <f t="shared" si="2"/>
        <v>0</v>
      </c>
      <c r="I18" s="401">
        <f t="shared" si="3"/>
        <v>0</v>
      </c>
      <c r="J18" s="401">
        <f t="shared" si="4"/>
        <v>0</v>
      </c>
      <c r="K18" s="401">
        <f t="shared" si="5"/>
        <v>0</v>
      </c>
      <c r="L18" s="401">
        <f t="shared" si="6"/>
        <v>0</v>
      </c>
      <c r="M18" s="403">
        <f t="shared" si="7"/>
        <v>0</v>
      </c>
      <c r="N18" s="401">
        <f t="shared" si="8"/>
        <v>0</v>
      </c>
      <c r="O18" s="401">
        <f t="shared" si="9"/>
        <v>0</v>
      </c>
      <c r="P18" s="401">
        <f t="shared" si="10"/>
        <v>0</v>
      </c>
    </row>
    <row r="19" spans="1:16">
      <c r="A19" s="425"/>
      <c r="B19" s="412"/>
      <c r="C19" s="426" t="s">
        <v>369</v>
      </c>
      <c r="D19" s="427">
        <v>0</v>
      </c>
      <c r="E19" s="401">
        <v>0</v>
      </c>
      <c r="F19" s="402">
        <f t="shared" ref="F19:F54" si="11">E19*D19</f>
        <v>0</v>
      </c>
      <c r="G19" s="401">
        <f t="shared" ref="G19:G54" si="12">IF(C19="si",E19*$G$4,0)</f>
        <v>0</v>
      </c>
      <c r="H19" s="401">
        <f t="shared" ref="H19:H54" si="13">(E19+G19)*$H$4</f>
        <v>0</v>
      </c>
      <c r="I19" s="401">
        <f t="shared" ref="I19:I54" si="14">+(E19+G19+H19)*$I$4</f>
        <v>0</v>
      </c>
      <c r="J19" s="401">
        <f t="shared" ref="J19:J54" si="15">IF(C19="si",(E19+G19+H19+I19)*$J$4,0)</f>
        <v>0</v>
      </c>
      <c r="K19" s="401">
        <f t="shared" ref="K19:K54" si="16">E19+G19+H19+I19+J19</f>
        <v>0</v>
      </c>
      <c r="L19" s="401">
        <f t="shared" ref="L19:L54" si="17">K19*$L$4</f>
        <v>0</v>
      </c>
      <c r="M19" s="403">
        <f t="shared" ref="M19:M54" si="18">(K19+L19)*D19</f>
        <v>0</v>
      </c>
      <c r="N19" s="401">
        <f t="shared" ref="N19:N54" si="19">(K19+L19)*$N$4/(1-$N$4)</f>
        <v>0</v>
      </c>
      <c r="O19" s="401">
        <f t="shared" ref="O19:O54" si="20">N19+K19+L19</f>
        <v>0</v>
      </c>
      <c r="P19" s="401">
        <f t="shared" ref="P19:P54" si="21">O19*D19</f>
        <v>0</v>
      </c>
    </row>
    <row r="20" spans="1:16">
      <c r="A20" s="425"/>
      <c r="B20" s="412"/>
      <c r="C20" s="426" t="s">
        <v>369</v>
      </c>
      <c r="D20" s="427">
        <v>0</v>
      </c>
      <c r="E20" s="401">
        <v>0</v>
      </c>
      <c r="F20" s="402">
        <f t="shared" si="11"/>
        <v>0</v>
      </c>
      <c r="G20" s="401">
        <f t="shared" si="12"/>
        <v>0</v>
      </c>
      <c r="H20" s="401">
        <f t="shared" si="13"/>
        <v>0</v>
      </c>
      <c r="I20" s="401">
        <f t="shared" si="14"/>
        <v>0</v>
      </c>
      <c r="J20" s="401">
        <f t="shared" si="15"/>
        <v>0</v>
      </c>
      <c r="K20" s="401">
        <f t="shared" si="16"/>
        <v>0</v>
      </c>
      <c r="L20" s="401">
        <f t="shared" si="17"/>
        <v>0</v>
      </c>
      <c r="M20" s="403">
        <f t="shared" si="18"/>
        <v>0</v>
      </c>
      <c r="N20" s="401">
        <f t="shared" si="19"/>
        <v>0</v>
      </c>
      <c r="O20" s="401">
        <f t="shared" si="20"/>
        <v>0</v>
      </c>
      <c r="P20" s="401">
        <f t="shared" si="21"/>
        <v>0</v>
      </c>
    </row>
    <row r="21" spans="1:16">
      <c r="A21" s="425"/>
      <c r="B21" s="412"/>
      <c r="C21" s="426" t="s">
        <v>369</v>
      </c>
      <c r="D21" s="427">
        <v>0</v>
      </c>
      <c r="E21" s="401">
        <v>0</v>
      </c>
      <c r="F21" s="402">
        <f t="shared" si="11"/>
        <v>0</v>
      </c>
      <c r="G21" s="401">
        <f t="shared" si="12"/>
        <v>0</v>
      </c>
      <c r="H21" s="401">
        <f t="shared" si="13"/>
        <v>0</v>
      </c>
      <c r="I21" s="401">
        <f t="shared" si="14"/>
        <v>0</v>
      </c>
      <c r="J21" s="401">
        <f t="shared" si="15"/>
        <v>0</v>
      </c>
      <c r="K21" s="401">
        <f t="shared" si="16"/>
        <v>0</v>
      </c>
      <c r="L21" s="401">
        <f t="shared" si="17"/>
        <v>0</v>
      </c>
      <c r="M21" s="403">
        <f t="shared" si="18"/>
        <v>0</v>
      </c>
      <c r="N21" s="401">
        <f t="shared" si="19"/>
        <v>0</v>
      </c>
      <c r="O21" s="401">
        <f t="shared" si="20"/>
        <v>0</v>
      </c>
      <c r="P21" s="401">
        <f t="shared" si="21"/>
        <v>0</v>
      </c>
    </row>
    <row r="22" spans="1:16">
      <c r="A22" s="425"/>
      <c r="B22" s="412"/>
      <c r="C22" s="426" t="s">
        <v>369</v>
      </c>
      <c r="D22" s="427">
        <v>0</v>
      </c>
      <c r="E22" s="401">
        <v>0</v>
      </c>
      <c r="F22" s="402">
        <f t="shared" si="11"/>
        <v>0</v>
      </c>
      <c r="G22" s="401">
        <f t="shared" si="12"/>
        <v>0</v>
      </c>
      <c r="H22" s="401">
        <f t="shared" si="13"/>
        <v>0</v>
      </c>
      <c r="I22" s="401">
        <f t="shared" si="14"/>
        <v>0</v>
      </c>
      <c r="J22" s="401">
        <f t="shared" si="15"/>
        <v>0</v>
      </c>
      <c r="K22" s="401">
        <f t="shared" si="16"/>
        <v>0</v>
      </c>
      <c r="L22" s="401">
        <f t="shared" si="17"/>
        <v>0</v>
      </c>
      <c r="M22" s="403">
        <f t="shared" si="18"/>
        <v>0</v>
      </c>
      <c r="N22" s="401">
        <f t="shared" si="19"/>
        <v>0</v>
      </c>
      <c r="O22" s="401">
        <f t="shared" si="20"/>
        <v>0</v>
      </c>
      <c r="P22" s="401">
        <f t="shared" si="21"/>
        <v>0</v>
      </c>
    </row>
    <row r="23" spans="1:16">
      <c r="A23" s="425"/>
      <c r="B23" s="412"/>
      <c r="C23" s="426" t="s">
        <v>369</v>
      </c>
      <c r="D23" s="427">
        <v>0</v>
      </c>
      <c r="E23" s="401">
        <v>0</v>
      </c>
      <c r="F23" s="402">
        <f t="shared" si="11"/>
        <v>0</v>
      </c>
      <c r="G23" s="401">
        <f t="shared" si="12"/>
        <v>0</v>
      </c>
      <c r="H23" s="401">
        <f t="shared" si="13"/>
        <v>0</v>
      </c>
      <c r="I23" s="401">
        <f t="shared" si="14"/>
        <v>0</v>
      </c>
      <c r="J23" s="401">
        <f t="shared" si="15"/>
        <v>0</v>
      </c>
      <c r="K23" s="401">
        <f t="shared" si="16"/>
        <v>0</v>
      </c>
      <c r="L23" s="401">
        <f t="shared" si="17"/>
        <v>0</v>
      </c>
      <c r="M23" s="403">
        <f t="shared" si="18"/>
        <v>0</v>
      </c>
      <c r="N23" s="401">
        <f t="shared" si="19"/>
        <v>0</v>
      </c>
      <c r="O23" s="401">
        <f t="shared" si="20"/>
        <v>0</v>
      </c>
      <c r="P23" s="401">
        <f t="shared" si="21"/>
        <v>0</v>
      </c>
    </row>
    <row r="24" spans="1:16">
      <c r="A24" s="425"/>
      <c r="B24" s="412"/>
      <c r="C24" s="426" t="s">
        <v>369</v>
      </c>
      <c r="D24" s="427">
        <v>0</v>
      </c>
      <c r="E24" s="401">
        <v>0</v>
      </c>
      <c r="F24" s="402">
        <f t="shared" si="11"/>
        <v>0</v>
      </c>
      <c r="G24" s="401">
        <f t="shared" si="12"/>
        <v>0</v>
      </c>
      <c r="H24" s="401">
        <f t="shared" si="13"/>
        <v>0</v>
      </c>
      <c r="I24" s="401">
        <f t="shared" si="14"/>
        <v>0</v>
      </c>
      <c r="J24" s="401">
        <f t="shared" si="15"/>
        <v>0</v>
      </c>
      <c r="K24" s="401">
        <f t="shared" si="16"/>
        <v>0</v>
      </c>
      <c r="L24" s="401">
        <f t="shared" si="17"/>
        <v>0</v>
      </c>
      <c r="M24" s="403">
        <f t="shared" si="18"/>
        <v>0</v>
      </c>
      <c r="N24" s="401">
        <f t="shared" si="19"/>
        <v>0</v>
      </c>
      <c r="O24" s="401">
        <f t="shared" si="20"/>
        <v>0</v>
      </c>
      <c r="P24" s="401">
        <f t="shared" si="21"/>
        <v>0</v>
      </c>
    </row>
    <row r="25" spans="1:16">
      <c r="A25" s="425"/>
      <c r="B25" s="412"/>
      <c r="C25" s="426" t="s">
        <v>369</v>
      </c>
      <c r="D25" s="427">
        <v>0</v>
      </c>
      <c r="E25" s="401">
        <v>0</v>
      </c>
      <c r="F25" s="402">
        <f t="shared" si="11"/>
        <v>0</v>
      </c>
      <c r="G25" s="401">
        <f t="shared" si="12"/>
        <v>0</v>
      </c>
      <c r="H25" s="401">
        <f t="shared" si="13"/>
        <v>0</v>
      </c>
      <c r="I25" s="401">
        <f t="shared" si="14"/>
        <v>0</v>
      </c>
      <c r="J25" s="401">
        <f t="shared" si="15"/>
        <v>0</v>
      </c>
      <c r="K25" s="401">
        <f t="shared" si="16"/>
        <v>0</v>
      </c>
      <c r="L25" s="401">
        <f t="shared" si="17"/>
        <v>0</v>
      </c>
      <c r="M25" s="403">
        <f t="shared" si="18"/>
        <v>0</v>
      </c>
      <c r="N25" s="401">
        <f t="shared" si="19"/>
        <v>0</v>
      </c>
      <c r="O25" s="401">
        <f t="shared" si="20"/>
        <v>0</v>
      </c>
      <c r="P25" s="401">
        <f t="shared" si="21"/>
        <v>0</v>
      </c>
    </row>
    <row r="26" spans="1:16">
      <c r="A26" s="425"/>
      <c r="B26" s="412"/>
      <c r="C26" s="426" t="s">
        <v>369</v>
      </c>
      <c r="D26" s="427">
        <v>0</v>
      </c>
      <c r="E26" s="401">
        <v>0</v>
      </c>
      <c r="F26" s="402">
        <f t="shared" si="11"/>
        <v>0</v>
      </c>
      <c r="G26" s="401">
        <f t="shared" si="12"/>
        <v>0</v>
      </c>
      <c r="H26" s="401">
        <f t="shared" si="13"/>
        <v>0</v>
      </c>
      <c r="I26" s="401">
        <f t="shared" si="14"/>
        <v>0</v>
      </c>
      <c r="J26" s="401">
        <f t="shared" si="15"/>
        <v>0</v>
      </c>
      <c r="K26" s="401">
        <f t="shared" si="16"/>
        <v>0</v>
      </c>
      <c r="L26" s="401">
        <f t="shared" si="17"/>
        <v>0</v>
      </c>
      <c r="M26" s="403">
        <f t="shared" si="18"/>
        <v>0</v>
      </c>
      <c r="N26" s="401">
        <f t="shared" si="19"/>
        <v>0</v>
      </c>
      <c r="O26" s="401">
        <f t="shared" si="20"/>
        <v>0</v>
      </c>
      <c r="P26" s="401">
        <f t="shared" si="21"/>
        <v>0</v>
      </c>
    </row>
    <row r="27" spans="1:16">
      <c r="A27" s="425"/>
      <c r="B27" s="412"/>
      <c r="C27" s="426" t="s">
        <v>369</v>
      </c>
      <c r="D27" s="427">
        <v>0</v>
      </c>
      <c r="E27" s="401">
        <v>0</v>
      </c>
      <c r="F27" s="402">
        <f t="shared" si="11"/>
        <v>0</v>
      </c>
      <c r="G27" s="401">
        <f t="shared" si="12"/>
        <v>0</v>
      </c>
      <c r="H27" s="401">
        <f t="shared" si="13"/>
        <v>0</v>
      </c>
      <c r="I27" s="401">
        <f t="shared" si="14"/>
        <v>0</v>
      </c>
      <c r="J27" s="401">
        <f t="shared" si="15"/>
        <v>0</v>
      </c>
      <c r="K27" s="401">
        <f t="shared" si="16"/>
        <v>0</v>
      </c>
      <c r="L27" s="401">
        <f t="shared" si="17"/>
        <v>0</v>
      </c>
      <c r="M27" s="403">
        <f t="shared" si="18"/>
        <v>0</v>
      </c>
      <c r="N27" s="401">
        <f t="shared" si="19"/>
        <v>0</v>
      </c>
      <c r="O27" s="401">
        <f t="shared" si="20"/>
        <v>0</v>
      </c>
      <c r="P27" s="401">
        <f t="shared" si="21"/>
        <v>0</v>
      </c>
    </row>
    <row r="28" spans="1:16">
      <c r="A28" s="425"/>
      <c r="B28" s="412"/>
      <c r="C28" s="426" t="s">
        <v>369</v>
      </c>
      <c r="D28" s="427">
        <v>0</v>
      </c>
      <c r="E28" s="401">
        <v>0</v>
      </c>
      <c r="F28" s="402">
        <f t="shared" si="11"/>
        <v>0</v>
      </c>
      <c r="G28" s="401">
        <f t="shared" si="12"/>
        <v>0</v>
      </c>
      <c r="H28" s="401">
        <f t="shared" si="13"/>
        <v>0</v>
      </c>
      <c r="I28" s="401">
        <f t="shared" si="14"/>
        <v>0</v>
      </c>
      <c r="J28" s="401">
        <f t="shared" si="15"/>
        <v>0</v>
      </c>
      <c r="K28" s="401">
        <f t="shared" si="16"/>
        <v>0</v>
      </c>
      <c r="L28" s="401">
        <f t="shared" si="17"/>
        <v>0</v>
      </c>
      <c r="M28" s="403">
        <f t="shared" si="18"/>
        <v>0</v>
      </c>
      <c r="N28" s="401">
        <f t="shared" si="19"/>
        <v>0</v>
      </c>
      <c r="O28" s="401">
        <f t="shared" si="20"/>
        <v>0</v>
      </c>
      <c r="P28" s="401">
        <f t="shared" si="21"/>
        <v>0</v>
      </c>
    </row>
    <row r="29" spans="1:16">
      <c r="A29" s="425"/>
      <c r="B29" s="412"/>
      <c r="C29" s="426" t="s">
        <v>369</v>
      </c>
      <c r="D29" s="427">
        <v>0</v>
      </c>
      <c r="E29" s="401">
        <v>0</v>
      </c>
      <c r="F29" s="402">
        <f t="shared" si="11"/>
        <v>0</v>
      </c>
      <c r="G29" s="401">
        <f t="shared" si="12"/>
        <v>0</v>
      </c>
      <c r="H29" s="401">
        <f t="shared" si="13"/>
        <v>0</v>
      </c>
      <c r="I29" s="401">
        <f t="shared" si="14"/>
        <v>0</v>
      </c>
      <c r="J29" s="401">
        <f t="shared" si="15"/>
        <v>0</v>
      </c>
      <c r="K29" s="401">
        <f t="shared" si="16"/>
        <v>0</v>
      </c>
      <c r="L29" s="401">
        <f t="shared" si="17"/>
        <v>0</v>
      </c>
      <c r="M29" s="403">
        <f t="shared" si="18"/>
        <v>0</v>
      </c>
      <c r="N29" s="401">
        <f t="shared" si="19"/>
        <v>0</v>
      </c>
      <c r="O29" s="401">
        <f t="shared" si="20"/>
        <v>0</v>
      </c>
      <c r="P29" s="401">
        <f t="shared" si="21"/>
        <v>0</v>
      </c>
    </row>
    <row r="30" spans="1:16">
      <c r="A30" s="425"/>
      <c r="B30" s="412"/>
      <c r="C30" s="426" t="s">
        <v>369</v>
      </c>
      <c r="D30" s="427">
        <v>0</v>
      </c>
      <c r="E30" s="401">
        <v>0</v>
      </c>
      <c r="F30" s="402">
        <f t="shared" si="11"/>
        <v>0</v>
      </c>
      <c r="G30" s="401">
        <f t="shared" si="12"/>
        <v>0</v>
      </c>
      <c r="H30" s="401">
        <f t="shared" si="13"/>
        <v>0</v>
      </c>
      <c r="I30" s="401">
        <f t="shared" si="14"/>
        <v>0</v>
      </c>
      <c r="J30" s="401">
        <f t="shared" si="15"/>
        <v>0</v>
      </c>
      <c r="K30" s="401">
        <f t="shared" si="16"/>
        <v>0</v>
      </c>
      <c r="L30" s="401">
        <f t="shared" si="17"/>
        <v>0</v>
      </c>
      <c r="M30" s="403">
        <f t="shared" si="18"/>
        <v>0</v>
      </c>
      <c r="N30" s="401">
        <f t="shared" si="19"/>
        <v>0</v>
      </c>
      <c r="O30" s="401">
        <f t="shared" si="20"/>
        <v>0</v>
      </c>
      <c r="P30" s="401">
        <f t="shared" si="21"/>
        <v>0</v>
      </c>
    </row>
    <row r="31" spans="1:16">
      <c r="A31" s="425"/>
      <c r="B31" s="412"/>
      <c r="C31" s="426" t="s">
        <v>369</v>
      </c>
      <c r="D31" s="427">
        <v>0</v>
      </c>
      <c r="E31" s="401">
        <v>0</v>
      </c>
      <c r="F31" s="402">
        <f t="shared" si="11"/>
        <v>0</v>
      </c>
      <c r="G31" s="401">
        <f t="shared" si="12"/>
        <v>0</v>
      </c>
      <c r="H31" s="401">
        <f t="shared" si="13"/>
        <v>0</v>
      </c>
      <c r="I31" s="401">
        <f t="shared" si="14"/>
        <v>0</v>
      </c>
      <c r="J31" s="401">
        <f t="shared" si="15"/>
        <v>0</v>
      </c>
      <c r="K31" s="401">
        <f t="shared" si="16"/>
        <v>0</v>
      </c>
      <c r="L31" s="401">
        <f t="shared" si="17"/>
        <v>0</v>
      </c>
      <c r="M31" s="403">
        <f t="shared" si="18"/>
        <v>0</v>
      </c>
      <c r="N31" s="401">
        <f t="shared" si="19"/>
        <v>0</v>
      </c>
      <c r="O31" s="401">
        <f t="shared" si="20"/>
        <v>0</v>
      </c>
      <c r="P31" s="401">
        <f t="shared" si="21"/>
        <v>0</v>
      </c>
    </row>
    <row r="32" spans="1:16">
      <c r="A32" s="425"/>
      <c r="B32" s="412"/>
      <c r="C32" s="426" t="s">
        <v>369</v>
      </c>
      <c r="D32" s="427">
        <v>0</v>
      </c>
      <c r="E32" s="401">
        <v>0</v>
      </c>
      <c r="F32" s="402">
        <f t="shared" si="11"/>
        <v>0</v>
      </c>
      <c r="G32" s="401">
        <f t="shared" si="12"/>
        <v>0</v>
      </c>
      <c r="H32" s="401">
        <f t="shared" si="13"/>
        <v>0</v>
      </c>
      <c r="I32" s="401">
        <f t="shared" si="14"/>
        <v>0</v>
      </c>
      <c r="J32" s="401">
        <f t="shared" si="15"/>
        <v>0</v>
      </c>
      <c r="K32" s="401">
        <f t="shared" si="16"/>
        <v>0</v>
      </c>
      <c r="L32" s="401">
        <f t="shared" si="17"/>
        <v>0</v>
      </c>
      <c r="M32" s="403">
        <f t="shared" si="18"/>
        <v>0</v>
      </c>
      <c r="N32" s="401">
        <f t="shared" si="19"/>
        <v>0</v>
      </c>
      <c r="O32" s="401">
        <f t="shared" si="20"/>
        <v>0</v>
      </c>
      <c r="P32" s="401">
        <f t="shared" si="21"/>
        <v>0</v>
      </c>
    </row>
    <row r="33" spans="1:16">
      <c r="A33" s="425"/>
      <c r="B33" s="412"/>
      <c r="C33" s="426" t="s">
        <v>369</v>
      </c>
      <c r="D33" s="427">
        <v>0</v>
      </c>
      <c r="E33" s="401">
        <v>0</v>
      </c>
      <c r="F33" s="402">
        <f t="shared" si="11"/>
        <v>0</v>
      </c>
      <c r="G33" s="401">
        <f t="shared" si="12"/>
        <v>0</v>
      </c>
      <c r="H33" s="401">
        <f t="shared" si="13"/>
        <v>0</v>
      </c>
      <c r="I33" s="401">
        <f t="shared" si="14"/>
        <v>0</v>
      </c>
      <c r="J33" s="401">
        <f t="shared" si="15"/>
        <v>0</v>
      </c>
      <c r="K33" s="401">
        <f t="shared" si="16"/>
        <v>0</v>
      </c>
      <c r="L33" s="401">
        <f t="shared" si="17"/>
        <v>0</v>
      </c>
      <c r="M33" s="403">
        <f t="shared" si="18"/>
        <v>0</v>
      </c>
      <c r="N33" s="401">
        <f t="shared" si="19"/>
        <v>0</v>
      </c>
      <c r="O33" s="401">
        <f t="shared" si="20"/>
        <v>0</v>
      </c>
      <c r="P33" s="401">
        <f t="shared" si="21"/>
        <v>0</v>
      </c>
    </row>
    <row r="34" spans="1:16">
      <c r="A34" s="425"/>
      <c r="B34" s="412"/>
      <c r="C34" s="426" t="s">
        <v>369</v>
      </c>
      <c r="D34" s="427">
        <v>0</v>
      </c>
      <c r="E34" s="401">
        <v>0</v>
      </c>
      <c r="F34" s="402">
        <f t="shared" si="11"/>
        <v>0</v>
      </c>
      <c r="G34" s="401">
        <f t="shared" si="12"/>
        <v>0</v>
      </c>
      <c r="H34" s="401">
        <f t="shared" si="13"/>
        <v>0</v>
      </c>
      <c r="I34" s="401">
        <f t="shared" si="14"/>
        <v>0</v>
      </c>
      <c r="J34" s="401">
        <f t="shared" si="15"/>
        <v>0</v>
      </c>
      <c r="K34" s="401">
        <f t="shared" si="16"/>
        <v>0</v>
      </c>
      <c r="L34" s="401">
        <f t="shared" si="17"/>
        <v>0</v>
      </c>
      <c r="M34" s="403">
        <f t="shared" si="18"/>
        <v>0</v>
      </c>
      <c r="N34" s="401">
        <f t="shared" si="19"/>
        <v>0</v>
      </c>
      <c r="O34" s="401">
        <f t="shared" si="20"/>
        <v>0</v>
      </c>
      <c r="P34" s="401">
        <f t="shared" si="21"/>
        <v>0</v>
      </c>
    </row>
    <row r="35" spans="1:16">
      <c r="A35" s="425"/>
      <c r="B35" s="412"/>
      <c r="C35" s="426" t="s">
        <v>369</v>
      </c>
      <c r="D35" s="427">
        <v>0</v>
      </c>
      <c r="E35" s="401">
        <v>0</v>
      </c>
      <c r="F35" s="402">
        <f t="shared" si="11"/>
        <v>0</v>
      </c>
      <c r="G35" s="401">
        <f t="shared" si="12"/>
        <v>0</v>
      </c>
      <c r="H35" s="401">
        <f t="shared" si="13"/>
        <v>0</v>
      </c>
      <c r="I35" s="401">
        <f t="shared" si="14"/>
        <v>0</v>
      </c>
      <c r="J35" s="401">
        <f t="shared" si="15"/>
        <v>0</v>
      </c>
      <c r="K35" s="401">
        <f t="shared" si="16"/>
        <v>0</v>
      </c>
      <c r="L35" s="401">
        <f t="shared" si="17"/>
        <v>0</v>
      </c>
      <c r="M35" s="403">
        <f t="shared" si="18"/>
        <v>0</v>
      </c>
      <c r="N35" s="401">
        <f t="shared" si="19"/>
        <v>0</v>
      </c>
      <c r="O35" s="401">
        <f t="shared" si="20"/>
        <v>0</v>
      </c>
      <c r="P35" s="401">
        <f t="shared" si="21"/>
        <v>0</v>
      </c>
    </row>
    <row r="36" spans="1:16">
      <c r="A36" s="425"/>
      <c r="B36" s="412"/>
      <c r="C36" s="426" t="s">
        <v>369</v>
      </c>
      <c r="D36" s="427">
        <v>0</v>
      </c>
      <c r="E36" s="401">
        <v>0</v>
      </c>
      <c r="F36" s="402">
        <f t="shared" si="11"/>
        <v>0</v>
      </c>
      <c r="G36" s="401">
        <f t="shared" si="12"/>
        <v>0</v>
      </c>
      <c r="H36" s="401">
        <f t="shared" si="13"/>
        <v>0</v>
      </c>
      <c r="I36" s="401">
        <f t="shared" si="14"/>
        <v>0</v>
      </c>
      <c r="J36" s="401">
        <f t="shared" si="15"/>
        <v>0</v>
      </c>
      <c r="K36" s="401">
        <f t="shared" si="16"/>
        <v>0</v>
      </c>
      <c r="L36" s="401">
        <f t="shared" si="17"/>
        <v>0</v>
      </c>
      <c r="M36" s="403">
        <f t="shared" si="18"/>
        <v>0</v>
      </c>
      <c r="N36" s="401">
        <f t="shared" si="19"/>
        <v>0</v>
      </c>
      <c r="O36" s="401">
        <f t="shared" si="20"/>
        <v>0</v>
      </c>
      <c r="P36" s="401">
        <f t="shared" si="21"/>
        <v>0</v>
      </c>
    </row>
    <row r="37" spans="1:16">
      <c r="A37" s="425"/>
      <c r="B37" s="412"/>
      <c r="C37" s="426" t="s">
        <v>369</v>
      </c>
      <c r="D37" s="427">
        <v>0</v>
      </c>
      <c r="E37" s="401">
        <v>0</v>
      </c>
      <c r="F37" s="402">
        <f t="shared" si="11"/>
        <v>0</v>
      </c>
      <c r="G37" s="401">
        <f t="shared" si="12"/>
        <v>0</v>
      </c>
      <c r="H37" s="401">
        <f t="shared" si="13"/>
        <v>0</v>
      </c>
      <c r="I37" s="401">
        <f t="shared" si="14"/>
        <v>0</v>
      </c>
      <c r="J37" s="401">
        <f t="shared" si="15"/>
        <v>0</v>
      </c>
      <c r="K37" s="401">
        <f t="shared" si="16"/>
        <v>0</v>
      </c>
      <c r="L37" s="401">
        <f t="shared" si="17"/>
        <v>0</v>
      </c>
      <c r="M37" s="403">
        <f t="shared" si="18"/>
        <v>0</v>
      </c>
      <c r="N37" s="401">
        <f t="shared" si="19"/>
        <v>0</v>
      </c>
      <c r="O37" s="401">
        <f t="shared" si="20"/>
        <v>0</v>
      </c>
      <c r="P37" s="401">
        <f t="shared" si="21"/>
        <v>0</v>
      </c>
    </row>
    <row r="38" spans="1:16">
      <c r="A38" s="425"/>
      <c r="B38" s="412"/>
      <c r="C38" s="426" t="s">
        <v>369</v>
      </c>
      <c r="D38" s="427">
        <v>0</v>
      </c>
      <c r="E38" s="401">
        <v>0</v>
      </c>
      <c r="F38" s="402">
        <f t="shared" si="11"/>
        <v>0</v>
      </c>
      <c r="G38" s="401">
        <f t="shared" si="12"/>
        <v>0</v>
      </c>
      <c r="H38" s="401">
        <f t="shared" si="13"/>
        <v>0</v>
      </c>
      <c r="I38" s="401">
        <f t="shared" si="14"/>
        <v>0</v>
      </c>
      <c r="J38" s="401">
        <f t="shared" si="15"/>
        <v>0</v>
      </c>
      <c r="K38" s="401">
        <f t="shared" si="16"/>
        <v>0</v>
      </c>
      <c r="L38" s="401">
        <f t="shared" si="17"/>
        <v>0</v>
      </c>
      <c r="M38" s="403">
        <f t="shared" si="18"/>
        <v>0</v>
      </c>
      <c r="N38" s="401">
        <f t="shared" si="19"/>
        <v>0</v>
      </c>
      <c r="O38" s="401">
        <f t="shared" si="20"/>
        <v>0</v>
      </c>
      <c r="P38" s="401">
        <f t="shared" si="21"/>
        <v>0</v>
      </c>
    </row>
    <row r="39" spans="1:16">
      <c r="A39" s="425"/>
      <c r="B39" s="412"/>
      <c r="C39" s="426" t="s">
        <v>369</v>
      </c>
      <c r="D39" s="427">
        <v>0</v>
      </c>
      <c r="E39" s="401">
        <v>0</v>
      </c>
      <c r="F39" s="402">
        <f t="shared" si="11"/>
        <v>0</v>
      </c>
      <c r="G39" s="401">
        <f t="shared" si="12"/>
        <v>0</v>
      </c>
      <c r="H39" s="401">
        <f t="shared" si="13"/>
        <v>0</v>
      </c>
      <c r="I39" s="401">
        <f t="shared" si="14"/>
        <v>0</v>
      </c>
      <c r="J39" s="401">
        <f t="shared" si="15"/>
        <v>0</v>
      </c>
      <c r="K39" s="401">
        <f t="shared" si="16"/>
        <v>0</v>
      </c>
      <c r="L39" s="401">
        <f t="shared" si="17"/>
        <v>0</v>
      </c>
      <c r="M39" s="403">
        <f t="shared" si="18"/>
        <v>0</v>
      </c>
      <c r="N39" s="401">
        <f t="shared" si="19"/>
        <v>0</v>
      </c>
      <c r="O39" s="401">
        <f t="shared" si="20"/>
        <v>0</v>
      </c>
      <c r="P39" s="401">
        <f t="shared" si="21"/>
        <v>0</v>
      </c>
    </row>
    <row r="40" spans="1:16">
      <c r="A40" s="425"/>
      <c r="B40" s="412"/>
      <c r="C40" s="426" t="s">
        <v>369</v>
      </c>
      <c r="D40" s="427">
        <v>0</v>
      </c>
      <c r="E40" s="401">
        <v>0</v>
      </c>
      <c r="F40" s="402">
        <f t="shared" si="11"/>
        <v>0</v>
      </c>
      <c r="G40" s="401">
        <f t="shared" si="12"/>
        <v>0</v>
      </c>
      <c r="H40" s="401">
        <f t="shared" si="13"/>
        <v>0</v>
      </c>
      <c r="I40" s="401">
        <f t="shared" si="14"/>
        <v>0</v>
      </c>
      <c r="J40" s="401">
        <f t="shared" si="15"/>
        <v>0</v>
      </c>
      <c r="K40" s="401">
        <f t="shared" si="16"/>
        <v>0</v>
      </c>
      <c r="L40" s="401">
        <f t="shared" si="17"/>
        <v>0</v>
      </c>
      <c r="M40" s="403">
        <f t="shared" si="18"/>
        <v>0</v>
      </c>
      <c r="N40" s="401">
        <f t="shared" si="19"/>
        <v>0</v>
      </c>
      <c r="O40" s="401">
        <f t="shared" si="20"/>
        <v>0</v>
      </c>
      <c r="P40" s="401">
        <f t="shared" si="21"/>
        <v>0</v>
      </c>
    </row>
    <row r="41" spans="1:16">
      <c r="A41" s="425"/>
      <c r="B41" s="412"/>
      <c r="C41" s="426" t="s">
        <v>369</v>
      </c>
      <c r="D41" s="427">
        <v>0</v>
      </c>
      <c r="E41" s="401">
        <v>0</v>
      </c>
      <c r="F41" s="402">
        <f t="shared" si="11"/>
        <v>0</v>
      </c>
      <c r="G41" s="401">
        <f t="shared" si="12"/>
        <v>0</v>
      </c>
      <c r="H41" s="401">
        <f t="shared" si="13"/>
        <v>0</v>
      </c>
      <c r="I41" s="401">
        <f t="shared" si="14"/>
        <v>0</v>
      </c>
      <c r="J41" s="401">
        <f t="shared" si="15"/>
        <v>0</v>
      </c>
      <c r="K41" s="401">
        <f t="shared" si="16"/>
        <v>0</v>
      </c>
      <c r="L41" s="401">
        <f t="shared" si="17"/>
        <v>0</v>
      </c>
      <c r="M41" s="403">
        <f t="shared" si="18"/>
        <v>0</v>
      </c>
      <c r="N41" s="401">
        <f t="shared" si="19"/>
        <v>0</v>
      </c>
      <c r="O41" s="401">
        <f t="shared" si="20"/>
        <v>0</v>
      </c>
      <c r="P41" s="401">
        <f t="shared" si="21"/>
        <v>0</v>
      </c>
    </row>
    <row r="42" spans="1:16">
      <c r="A42" s="425"/>
      <c r="B42" s="412"/>
      <c r="C42" s="426" t="s">
        <v>369</v>
      </c>
      <c r="D42" s="427">
        <v>0</v>
      </c>
      <c r="E42" s="401">
        <v>0</v>
      </c>
      <c r="F42" s="402">
        <f t="shared" si="11"/>
        <v>0</v>
      </c>
      <c r="G42" s="401">
        <f t="shared" si="12"/>
        <v>0</v>
      </c>
      <c r="H42" s="401">
        <f t="shared" si="13"/>
        <v>0</v>
      </c>
      <c r="I42" s="401">
        <f t="shared" si="14"/>
        <v>0</v>
      </c>
      <c r="J42" s="401">
        <f t="shared" si="15"/>
        <v>0</v>
      </c>
      <c r="K42" s="401">
        <f t="shared" si="16"/>
        <v>0</v>
      </c>
      <c r="L42" s="401">
        <f t="shared" si="17"/>
        <v>0</v>
      </c>
      <c r="M42" s="403">
        <f t="shared" si="18"/>
        <v>0</v>
      </c>
      <c r="N42" s="401">
        <f t="shared" si="19"/>
        <v>0</v>
      </c>
      <c r="O42" s="401">
        <f t="shared" si="20"/>
        <v>0</v>
      </c>
      <c r="P42" s="401">
        <f t="shared" si="21"/>
        <v>0</v>
      </c>
    </row>
    <row r="43" spans="1:16">
      <c r="A43" s="425"/>
      <c r="B43" s="412"/>
      <c r="C43" s="426" t="s">
        <v>369</v>
      </c>
      <c r="D43" s="427">
        <v>0</v>
      </c>
      <c r="E43" s="401">
        <v>0</v>
      </c>
      <c r="F43" s="402">
        <f t="shared" si="11"/>
        <v>0</v>
      </c>
      <c r="G43" s="401">
        <f t="shared" si="12"/>
        <v>0</v>
      </c>
      <c r="H43" s="401">
        <f t="shared" si="13"/>
        <v>0</v>
      </c>
      <c r="I43" s="401">
        <f t="shared" si="14"/>
        <v>0</v>
      </c>
      <c r="J43" s="401">
        <f t="shared" si="15"/>
        <v>0</v>
      </c>
      <c r="K43" s="401">
        <f t="shared" si="16"/>
        <v>0</v>
      </c>
      <c r="L43" s="401">
        <f t="shared" si="17"/>
        <v>0</v>
      </c>
      <c r="M43" s="403">
        <f t="shared" si="18"/>
        <v>0</v>
      </c>
      <c r="N43" s="401">
        <f t="shared" si="19"/>
        <v>0</v>
      </c>
      <c r="O43" s="401">
        <f t="shared" si="20"/>
        <v>0</v>
      </c>
      <c r="P43" s="401">
        <f t="shared" si="21"/>
        <v>0</v>
      </c>
    </row>
    <row r="44" spans="1:16">
      <c r="A44" s="425"/>
      <c r="B44" s="412"/>
      <c r="C44" s="426" t="s">
        <v>369</v>
      </c>
      <c r="D44" s="427">
        <v>0</v>
      </c>
      <c r="E44" s="401">
        <v>0</v>
      </c>
      <c r="F44" s="402">
        <f t="shared" si="11"/>
        <v>0</v>
      </c>
      <c r="G44" s="401">
        <f t="shared" si="12"/>
        <v>0</v>
      </c>
      <c r="H44" s="401">
        <f t="shared" si="13"/>
        <v>0</v>
      </c>
      <c r="I44" s="401">
        <f t="shared" si="14"/>
        <v>0</v>
      </c>
      <c r="J44" s="401">
        <f t="shared" si="15"/>
        <v>0</v>
      </c>
      <c r="K44" s="401">
        <f t="shared" si="16"/>
        <v>0</v>
      </c>
      <c r="L44" s="401">
        <f t="shared" si="17"/>
        <v>0</v>
      </c>
      <c r="M44" s="403">
        <f t="shared" si="18"/>
        <v>0</v>
      </c>
      <c r="N44" s="401">
        <f t="shared" si="19"/>
        <v>0</v>
      </c>
      <c r="O44" s="401">
        <f t="shared" si="20"/>
        <v>0</v>
      </c>
      <c r="P44" s="401">
        <f t="shared" si="21"/>
        <v>0</v>
      </c>
    </row>
    <row r="45" spans="1:16">
      <c r="A45" s="425"/>
      <c r="B45" s="412"/>
      <c r="C45" s="426" t="s">
        <v>369</v>
      </c>
      <c r="D45" s="427">
        <v>0</v>
      </c>
      <c r="E45" s="401">
        <v>0</v>
      </c>
      <c r="F45" s="402">
        <f t="shared" si="11"/>
        <v>0</v>
      </c>
      <c r="G45" s="401">
        <f t="shared" si="12"/>
        <v>0</v>
      </c>
      <c r="H45" s="401">
        <f t="shared" si="13"/>
        <v>0</v>
      </c>
      <c r="I45" s="401">
        <f t="shared" si="14"/>
        <v>0</v>
      </c>
      <c r="J45" s="401">
        <f t="shared" si="15"/>
        <v>0</v>
      </c>
      <c r="K45" s="401">
        <f t="shared" si="16"/>
        <v>0</v>
      </c>
      <c r="L45" s="401">
        <f t="shared" si="17"/>
        <v>0</v>
      </c>
      <c r="M45" s="403">
        <f t="shared" si="18"/>
        <v>0</v>
      </c>
      <c r="N45" s="401">
        <f t="shared" si="19"/>
        <v>0</v>
      </c>
      <c r="O45" s="401">
        <f t="shared" si="20"/>
        <v>0</v>
      </c>
      <c r="P45" s="401">
        <f t="shared" si="21"/>
        <v>0</v>
      </c>
    </row>
    <row r="46" spans="1:16">
      <c r="A46" s="425"/>
      <c r="B46" s="412"/>
      <c r="C46" s="426" t="s">
        <v>369</v>
      </c>
      <c r="D46" s="427">
        <v>0</v>
      </c>
      <c r="E46" s="401">
        <v>0</v>
      </c>
      <c r="F46" s="402">
        <f t="shared" si="11"/>
        <v>0</v>
      </c>
      <c r="G46" s="401">
        <f t="shared" si="12"/>
        <v>0</v>
      </c>
      <c r="H46" s="401">
        <f t="shared" si="13"/>
        <v>0</v>
      </c>
      <c r="I46" s="401">
        <f t="shared" si="14"/>
        <v>0</v>
      </c>
      <c r="J46" s="401">
        <f t="shared" si="15"/>
        <v>0</v>
      </c>
      <c r="K46" s="401">
        <f t="shared" si="16"/>
        <v>0</v>
      </c>
      <c r="L46" s="401">
        <f t="shared" si="17"/>
        <v>0</v>
      </c>
      <c r="M46" s="403">
        <f t="shared" si="18"/>
        <v>0</v>
      </c>
      <c r="N46" s="401">
        <f t="shared" si="19"/>
        <v>0</v>
      </c>
      <c r="O46" s="401">
        <f t="shared" si="20"/>
        <v>0</v>
      </c>
      <c r="P46" s="401">
        <f t="shared" si="21"/>
        <v>0</v>
      </c>
    </row>
    <row r="47" spans="1:16">
      <c r="A47" s="425"/>
      <c r="B47" s="412"/>
      <c r="C47" s="426" t="s">
        <v>369</v>
      </c>
      <c r="D47" s="427">
        <v>0</v>
      </c>
      <c r="E47" s="401">
        <v>0</v>
      </c>
      <c r="F47" s="402">
        <f t="shared" si="11"/>
        <v>0</v>
      </c>
      <c r="G47" s="401">
        <f t="shared" si="12"/>
        <v>0</v>
      </c>
      <c r="H47" s="401">
        <f t="shared" si="13"/>
        <v>0</v>
      </c>
      <c r="I47" s="401">
        <f t="shared" si="14"/>
        <v>0</v>
      </c>
      <c r="J47" s="401">
        <f t="shared" si="15"/>
        <v>0</v>
      </c>
      <c r="K47" s="401">
        <f t="shared" si="16"/>
        <v>0</v>
      </c>
      <c r="L47" s="401">
        <f t="shared" si="17"/>
        <v>0</v>
      </c>
      <c r="M47" s="403">
        <f t="shared" si="18"/>
        <v>0</v>
      </c>
      <c r="N47" s="401">
        <f t="shared" si="19"/>
        <v>0</v>
      </c>
      <c r="O47" s="401">
        <f t="shared" si="20"/>
        <v>0</v>
      </c>
      <c r="P47" s="401">
        <f t="shared" si="21"/>
        <v>0</v>
      </c>
    </row>
    <row r="48" spans="1:16">
      <c r="A48" s="425"/>
      <c r="B48" s="412"/>
      <c r="C48" s="426" t="s">
        <v>369</v>
      </c>
      <c r="D48" s="427">
        <v>0</v>
      </c>
      <c r="E48" s="401">
        <v>0</v>
      </c>
      <c r="F48" s="402">
        <f t="shared" si="11"/>
        <v>0</v>
      </c>
      <c r="G48" s="401">
        <f t="shared" si="12"/>
        <v>0</v>
      </c>
      <c r="H48" s="401">
        <f t="shared" si="13"/>
        <v>0</v>
      </c>
      <c r="I48" s="401">
        <f t="shared" si="14"/>
        <v>0</v>
      </c>
      <c r="J48" s="401">
        <f t="shared" si="15"/>
        <v>0</v>
      </c>
      <c r="K48" s="401">
        <f t="shared" si="16"/>
        <v>0</v>
      </c>
      <c r="L48" s="401">
        <f t="shared" si="17"/>
        <v>0</v>
      </c>
      <c r="M48" s="403">
        <f t="shared" si="18"/>
        <v>0</v>
      </c>
      <c r="N48" s="401">
        <f t="shared" si="19"/>
        <v>0</v>
      </c>
      <c r="O48" s="401">
        <f t="shared" si="20"/>
        <v>0</v>
      </c>
      <c r="P48" s="401">
        <f t="shared" si="21"/>
        <v>0</v>
      </c>
    </row>
    <row r="49" spans="1:17">
      <c r="A49" s="425"/>
      <c r="B49" s="412"/>
      <c r="C49" s="426" t="s">
        <v>369</v>
      </c>
      <c r="D49" s="427">
        <v>0</v>
      </c>
      <c r="E49" s="401">
        <v>0</v>
      </c>
      <c r="F49" s="402">
        <f t="shared" si="11"/>
        <v>0</v>
      </c>
      <c r="G49" s="401">
        <f t="shared" si="12"/>
        <v>0</v>
      </c>
      <c r="H49" s="401">
        <f t="shared" si="13"/>
        <v>0</v>
      </c>
      <c r="I49" s="401">
        <f t="shared" si="14"/>
        <v>0</v>
      </c>
      <c r="J49" s="401">
        <f t="shared" si="15"/>
        <v>0</v>
      </c>
      <c r="K49" s="401">
        <f t="shared" si="16"/>
        <v>0</v>
      </c>
      <c r="L49" s="401">
        <f t="shared" si="17"/>
        <v>0</v>
      </c>
      <c r="M49" s="403">
        <f t="shared" si="18"/>
        <v>0</v>
      </c>
      <c r="N49" s="401">
        <f t="shared" si="19"/>
        <v>0</v>
      </c>
      <c r="O49" s="401">
        <f t="shared" si="20"/>
        <v>0</v>
      </c>
      <c r="P49" s="401">
        <f t="shared" si="21"/>
        <v>0</v>
      </c>
    </row>
    <row r="50" spans="1:17">
      <c r="A50" s="425"/>
      <c r="B50" s="412"/>
      <c r="C50" s="426" t="s">
        <v>369</v>
      </c>
      <c r="D50" s="427">
        <v>0</v>
      </c>
      <c r="E50" s="401">
        <v>0</v>
      </c>
      <c r="F50" s="402">
        <f t="shared" si="11"/>
        <v>0</v>
      </c>
      <c r="G50" s="401">
        <f t="shared" si="12"/>
        <v>0</v>
      </c>
      <c r="H50" s="401">
        <f t="shared" si="13"/>
        <v>0</v>
      </c>
      <c r="I50" s="401">
        <f t="shared" si="14"/>
        <v>0</v>
      </c>
      <c r="J50" s="401">
        <f t="shared" si="15"/>
        <v>0</v>
      </c>
      <c r="K50" s="401">
        <f t="shared" si="16"/>
        <v>0</v>
      </c>
      <c r="L50" s="401">
        <f t="shared" si="17"/>
        <v>0</v>
      </c>
      <c r="M50" s="403">
        <f t="shared" si="18"/>
        <v>0</v>
      </c>
      <c r="N50" s="401">
        <f t="shared" si="19"/>
        <v>0</v>
      </c>
      <c r="O50" s="401">
        <f t="shared" si="20"/>
        <v>0</v>
      </c>
      <c r="P50" s="401">
        <f t="shared" si="21"/>
        <v>0</v>
      </c>
    </row>
    <row r="51" spans="1:17">
      <c r="A51" s="425"/>
      <c r="B51" s="412"/>
      <c r="C51" s="426" t="s">
        <v>369</v>
      </c>
      <c r="D51" s="427">
        <v>0</v>
      </c>
      <c r="E51" s="401">
        <v>0</v>
      </c>
      <c r="F51" s="402">
        <f t="shared" si="11"/>
        <v>0</v>
      </c>
      <c r="G51" s="401">
        <f t="shared" si="12"/>
        <v>0</v>
      </c>
      <c r="H51" s="401">
        <f t="shared" si="13"/>
        <v>0</v>
      </c>
      <c r="I51" s="401">
        <f t="shared" si="14"/>
        <v>0</v>
      </c>
      <c r="J51" s="401">
        <f t="shared" si="15"/>
        <v>0</v>
      </c>
      <c r="K51" s="401">
        <f t="shared" si="16"/>
        <v>0</v>
      </c>
      <c r="L51" s="401">
        <f t="shared" si="17"/>
        <v>0</v>
      </c>
      <c r="M51" s="403">
        <f t="shared" si="18"/>
        <v>0</v>
      </c>
      <c r="N51" s="401">
        <f t="shared" si="19"/>
        <v>0</v>
      </c>
      <c r="O51" s="401">
        <f t="shared" si="20"/>
        <v>0</v>
      </c>
      <c r="P51" s="401">
        <f t="shared" si="21"/>
        <v>0</v>
      </c>
    </row>
    <row r="52" spans="1:17">
      <c r="A52" s="425"/>
      <c r="B52" s="412"/>
      <c r="C52" s="426" t="s">
        <v>369</v>
      </c>
      <c r="D52" s="427">
        <v>0</v>
      </c>
      <c r="E52" s="401">
        <v>0</v>
      </c>
      <c r="F52" s="402">
        <f t="shared" si="11"/>
        <v>0</v>
      </c>
      <c r="G52" s="401">
        <f t="shared" si="12"/>
        <v>0</v>
      </c>
      <c r="H52" s="401">
        <f t="shared" si="13"/>
        <v>0</v>
      </c>
      <c r="I52" s="401">
        <f t="shared" si="14"/>
        <v>0</v>
      </c>
      <c r="J52" s="401">
        <f t="shared" si="15"/>
        <v>0</v>
      </c>
      <c r="K52" s="401">
        <f t="shared" si="16"/>
        <v>0</v>
      </c>
      <c r="L52" s="401">
        <f t="shared" si="17"/>
        <v>0</v>
      </c>
      <c r="M52" s="403">
        <f t="shared" si="18"/>
        <v>0</v>
      </c>
      <c r="N52" s="401">
        <f t="shared" si="19"/>
        <v>0</v>
      </c>
      <c r="O52" s="401">
        <f t="shared" si="20"/>
        <v>0</v>
      </c>
      <c r="P52" s="401">
        <f t="shared" si="21"/>
        <v>0</v>
      </c>
    </row>
    <row r="53" spans="1:17">
      <c r="A53" s="425"/>
      <c r="B53" s="412"/>
      <c r="C53" s="426" t="s">
        <v>369</v>
      </c>
      <c r="D53" s="427">
        <v>0</v>
      </c>
      <c r="E53" s="401">
        <v>0</v>
      </c>
      <c r="F53" s="402">
        <f t="shared" si="11"/>
        <v>0</v>
      </c>
      <c r="G53" s="401">
        <f t="shared" si="12"/>
        <v>0</v>
      </c>
      <c r="H53" s="401">
        <f t="shared" si="13"/>
        <v>0</v>
      </c>
      <c r="I53" s="401">
        <f t="shared" si="14"/>
        <v>0</v>
      </c>
      <c r="J53" s="401">
        <f t="shared" si="15"/>
        <v>0</v>
      </c>
      <c r="K53" s="401">
        <f t="shared" si="16"/>
        <v>0</v>
      </c>
      <c r="L53" s="401">
        <f t="shared" si="17"/>
        <v>0</v>
      </c>
      <c r="M53" s="403">
        <f t="shared" si="18"/>
        <v>0</v>
      </c>
      <c r="N53" s="401">
        <f t="shared" si="19"/>
        <v>0</v>
      </c>
      <c r="O53" s="401">
        <f t="shared" si="20"/>
        <v>0</v>
      </c>
      <c r="P53" s="401">
        <f t="shared" si="21"/>
        <v>0</v>
      </c>
    </row>
    <row r="54" spans="1:17">
      <c r="A54" s="425"/>
      <c r="B54" s="412"/>
      <c r="C54" s="426" t="s">
        <v>369</v>
      </c>
      <c r="D54" s="427">
        <v>0</v>
      </c>
      <c r="E54" s="401">
        <v>0</v>
      </c>
      <c r="F54" s="402">
        <f t="shared" si="11"/>
        <v>0</v>
      </c>
      <c r="G54" s="401">
        <f t="shared" si="12"/>
        <v>0</v>
      </c>
      <c r="H54" s="401">
        <f t="shared" si="13"/>
        <v>0</v>
      </c>
      <c r="I54" s="401">
        <f t="shared" si="14"/>
        <v>0</v>
      </c>
      <c r="J54" s="401">
        <f t="shared" si="15"/>
        <v>0</v>
      </c>
      <c r="K54" s="401">
        <f t="shared" si="16"/>
        <v>0</v>
      </c>
      <c r="L54" s="401">
        <f t="shared" si="17"/>
        <v>0</v>
      </c>
      <c r="M54" s="403">
        <f t="shared" si="18"/>
        <v>0</v>
      </c>
      <c r="N54" s="401">
        <f t="shared" si="19"/>
        <v>0</v>
      </c>
      <c r="O54" s="401">
        <f t="shared" si="20"/>
        <v>0</v>
      </c>
      <c r="P54" s="401">
        <f t="shared" si="21"/>
        <v>0</v>
      </c>
    </row>
    <row r="55" spans="1:17">
      <c r="A55" s="425"/>
      <c r="B55" s="412"/>
      <c r="C55" s="426" t="s">
        <v>369</v>
      </c>
      <c r="D55" s="427">
        <v>0</v>
      </c>
      <c r="E55" s="401">
        <v>0</v>
      </c>
      <c r="F55" s="402">
        <f t="shared" si="1"/>
        <v>0</v>
      </c>
      <c r="G55" s="401">
        <f t="shared" si="0"/>
        <v>0</v>
      </c>
      <c r="H55" s="401">
        <f t="shared" si="2"/>
        <v>0</v>
      </c>
      <c r="I55" s="401">
        <f t="shared" si="3"/>
        <v>0</v>
      </c>
      <c r="J55" s="401">
        <f t="shared" si="4"/>
        <v>0</v>
      </c>
      <c r="K55" s="401">
        <f t="shared" si="5"/>
        <v>0</v>
      </c>
      <c r="L55" s="401">
        <f t="shared" si="6"/>
        <v>0</v>
      </c>
      <c r="M55" s="403">
        <f t="shared" si="7"/>
        <v>0</v>
      </c>
      <c r="N55" s="401">
        <f t="shared" si="8"/>
        <v>0</v>
      </c>
      <c r="O55" s="401">
        <f t="shared" si="9"/>
        <v>0</v>
      </c>
      <c r="P55" s="401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66" t="s">
        <v>355</v>
      </c>
      <c r="B1" s="566"/>
      <c r="C1" s="566"/>
      <c r="D1" s="566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69" t="s">
        <v>376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0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 t="shared" ref="F6:F15" si="0">IF(B6="si",D6*$F$4,0)</f>
        <v>0</v>
      </c>
      <c r="G6" s="401">
        <v>0</v>
      </c>
      <c r="H6" s="401">
        <f>(D6+F6+G6)*$H$4</f>
        <v>0</v>
      </c>
      <c r="I6" s="401">
        <f t="shared" ref="I6:I15" si="1">IF(B6="si",(D6+F6+G6+H6)*$I$4,0)</f>
        <v>0</v>
      </c>
      <c r="J6" s="401">
        <f>D6+F6+G6+H6+I6</f>
        <v>0</v>
      </c>
      <c r="K6" s="401">
        <f>J6*$K$4</f>
        <v>0</v>
      </c>
      <c r="L6" s="403">
        <f t="shared" ref="L6:L15" si="2"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7">
      <c r="A7" s="410"/>
      <c r="B7" s="407" t="s">
        <v>369</v>
      </c>
      <c r="C7" s="408">
        <v>0</v>
      </c>
      <c r="D7" s="406">
        <v>0</v>
      </c>
      <c r="E7" s="409">
        <f t="shared" ref="E7:E15" si="3">+D7*C7</f>
        <v>0</v>
      </c>
      <c r="F7" s="401">
        <f t="shared" si="0"/>
        <v>0</v>
      </c>
      <c r="G7" s="411">
        <f t="shared" ref="G7:G15" si="4">(D7+F7)*$G$4</f>
        <v>0</v>
      </c>
      <c r="H7" s="411">
        <f t="shared" ref="H7:H15" si="5">(D7+F7+G7)*$H$4</f>
        <v>0</v>
      </c>
      <c r="I7" s="401">
        <f t="shared" si="1"/>
        <v>0</v>
      </c>
      <c r="J7" s="411">
        <f t="shared" ref="J7:J15" si="6">D7+F7+G7+H7+I7</f>
        <v>0</v>
      </c>
      <c r="K7" s="401">
        <f t="shared" ref="K7:K15" si="7">J7*$K$4</f>
        <v>0</v>
      </c>
      <c r="L7" s="403">
        <f t="shared" si="2"/>
        <v>0</v>
      </c>
      <c r="M7" s="401">
        <f t="shared" ref="M7:M15" si="8">(J7+K7)*$M$4/(1-$M$4)</f>
        <v>0</v>
      </c>
      <c r="N7" s="401">
        <f t="shared" ref="N7:N15" si="9">M7+J7+K7</f>
        <v>0</v>
      </c>
      <c r="O7" s="411">
        <f t="shared" ref="O7:O15" si="10">N7*C7</f>
        <v>0</v>
      </c>
    </row>
    <row r="8" spans="1:17">
      <c r="A8" s="410"/>
      <c r="B8" s="407" t="s">
        <v>369</v>
      </c>
      <c r="C8" s="408">
        <v>0</v>
      </c>
      <c r="D8" s="406">
        <v>0</v>
      </c>
      <c r="E8" s="409">
        <f t="shared" si="3"/>
        <v>0</v>
      </c>
      <c r="F8" s="401">
        <f t="shared" si="0"/>
        <v>0</v>
      </c>
      <c r="G8" s="411">
        <f t="shared" si="4"/>
        <v>0</v>
      </c>
      <c r="H8" s="411">
        <f t="shared" si="5"/>
        <v>0</v>
      </c>
      <c r="I8" s="401">
        <f t="shared" si="1"/>
        <v>0</v>
      </c>
      <c r="J8" s="411">
        <f t="shared" si="6"/>
        <v>0</v>
      </c>
      <c r="K8" s="401">
        <f t="shared" si="7"/>
        <v>0</v>
      </c>
      <c r="L8" s="403">
        <f t="shared" si="2"/>
        <v>0</v>
      </c>
      <c r="M8" s="401">
        <f t="shared" si="8"/>
        <v>0</v>
      </c>
      <c r="N8" s="401">
        <f t="shared" si="9"/>
        <v>0</v>
      </c>
      <c r="O8" s="411">
        <f t="shared" si="10"/>
        <v>0</v>
      </c>
    </row>
    <row r="9" spans="1:17">
      <c r="A9" s="412"/>
      <c r="B9" s="407" t="s">
        <v>369</v>
      </c>
      <c r="C9" s="408">
        <v>0</v>
      </c>
      <c r="D9" s="406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7"/>
        <v>0</v>
      </c>
      <c r="L9" s="403">
        <f t="shared" si="2"/>
        <v>0</v>
      </c>
      <c r="M9" s="401">
        <f t="shared" si="8"/>
        <v>0</v>
      </c>
      <c r="N9" s="401">
        <f t="shared" si="9"/>
        <v>0</v>
      </c>
      <c r="O9" s="411">
        <f t="shared" si="10"/>
        <v>0</v>
      </c>
    </row>
    <row r="10" spans="1:17">
      <c r="A10" s="412"/>
      <c r="B10" s="407" t="s">
        <v>369</v>
      </c>
      <c r="C10" s="408">
        <v>0</v>
      </c>
      <c r="D10" s="406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7"/>
        <v>0</v>
      </c>
      <c r="L10" s="403">
        <f t="shared" si="2"/>
        <v>0</v>
      </c>
      <c r="M10" s="401">
        <f t="shared" si="8"/>
        <v>0</v>
      </c>
      <c r="N10" s="401">
        <f t="shared" si="9"/>
        <v>0</v>
      </c>
      <c r="O10" s="411">
        <f t="shared" si="10"/>
        <v>0</v>
      </c>
    </row>
    <row r="11" spans="1:17">
      <c r="A11" s="412"/>
      <c r="B11" s="407" t="s">
        <v>369</v>
      </c>
      <c r="C11" s="408">
        <v>0</v>
      </c>
      <c r="D11" s="406">
        <v>0</v>
      </c>
      <c r="E11" s="409">
        <f t="shared" ref="E11:E12" si="11">+D11*C11</f>
        <v>0</v>
      </c>
      <c r="F11" s="401">
        <f t="shared" si="0"/>
        <v>0</v>
      </c>
      <c r="G11" s="411">
        <f t="shared" ref="G11:G12" si="12">(D11+F11)*$G$4</f>
        <v>0</v>
      </c>
      <c r="H11" s="411">
        <f t="shared" ref="H11:H12" si="13">(D11+F11+G11)*$H$4</f>
        <v>0</v>
      </c>
      <c r="I11" s="401">
        <f t="shared" si="1"/>
        <v>0</v>
      </c>
      <c r="J11" s="411">
        <f t="shared" ref="J11:J12" si="14">D11+F11+G11+H11+I11</f>
        <v>0</v>
      </c>
      <c r="K11" s="401">
        <f t="shared" si="7"/>
        <v>0</v>
      </c>
      <c r="L11" s="403">
        <f t="shared" si="2"/>
        <v>0</v>
      </c>
      <c r="M11" s="401">
        <f t="shared" si="8"/>
        <v>0</v>
      </c>
      <c r="N11" s="401">
        <f t="shared" si="9"/>
        <v>0</v>
      </c>
      <c r="O11" s="411">
        <f t="shared" ref="O11:O12" si="15">N11*C11</f>
        <v>0</v>
      </c>
    </row>
    <row r="12" spans="1:17">
      <c r="A12" s="412"/>
      <c r="B12" s="407" t="s">
        <v>369</v>
      </c>
      <c r="C12" s="408">
        <v>0</v>
      </c>
      <c r="D12" s="406">
        <v>0</v>
      </c>
      <c r="E12" s="409">
        <f t="shared" si="11"/>
        <v>0</v>
      </c>
      <c r="F12" s="401">
        <f t="shared" si="0"/>
        <v>0</v>
      </c>
      <c r="G12" s="411">
        <f t="shared" si="12"/>
        <v>0</v>
      </c>
      <c r="H12" s="411">
        <f t="shared" si="13"/>
        <v>0</v>
      </c>
      <c r="I12" s="401">
        <f t="shared" si="1"/>
        <v>0</v>
      </c>
      <c r="J12" s="411">
        <f t="shared" si="14"/>
        <v>0</v>
      </c>
      <c r="K12" s="401">
        <f t="shared" si="7"/>
        <v>0</v>
      </c>
      <c r="L12" s="403">
        <f t="shared" si="2"/>
        <v>0</v>
      </c>
      <c r="M12" s="401">
        <f t="shared" si="8"/>
        <v>0</v>
      </c>
      <c r="N12" s="401">
        <f t="shared" si="9"/>
        <v>0</v>
      </c>
      <c r="O12" s="411">
        <f t="shared" si="15"/>
        <v>0</v>
      </c>
    </row>
    <row r="13" spans="1:17">
      <c r="A13" s="412"/>
      <c r="B13" s="407" t="s">
        <v>369</v>
      </c>
      <c r="C13" s="408">
        <v>0</v>
      </c>
      <c r="D13" s="406">
        <v>0</v>
      </c>
      <c r="E13" s="409">
        <f t="shared" ref="E13:E14" si="16">+D13*C13</f>
        <v>0</v>
      </c>
      <c r="F13" s="401">
        <f t="shared" si="0"/>
        <v>0</v>
      </c>
      <c r="G13" s="411">
        <f t="shared" ref="G13:G14" si="17">(D13+F13)*$G$4</f>
        <v>0</v>
      </c>
      <c r="H13" s="411">
        <f t="shared" ref="H13:H14" si="18">(D13+F13+G13)*$H$4</f>
        <v>0</v>
      </c>
      <c r="I13" s="401">
        <f t="shared" si="1"/>
        <v>0</v>
      </c>
      <c r="J13" s="411">
        <f t="shared" ref="J13:J14" si="19">D13+F13+G13+H13+I13</f>
        <v>0</v>
      </c>
      <c r="K13" s="401">
        <f t="shared" si="7"/>
        <v>0</v>
      </c>
      <c r="L13" s="403">
        <f t="shared" si="2"/>
        <v>0</v>
      </c>
      <c r="M13" s="401">
        <f t="shared" si="8"/>
        <v>0</v>
      </c>
      <c r="N13" s="401">
        <f t="shared" si="9"/>
        <v>0</v>
      </c>
      <c r="O13" s="411">
        <f t="shared" ref="O13:O14" si="20">N13*C13</f>
        <v>0</v>
      </c>
    </row>
    <row r="14" spans="1:17">
      <c r="A14" s="412"/>
      <c r="B14" s="407" t="s">
        <v>369</v>
      </c>
      <c r="C14" s="408">
        <v>0</v>
      </c>
      <c r="D14" s="406">
        <v>0</v>
      </c>
      <c r="E14" s="409">
        <f t="shared" si="16"/>
        <v>0</v>
      </c>
      <c r="F14" s="401">
        <f t="shared" si="0"/>
        <v>0</v>
      </c>
      <c r="G14" s="411">
        <f t="shared" si="17"/>
        <v>0</v>
      </c>
      <c r="H14" s="411">
        <f t="shared" si="18"/>
        <v>0</v>
      </c>
      <c r="I14" s="401">
        <f t="shared" si="1"/>
        <v>0</v>
      </c>
      <c r="J14" s="411">
        <f t="shared" si="19"/>
        <v>0</v>
      </c>
      <c r="K14" s="401">
        <f t="shared" si="7"/>
        <v>0</v>
      </c>
      <c r="L14" s="403">
        <f t="shared" si="2"/>
        <v>0</v>
      </c>
      <c r="M14" s="401">
        <f t="shared" si="8"/>
        <v>0</v>
      </c>
      <c r="N14" s="401">
        <f t="shared" si="9"/>
        <v>0</v>
      </c>
      <c r="O14" s="411">
        <f t="shared" si="20"/>
        <v>0</v>
      </c>
    </row>
    <row r="15" spans="1:17">
      <c r="A15" s="412"/>
      <c r="B15" s="407" t="s">
        <v>369</v>
      </c>
      <c r="C15" s="408">
        <v>0</v>
      </c>
      <c r="D15" s="406">
        <v>0</v>
      </c>
      <c r="E15" s="409">
        <f t="shared" si="3"/>
        <v>0</v>
      </c>
      <c r="F15" s="401">
        <f t="shared" si="0"/>
        <v>0</v>
      </c>
      <c r="G15" s="411">
        <f t="shared" si="4"/>
        <v>0</v>
      </c>
      <c r="H15" s="411">
        <f t="shared" si="5"/>
        <v>0</v>
      </c>
      <c r="I15" s="401">
        <f t="shared" si="1"/>
        <v>0</v>
      </c>
      <c r="J15" s="411">
        <f t="shared" si="6"/>
        <v>0</v>
      </c>
      <c r="K15" s="401">
        <f t="shared" si="7"/>
        <v>0</v>
      </c>
      <c r="L15" s="403">
        <f t="shared" si="2"/>
        <v>0</v>
      </c>
      <c r="M15" s="401">
        <f t="shared" si="8"/>
        <v>0</v>
      </c>
      <c r="N15" s="401">
        <f t="shared" si="9"/>
        <v>0</v>
      </c>
      <c r="O15" s="411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379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0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0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03">
        <f t="shared" ref="L7:L20" si="3">(J7+K7)*C7</f>
        <v>0</v>
      </c>
      <c r="M7" s="401">
        <f t="shared" ref="M7:M20" si="4">(J7+K7)*$M$4/(1-$M$4)</f>
        <v>0</v>
      </c>
      <c r="N7" s="401">
        <f t="shared" ref="N7:N20" si="5">M7+J7+K7</f>
        <v>0</v>
      </c>
      <c r="O7" s="411">
        <f>N7*C7</f>
        <v>0</v>
      </c>
    </row>
    <row r="8" spans="1:16">
      <c r="A8" s="410"/>
      <c r="B8" s="407" t="s">
        <v>369</v>
      </c>
      <c r="C8" s="400">
        <v>0</v>
      </c>
      <c r="D8" s="406">
        <v>0</v>
      </c>
      <c r="E8" s="409">
        <f t="shared" ref="E8:E12" si="6">+D8*C8</f>
        <v>0</v>
      </c>
      <c r="F8" s="401">
        <f t="shared" si="0"/>
        <v>0</v>
      </c>
      <c r="G8" s="411">
        <f t="shared" ref="G8:G12" si="7">(D8+F8)*$G$4</f>
        <v>0</v>
      </c>
      <c r="H8" s="411">
        <f t="shared" ref="H8:H12" si="8">(D8+F8+G8)*$H$4</f>
        <v>0</v>
      </c>
      <c r="I8" s="401">
        <f t="shared" si="1"/>
        <v>0</v>
      </c>
      <c r="J8" s="411">
        <f t="shared" ref="J8:J12" si="9">D8+F8+G8+H8+I8</f>
        <v>0</v>
      </c>
      <c r="K8" s="401">
        <f t="shared" si="2"/>
        <v>0</v>
      </c>
      <c r="L8" s="403">
        <f t="shared" si="3"/>
        <v>0</v>
      </c>
      <c r="M8" s="401">
        <f t="shared" si="4"/>
        <v>0</v>
      </c>
      <c r="N8" s="401">
        <f t="shared" si="5"/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00">
        <v>0</v>
      </c>
      <c r="D9" s="406">
        <v>0</v>
      </c>
      <c r="E9" s="409">
        <f t="shared" si="6"/>
        <v>0</v>
      </c>
      <c r="F9" s="401">
        <f t="shared" si="0"/>
        <v>0</v>
      </c>
      <c r="G9" s="411">
        <f t="shared" si="7"/>
        <v>0</v>
      </c>
      <c r="H9" s="411">
        <f t="shared" si="8"/>
        <v>0</v>
      </c>
      <c r="I9" s="401">
        <f t="shared" si="1"/>
        <v>0</v>
      </c>
      <c r="J9" s="411">
        <f t="shared" si="9"/>
        <v>0</v>
      </c>
      <c r="K9" s="401">
        <f t="shared" si="2"/>
        <v>0</v>
      </c>
      <c r="L9" s="403">
        <f t="shared" si="3"/>
        <v>0</v>
      </c>
      <c r="M9" s="401">
        <f t="shared" si="4"/>
        <v>0</v>
      </c>
      <c r="N9" s="401">
        <f t="shared" si="5"/>
        <v>0</v>
      </c>
      <c r="O9" s="411">
        <f t="shared" si="10"/>
        <v>0</v>
      </c>
    </row>
    <row r="10" spans="1:16">
      <c r="A10" s="410"/>
      <c r="B10" s="407" t="s">
        <v>369</v>
      </c>
      <c r="C10" s="400">
        <v>0</v>
      </c>
      <c r="D10" s="406">
        <v>0</v>
      </c>
      <c r="E10" s="409">
        <f t="shared" si="6"/>
        <v>0</v>
      </c>
      <c r="F10" s="401">
        <f t="shared" si="0"/>
        <v>0</v>
      </c>
      <c r="G10" s="411">
        <f t="shared" si="7"/>
        <v>0</v>
      </c>
      <c r="H10" s="411">
        <f t="shared" si="8"/>
        <v>0</v>
      </c>
      <c r="I10" s="401">
        <f t="shared" si="1"/>
        <v>0</v>
      </c>
      <c r="J10" s="411">
        <f t="shared" si="9"/>
        <v>0</v>
      </c>
      <c r="K10" s="401">
        <f t="shared" si="2"/>
        <v>0</v>
      </c>
      <c r="L10" s="403">
        <f t="shared" si="3"/>
        <v>0</v>
      </c>
      <c r="M10" s="401">
        <f t="shared" si="4"/>
        <v>0</v>
      </c>
      <c r="N10" s="401">
        <f t="shared" si="5"/>
        <v>0</v>
      </c>
      <c r="O10" s="411">
        <f t="shared" si="10"/>
        <v>0</v>
      </c>
    </row>
    <row r="11" spans="1:16">
      <c r="A11" s="412"/>
      <c r="B11" s="407" t="s">
        <v>369</v>
      </c>
      <c r="C11" s="400">
        <v>0</v>
      </c>
      <c r="D11" s="406">
        <v>0</v>
      </c>
      <c r="E11" s="409">
        <f t="shared" si="6"/>
        <v>0</v>
      </c>
      <c r="F11" s="401">
        <f t="shared" si="0"/>
        <v>0</v>
      </c>
      <c r="G11" s="411">
        <f t="shared" si="7"/>
        <v>0</v>
      </c>
      <c r="H11" s="411">
        <f t="shared" si="8"/>
        <v>0</v>
      </c>
      <c r="I11" s="401">
        <f t="shared" si="1"/>
        <v>0</v>
      </c>
      <c r="J11" s="411">
        <f t="shared" si="9"/>
        <v>0</v>
      </c>
      <c r="K11" s="401">
        <f t="shared" si="2"/>
        <v>0</v>
      </c>
      <c r="L11" s="403">
        <f t="shared" si="3"/>
        <v>0</v>
      </c>
      <c r="M11" s="401">
        <f t="shared" si="4"/>
        <v>0</v>
      </c>
      <c r="N11" s="401">
        <f t="shared" si="5"/>
        <v>0</v>
      </c>
      <c r="O11" s="411">
        <f t="shared" si="10"/>
        <v>0</v>
      </c>
    </row>
    <row r="12" spans="1:16">
      <c r="A12" s="412"/>
      <c r="B12" s="407" t="s">
        <v>369</v>
      </c>
      <c r="C12" s="400">
        <v>0</v>
      </c>
      <c r="D12" s="406">
        <v>0</v>
      </c>
      <c r="E12" s="409">
        <f t="shared" si="6"/>
        <v>0</v>
      </c>
      <c r="F12" s="401">
        <f t="shared" si="0"/>
        <v>0</v>
      </c>
      <c r="G12" s="411">
        <f t="shared" si="7"/>
        <v>0</v>
      </c>
      <c r="H12" s="411">
        <f t="shared" si="8"/>
        <v>0</v>
      </c>
      <c r="I12" s="401">
        <f t="shared" si="1"/>
        <v>0</v>
      </c>
      <c r="J12" s="411">
        <f t="shared" si="9"/>
        <v>0</v>
      </c>
      <c r="K12" s="401">
        <f t="shared" si="2"/>
        <v>0</v>
      </c>
      <c r="L12" s="403">
        <f t="shared" si="3"/>
        <v>0</v>
      </c>
      <c r="M12" s="401">
        <f t="shared" si="4"/>
        <v>0</v>
      </c>
      <c r="N12" s="401">
        <f t="shared" si="5"/>
        <v>0</v>
      </c>
      <c r="O12" s="411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7"/>
      <c r="B14" s="407" t="s">
        <v>369</v>
      </c>
      <c r="C14" s="400">
        <v>0</v>
      </c>
      <c r="D14" s="406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si="3"/>
        <v>0</v>
      </c>
      <c r="M14" s="401">
        <f t="shared" si="4"/>
        <v>0</v>
      </c>
      <c r="N14" s="401">
        <f t="shared" si="5"/>
        <v>0</v>
      </c>
      <c r="O14" s="401">
        <f t="shared" ref="O14:O18" si="14">N14*C14</f>
        <v>0</v>
      </c>
    </row>
    <row r="15" spans="1:16">
      <c r="A15" s="413"/>
      <c r="B15" s="407" t="s">
        <v>369</v>
      </c>
      <c r="C15" s="400">
        <v>0</v>
      </c>
      <c r="D15" s="406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3"/>
        <v>0</v>
      </c>
      <c r="M15" s="401">
        <f t="shared" si="4"/>
        <v>0</v>
      </c>
      <c r="N15" s="401">
        <f t="shared" si="5"/>
        <v>0</v>
      </c>
      <c r="O15" s="401">
        <f t="shared" si="14"/>
        <v>0</v>
      </c>
    </row>
    <row r="16" spans="1:16">
      <c r="A16" s="413"/>
      <c r="B16" s="407" t="s">
        <v>369</v>
      </c>
      <c r="C16" s="400">
        <v>0</v>
      </c>
      <c r="D16" s="406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3"/>
        <v>0</v>
      </c>
      <c r="M16" s="401">
        <f t="shared" si="4"/>
        <v>0</v>
      </c>
      <c r="N16" s="401">
        <f t="shared" si="5"/>
        <v>0</v>
      </c>
      <c r="O16" s="401">
        <f t="shared" si="14"/>
        <v>0</v>
      </c>
    </row>
    <row r="17" spans="1:18">
      <c r="A17" s="414"/>
      <c r="B17" s="407" t="s">
        <v>369</v>
      </c>
      <c r="C17" s="400">
        <v>0</v>
      </c>
      <c r="D17" s="406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3"/>
        <v>0</v>
      </c>
      <c r="M17" s="401">
        <f t="shared" si="4"/>
        <v>0</v>
      </c>
      <c r="N17" s="401">
        <f t="shared" si="5"/>
        <v>0</v>
      </c>
      <c r="O17" s="401">
        <f t="shared" si="14"/>
        <v>0</v>
      </c>
    </row>
    <row r="18" spans="1:18">
      <c r="A18" s="414"/>
      <c r="B18" s="407" t="s">
        <v>369</v>
      </c>
      <c r="C18" s="400">
        <v>0</v>
      </c>
      <c r="D18" s="406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3"/>
        <v>0</v>
      </c>
      <c r="M18" s="401">
        <f t="shared" si="4"/>
        <v>0</v>
      </c>
      <c r="N18" s="401">
        <f t="shared" si="5"/>
        <v>0</v>
      </c>
      <c r="O18" s="401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5"/>
      <c r="B20" s="407" t="s">
        <v>369</v>
      </c>
      <c r="C20" s="400">
        <v>0</v>
      </c>
      <c r="D20" s="406">
        <v>0</v>
      </c>
      <c r="E20" s="402">
        <f>+C20*D20</f>
        <v>0</v>
      </c>
      <c r="F20" s="401">
        <f t="shared" si="0"/>
        <v>0</v>
      </c>
      <c r="G20" s="401">
        <f t="shared" ref="G20" si="15">(D20+F20)*$G$4</f>
        <v>0</v>
      </c>
      <c r="H20" s="401">
        <f t="shared" ref="H20" si="16">(D20+F20+G20)*$H$4</f>
        <v>0</v>
      </c>
      <c r="I20" s="401">
        <f t="shared" si="1"/>
        <v>0</v>
      </c>
      <c r="J20" s="401">
        <f t="shared" ref="J20" si="17">D20+F20+G20+H20+I20</f>
        <v>0</v>
      </c>
      <c r="K20" s="401">
        <f t="shared" si="2"/>
        <v>0</v>
      </c>
      <c r="L20" s="403">
        <f t="shared" si="3"/>
        <v>0</v>
      </c>
      <c r="M20" s="401">
        <f t="shared" si="4"/>
        <v>0</v>
      </c>
      <c r="N20" s="401">
        <f t="shared" si="5"/>
        <v>0</v>
      </c>
      <c r="O20" s="401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66" t="s">
        <v>355</v>
      </c>
      <c r="B1" s="566"/>
      <c r="C1" s="566"/>
      <c r="D1" s="566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69" t="s">
        <v>382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0"/>
      <c r="B6" s="407" t="s">
        <v>369</v>
      </c>
      <c r="C6" s="415">
        <v>0</v>
      </c>
      <c r="D6" s="406">
        <v>0</v>
      </c>
      <c r="E6" s="409">
        <f>+D6*C6</f>
        <v>0</v>
      </c>
      <c r="F6" s="401">
        <f t="shared" ref="F6:F19" si="0">IF(B6="si",D6*$F$4,0)</f>
        <v>0</v>
      </c>
      <c r="G6" s="411">
        <f>(D6+F6)*$G$4</f>
        <v>0</v>
      </c>
      <c r="H6" s="411">
        <f>(D6+F6+G6)*$H$4</f>
        <v>0</v>
      </c>
      <c r="I6" s="401">
        <f t="shared" ref="I6:I19" si="1">IF(B6="si",(D6+F6+G6+H6)*$I$4,0)</f>
        <v>0</v>
      </c>
      <c r="J6" s="411">
        <f>D6+F6+G6+H6+I6</f>
        <v>0</v>
      </c>
      <c r="K6" s="401">
        <f t="shared" ref="K6:K19" si="2">J6*$K$4</f>
        <v>0</v>
      </c>
      <c r="L6" s="416">
        <f>(J6+K6)*C6</f>
        <v>0</v>
      </c>
      <c r="M6" s="411">
        <f>(J6+K6)*$M$4/(1-$M$4)</f>
        <v>0</v>
      </c>
      <c r="N6" s="411">
        <f>M6+J6+K6</f>
        <v>0</v>
      </c>
      <c r="O6" s="411">
        <f>N6*C6</f>
        <v>0</v>
      </c>
    </row>
    <row r="7" spans="1:15" ht="14.5">
      <c r="A7" s="410"/>
      <c r="B7" s="407" t="s">
        <v>369</v>
      </c>
      <c r="C7" s="415">
        <v>0</v>
      </c>
      <c r="D7" s="406">
        <v>0</v>
      </c>
      <c r="E7" s="409">
        <f t="shared" ref="E7:E11" si="3">+D7*C7</f>
        <v>0</v>
      </c>
      <c r="F7" s="401">
        <f t="shared" si="0"/>
        <v>0</v>
      </c>
      <c r="G7" s="411">
        <f t="shared" ref="G7:G11" si="4">(D7+F7)*$G$4</f>
        <v>0</v>
      </c>
      <c r="H7" s="411">
        <f t="shared" ref="H7:H11" si="5">(D7+F7+G7)*$H$4</f>
        <v>0</v>
      </c>
      <c r="I7" s="401">
        <f t="shared" si="1"/>
        <v>0</v>
      </c>
      <c r="J7" s="411">
        <f t="shared" ref="J7:J11" si="6">D7+F7+G7+H7+I7</f>
        <v>0</v>
      </c>
      <c r="K7" s="401">
        <f t="shared" si="2"/>
        <v>0</v>
      </c>
      <c r="L7" s="416">
        <f t="shared" ref="L7:L19" si="7">(J7+K7)*C7</f>
        <v>0</v>
      </c>
      <c r="M7" s="411">
        <f t="shared" ref="M7:M19" si="8">(J7+K7)*$M$4/(1-$M$4)</f>
        <v>0</v>
      </c>
      <c r="N7" s="411">
        <f t="shared" ref="N7:N19" si="9">M7+J7+K7</f>
        <v>0</v>
      </c>
      <c r="O7" s="411">
        <f t="shared" ref="O7:O11" si="10">N7*C7</f>
        <v>0</v>
      </c>
    </row>
    <row r="8" spans="1:15" ht="14.5">
      <c r="A8" s="410"/>
      <c r="B8" s="407" t="s">
        <v>369</v>
      </c>
      <c r="C8" s="415">
        <v>0</v>
      </c>
      <c r="D8" s="406">
        <v>0</v>
      </c>
      <c r="E8" s="409">
        <f t="shared" si="3"/>
        <v>0</v>
      </c>
      <c r="F8" s="401">
        <f t="shared" si="0"/>
        <v>0</v>
      </c>
      <c r="G8" s="411">
        <f t="shared" si="4"/>
        <v>0</v>
      </c>
      <c r="H8" s="411">
        <f t="shared" si="5"/>
        <v>0</v>
      </c>
      <c r="I8" s="401">
        <f t="shared" si="1"/>
        <v>0</v>
      </c>
      <c r="J8" s="411">
        <f t="shared" si="6"/>
        <v>0</v>
      </c>
      <c r="K8" s="401">
        <f t="shared" si="2"/>
        <v>0</v>
      </c>
      <c r="L8" s="416">
        <f t="shared" si="7"/>
        <v>0</v>
      </c>
      <c r="M8" s="411">
        <f t="shared" si="8"/>
        <v>0</v>
      </c>
      <c r="N8" s="411">
        <f t="shared" si="9"/>
        <v>0</v>
      </c>
      <c r="O8" s="411">
        <f t="shared" si="10"/>
        <v>0</v>
      </c>
    </row>
    <row r="9" spans="1:15" ht="14.5">
      <c r="A9" s="410"/>
      <c r="B9" s="407" t="s">
        <v>369</v>
      </c>
      <c r="C9" s="415">
        <v>0</v>
      </c>
      <c r="D9" s="406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5" ht="14.5">
      <c r="A10" s="412"/>
      <c r="B10" s="407" t="s">
        <v>369</v>
      </c>
      <c r="C10" s="415">
        <v>0</v>
      </c>
      <c r="D10" s="406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5" ht="14.5">
      <c r="A11" s="412"/>
      <c r="B11" s="407" t="s">
        <v>369</v>
      </c>
      <c r="C11" s="415">
        <v>0</v>
      </c>
      <c r="D11" s="406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7"/>
      <c r="B13" s="407" t="s">
        <v>369</v>
      </c>
      <c r="C13" s="415">
        <v>0</v>
      </c>
      <c r="D13" s="406">
        <v>0</v>
      </c>
      <c r="E13" s="402">
        <f>+C13*D13*(1-C22)</f>
        <v>0</v>
      </c>
      <c r="F13" s="401">
        <f t="shared" si="0"/>
        <v>0</v>
      </c>
      <c r="G13" s="401">
        <f t="shared" ref="G13:G17" si="11">(D13+F13)*$G$4</f>
        <v>0</v>
      </c>
      <c r="H13" s="401">
        <f t="shared" ref="H13:H17" si="12">(D13+F13+G13)*$H$4</f>
        <v>0</v>
      </c>
      <c r="I13" s="401">
        <f t="shared" si="1"/>
        <v>0</v>
      </c>
      <c r="J13" s="401">
        <f t="shared" ref="J13:J17" si="13">D13+F13+G13+H13+I13</f>
        <v>0</v>
      </c>
      <c r="K13" s="401">
        <f t="shared" si="2"/>
        <v>0</v>
      </c>
      <c r="L13" s="416">
        <f t="shared" si="7"/>
        <v>0</v>
      </c>
      <c r="M13" s="411">
        <f t="shared" si="8"/>
        <v>0</v>
      </c>
      <c r="N13" s="411">
        <f t="shared" si="9"/>
        <v>0</v>
      </c>
      <c r="O13" s="401">
        <f t="shared" ref="O13:O17" si="14">N13*C13</f>
        <v>0</v>
      </c>
    </row>
    <row r="14" spans="1:15" ht="14.5">
      <c r="A14" s="413"/>
      <c r="B14" s="407" t="s">
        <v>369</v>
      </c>
      <c r="C14" s="415">
        <v>0</v>
      </c>
      <c r="D14" s="406">
        <v>0</v>
      </c>
      <c r="E14" s="402">
        <f>+C14*D14</f>
        <v>0</v>
      </c>
      <c r="F14" s="401">
        <f t="shared" si="0"/>
        <v>0</v>
      </c>
      <c r="G14" s="401">
        <f t="shared" si="11"/>
        <v>0</v>
      </c>
      <c r="H14" s="401">
        <f t="shared" si="12"/>
        <v>0</v>
      </c>
      <c r="I14" s="401">
        <f t="shared" si="1"/>
        <v>0</v>
      </c>
      <c r="J14" s="401">
        <f t="shared" si="13"/>
        <v>0</v>
      </c>
      <c r="K14" s="401">
        <f t="shared" si="2"/>
        <v>0</v>
      </c>
      <c r="L14" s="416">
        <f t="shared" si="7"/>
        <v>0</v>
      </c>
      <c r="M14" s="411">
        <f t="shared" si="8"/>
        <v>0</v>
      </c>
      <c r="N14" s="411">
        <f t="shared" si="9"/>
        <v>0</v>
      </c>
      <c r="O14" s="401">
        <f t="shared" si="14"/>
        <v>0</v>
      </c>
    </row>
    <row r="15" spans="1:15" ht="14.5">
      <c r="A15" s="413"/>
      <c r="B15" s="407" t="s">
        <v>369</v>
      </c>
      <c r="C15" s="415">
        <v>0</v>
      </c>
      <c r="D15" s="406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16">
        <f t="shared" si="7"/>
        <v>0</v>
      </c>
      <c r="M15" s="411">
        <f t="shared" si="8"/>
        <v>0</v>
      </c>
      <c r="N15" s="411">
        <f t="shared" si="9"/>
        <v>0</v>
      </c>
      <c r="O15" s="401">
        <f t="shared" si="14"/>
        <v>0</v>
      </c>
    </row>
    <row r="16" spans="1:15" ht="14.5">
      <c r="A16" s="414"/>
      <c r="B16" s="407" t="s">
        <v>369</v>
      </c>
      <c r="C16" s="415">
        <v>0</v>
      </c>
      <c r="D16" s="406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16">
        <f t="shared" si="7"/>
        <v>0</v>
      </c>
      <c r="M16" s="411">
        <f t="shared" si="8"/>
        <v>0</v>
      </c>
      <c r="N16" s="411">
        <f t="shared" si="9"/>
        <v>0</v>
      </c>
      <c r="O16" s="401">
        <f t="shared" si="14"/>
        <v>0</v>
      </c>
    </row>
    <row r="17" spans="1:18" ht="14.5">
      <c r="A17" s="414"/>
      <c r="B17" s="407" t="s">
        <v>369</v>
      </c>
      <c r="C17" s="415">
        <v>0</v>
      </c>
      <c r="D17" s="406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16">
        <f t="shared" si="7"/>
        <v>0</v>
      </c>
      <c r="M17" s="411">
        <f t="shared" si="8"/>
        <v>0</v>
      </c>
      <c r="N17" s="411">
        <f t="shared" si="9"/>
        <v>0</v>
      </c>
      <c r="O17" s="401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4"/>
      <c r="B19" s="407" t="s">
        <v>369</v>
      </c>
      <c r="C19" s="415">
        <v>0</v>
      </c>
      <c r="D19" s="406">
        <v>0</v>
      </c>
      <c r="E19" s="402">
        <f>+C19*D19</f>
        <v>0</v>
      </c>
      <c r="F19" s="401">
        <f t="shared" si="0"/>
        <v>0</v>
      </c>
      <c r="G19" s="401">
        <f t="shared" ref="G19" si="15">(D19+F19)*$G$4</f>
        <v>0</v>
      </c>
      <c r="H19" s="401">
        <f t="shared" ref="H19" si="16">(D19+F19+G19)*$H$4</f>
        <v>0</v>
      </c>
      <c r="I19" s="401">
        <f t="shared" si="1"/>
        <v>0</v>
      </c>
      <c r="J19" s="401">
        <f t="shared" ref="J19" si="17">D19+F19+G19+H19+I19</f>
        <v>0</v>
      </c>
      <c r="K19" s="401">
        <f t="shared" si="2"/>
        <v>0</v>
      </c>
      <c r="L19" s="416">
        <f t="shared" si="7"/>
        <v>0</v>
      </c>
      <c r="M19" s="411">
        <f t="shared" si="8"/>
        <v>0</v>
      </c>
      <c r="N19" s="411">
        <f t="shared" si="9"/>
        <v>0</v>
      </c>
      <c r="O19" s="401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383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2"/>
      <c r="B6" s="407" t="s">
        <v>369</v>
      </c>
      <c r="C6" s="417">
        <v>0</v>
      </c>
      <c r="D6" s="418">
        <v>0</v>
      </c>
      <c r="E6" s="41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12"/>
      <c r="B7" s="407" t="s">
        <v>369</v>
      </c>
      <c r="C7" s="417">
        <v>0</v>
      </c>
      <c r="D7" s="418">
        <v>0</v>
      </c>
      <c r="E7" s="419">
        <f>+D7*C7</f>
        <v>0</v>
      </c>
      <c r="F7" s="401">
        <f t="shared" ref="F7:F23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3" si="1">IF(B7="si",(D7+F7+G7+H7)*$I$4,0)</f>
        <v>0</v>
      </c>
      <c r="J7" s="411">
        <f>D7+F7+G7+H7+I7</f>
        <v>0</v>
      </c>
      <c r="K7" s="401">
        <f t="shared" ref="K7:K23" si="2">J7*$K$4</f>
        <v>0</v>
      </c>
      <c r="L7" s="403">
        <f t="shared" ref="L7:L23" si="3">(J7+K7)*C7</f>
        <v>0</v>
      </c>
      <c r="M7" s="401">
        <f t="shared" ref="M7:M23" si="4">(J7+K7)*$M$4/(1-$M$4)</f>
        <v>0</v>
      </c>
      <c r="N7" s="401">
        <f t="shared" ref="N7:N23" si="5">M7+J7+K7</f>
        <v>0</v>
      </c>
      <c r="O7" s="411">
        <f>N7*C7</f>
        <v>0</v>
      </c>
    </row>
    <row r="8" spans="1:16">
      <c r="A8" s="412"/>
      <c r="B8" s="407" t="s">
        <v>369</v>
      </c>
      <c r="C8" s="417">
        <v>0</v>
      </c>
      <c r="D8" s="418">
        <v>0</v>
      </c>
      <c r="E8" s="419">
        <f t="shared" ref="E8:E11" si="6">+D8*C8</f>
        <v>0</v>
      </c>
      <c r="F8" s="401">
        <f t="shared" si="0"/>
        <v>0</v>
      </c>
      <c r="G8" s="411">
        <f t="shared" ref="G8:G11" si="7">(D8+F8)*$G$4</f>
        <v>0</v>
      </c>
      <c r="H8" s="411">
        <f t="shared" ref="H8:H11" si="8">(D8+F8+G8)*$H$4</f>
        <v>0</v>
      </c>
      <c r="I8" s="401">
        <f t="shared" si="1"/>
        <v>0</v>
      </c>
      <c r="J8" s="411">
        <f t="shared" ref="J8:J11" si="9">D8+F8+G8+H8+I8</f>
        <v>0</v>
      </c>
      <c r="K8" s="401">
        <f t="shared" si="2"/>
        <v>0</v>
      </c>
      <c r="L8" s="403">
        <f t="shared" si="3"/>
        <v>0</v>
      </c>
      <c r="M8" s="401">
        <f t="shared" si="4"/>
        <v>0</v>
      </c>
      <c r="N8" s="401">
        <f t="shared" si="5"/>
        <v>0</v>
      </c>
      <c r="O8" s="411">
        <f t="shared" ref="O8:O11" si="10">N8*C8</f>
        <v>0</v>
      </c>
    </row>
    <row r="9" spans="1:16">
      <c r="A9" s="410"/>
      <c r="B9" s="407" t="s">
        <v>369</v>
      </c>
      <c r="C9" s="417">
        <v>0</v>
      </c>
      <c r="D9" s="418">
        <v>0</v>
      </c>
      <c r="E9" s="419">
        <f t="shared" si="6"/>
        <v>0</v>
      </c>
      <c r="F9" s="401">
        <f t="shared" si="0"/>
        <v>0</v>
      </c>
      <c r="G9" s="411">
        <f t="shared" si="7"/>
        <v>0</v>
      </c>
      <c r="H9" s="411">
        <f t="shared" si="8"/>
        <v>0</v>
      </c>
      <c r="I9" s="401">
        <f t="shared" si="1"/>
        <v>0</v>
      </c>
      <c r="J9" s="411">
        <f t="shared" si="9"/>
        <v>0</v>
      </c>
      <c r="K9" s="401">
        <f t="shared" si="2"/>
        <v>0</v>
      </c>
      <c r="L9" s="403">
        <f t="shared" si="3"/>
        <v>0</v>
      </c>
      <c r="M9" s="401">
        <f t="shared" si="4"/>
        <v>0</v>
      </c>
      <c r="N9" s="401">
        <f t="shared" si="5"/>
        <v>0</v>
      </c>
      <c r="O9" s="411">
        <f t="shared" si="10"/>
        <v>0</v>
      </c>
    </row>
    <row r="10" spans="1:16">
      <c r="A10" s="412"/>
      <c r="B10" s="407" t="s">
        <v>369</v>
      </c>
      <c r="C10" s="417">
        <v>0</v>
      </c>
      <c r="D10" s="418">
        <v>0</v>
      </c>
      <c r="E10" s="419">
        <f t="shared" si="6"/>
        <v>0</v>
      </c>
      <c r="F10" s="401">
        <f t="shared" si="0"/>
        <v>0</v>
      </c>
      <c r="G10" s="411">
        <f t="shared" si="7"/>
        <v>0</v>
      </c>
      <c r="H10" s="411">
        <f t="shared" si="8"/>
        <v>0</v>
      </c>
      <c r="I10" s="401">
        <f t="shared" si="1"/>
        <v>0</v>
      </c>
      <c r="J10" s="411">
        <f t="shared" si="9"/>
        <v>0</v>
      </c>
      <c r="K10" s="401">
        <f t="shared" si="2"/>
        <v>0</v>
      </c>
      <c r="L10" s="403">
        <f t="shared" si="3"/>
        <v>0</v>
      </c>
      <c r="M10" s="401">
        <f t="shared" si="4"/>
        <v>0</v>
      </c>
      <c r="N10" s="401">
        <f t="shared" si="5"/>
        <v>0</v>
      </c>
      <c r="O10" s="411">
        <f t="shared" si="10"/>
        <v>0</v>
      </c>
    </row>
    <row r="11" spans="1:16">
      <c r="A11" s="412"/>
      <c r="B11" s="407" t="s">
        <v>369</v>
      </c>
      <c r="C11" s="417">
        <v>0</v>
      </c>
      <c r="D11" s="418">
        <v>0</v>
      </c>
      <c r="E11" s="419">
        <f t="shared" si="6"/>
        <v>0</v>
      </c>
      <c r="F11" s="401">
        <f t="shared" si="0"/>
        <v>0</v>
      </c>
      <c r="G11" s="411">
        <f t="shared" si="7"/>
        <v>0</v>
      </c>
      <c r="H11" s="411">
        <f t="shared" si="8"/>
        <v>0</v>
      </c>
      <c r="I11" s="401">
        <f t="shared" si="1"/>
        <v>0</v>
      </c>
      <c r="J11" s="411">
        <f t="shared" si="9"/>
        <v>0</v>
      </c>
      <c r="K11" s="401">
        <f t="shared" si="2"/>
        <v>0</v>
      </c>
      <c r="L11" s="403">
        <f t="shared" si="3"/>
        <v>0</v>
      </c>
      <c r="M11" s="401">
        <f t="shared" si="4"/>
        <v>0</v>
      </c>
      <c r="N11" s="401">
        <f t="shared" si="5"/>
        <v>0</v>
      </c>
      <c r="O11" s="411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7"/>
      <c r="B13" s="407" t="s">
        <v>369</v>
      </c>
      <c r="C13" s="417">
        <v>0</v>
      </c>
      <c r="D13" s="420">
        <v>0</v>
      </c>
      <c r="E13" s="402">
        <f t="shared" ref="E13:E21" si="11">+C13*D13</f>
        <v>0</v>
      </c>
      <c r="F13" s="401">
        <f t="shared" ref="F13" si="12">IF(B13="si",D13*$F$4,0)</f>
        <v>0</v>
      </c>
      <c r="G13" s="401">
        <f t="shared" ref="G13" si="13">(D13+F13)*$G$4</f>
        <v>0</v>
      </c>
      <c r="H13" s="401">
        <f t="shared" ref="H13" si="14">(D13+F13+G13)*$H$4</f>
        <v>0</v>
      </c>
      <c r="I13" s="401">
        <f t="shared" ref="I13" si="15">IF(B13="si",(D13+F13+G13+H13)*$I$4,0)</f>
        <v>0</v>
      </c>
      <c r="J13" s="401">
        <f t="shared" ref="J13" si="16">D13+F13+G13+H13+I13</f>
        <v>0</v>
      </c>
      <c r="K13" s="401">
        <f t="shared" ref="K13" si="17">J13*$K$4</f>
        <v>0</v>
      </c>
      <c r="L13" s="403">
        <f t="shared" ref="L13" si="18">(J13+K13)*C13</f>
        <v>0</v>
      </c>
      <c r="M13" s="401">
        <f t="shared" si="4"/>
        <v>0</v>
      </c>
      <c r="N13" s="401">
        <f t="shared" si="5"/>
        <v>0</v>
      </c>
      <c r="O13" s="401">
        <f t="shared" ref="O13" si="19">N13*C13</f>
        <v>0</v>
      </c>
    </row>
    <row r="14" spans="1:16">
      <c r="A14" s="410"/>
      <c r="B14" s="407" t="s">
        <v>369</v>
      </c>
      <c r="C14" s="417">
        <v>0</v>
      </c>
      <c r="D14" s="418">
        <v>0</v>
      </c>
      <c r="E14" s="402">
        <f t="shared" si="11"/>
        <v>0</v>
      </c>
      <c r="F14" s="401">
        <f t="shared" si="0"/>
        <v>0</v>
      </c>
      <c r="G14" s="401">
        <f t="shared" ref="G14:G17" si="20">(D14+F14)*$G$4</f>
        <v>0</v>
      </c>
      <c r="H14" s="401">
        <f t="shared" ref="H14:H17" si="21">(D14+F14+G14)*$H$4</f>
        <v>0</v>
      </c>
      <c r="I14" s="401">
        <f t="shared" si="1"/>
        <v>0</v>
      </c>
      <c r="J14" s="401">
        <f t="shared" ref="J14:J17" si="22">D14+F14+G14+H14+I14</f>
        <v>0</v>
      </c>
      <c r="K14" s="401">
        <f t="shared" si="2"/>
        <v>0</v>
      </c>
      <c r="L14" s="403">
        <f t="shared" si="3"/>
        <v>0</v>
      </c>
      <c r="M14" s="401">
        <f t="shared" si="4"/>
        <v>0</v>
      </c>
      <c r="N14" s="401">
        <f t="shared" si="5"/>
        <v>0</v>
      </c>
      <c r="O14" s="401">
        <f t="shared" ref="O14:O17" si="23">N14*C14</f>
        <v>0</v>
      </c>
    </row>
    <row r="15" spans="1:16">
      <c r="A15" s="413"/>
      <c r="B15" s="407" t="s">
        <v>369</v>
      </c>
      <c r="C15" s="417">
        <v>0</v>
      </c>
      <c r="D15" s="420">
        <v>0</v>
      </c>
      <c r="E15" s="402">
        <f t="shared" si="11"/>
        <v>0</v>
      </c>
      <c r="F15" s="401">
        <f t="shared" si="0"/>
        <v>0</v>
      </c>
      <c r="G15" s="401">
        <f t="shared" si="20"/>
        <v>0</v>
      </c>
      <c r="H15" s="401">
        <f t="shared" si="21"/>
        <v>0</v>
      </c>
      <c r="I15" s="401">
        <f t="shared" si="1"/>
        <v>0</v>
      </c>
      <c r="J15" s="401">
        <f t="shared" si="22"/>
        <v>0</v>
      </c>
      <c r="K15" s="401">
        <f t="shared" si="2"/>
        <v>0</v>
      </c>
      <c r="L15" s="403">
        <f t="shared" si="3"/>
        <v>0</v>
      </c>
      <c r="M15" s="401">
        <f t="shared" si="4"/>
        <v>0</v>
      </c>
      <c r="N15" s="401">
        <f t="shared" si="5"/>
        <v>0</v>
      </c>
      <c r="O15" s="401">
        <f t="shared" si="23"/>
        <v>0</v>
      </c>
    </row>
    <row r="16" spans="1:16">
      <c r="A16" s="413"/>
      <c r="B16" s="407" t="s">
        <v>369</v>
      </c>
      <c r="C16" s="417">
        <v>0</v>
      </c>
      <c r="D16" s="420">
        <v>0</v>
      </c>
      <c r="E16" s="402">
        <f t="shared" si="11"/>
        <v>0</v>
      </c>
      <c r="F16" s="401">
        <f t="shared" si="0"/>
        <v>0</v>
      </c>
      <c r="G16" s="401">
        <f t="shared" si="20"/>
        <v>0</v>
      </c>
      <c r="H16" s="401">
        <f t="shared" si="21"/>
        <v>0</v>
      </c>
      <c r="I16" s="401">
        <f t="shared" si="1"/>
        <v>0</v>
      </c>
      <c r="J16" s="401">
        <f t="shared" si="22"/>
        <v>0</v>
      </c>
      <c r="K16" s="401">
        <f t="shared" si="2"/>
        <v>0</v>
      </c>
      <c r="L16" s="403">
        <f t="shared" si="3"/>
        <v>0</v>
      </c>
      <c r="M16" s="401">
        <f t="shared" si="4"/>
        <v>0</v>
      </c>
      <c r="N16" s="401">
        <f t="shared" si="5"/>
        <v>0</v>
      </c>
      <c r="O16" s="401">
        <f t="shared" si="23"/>
        <v>0</v>
      </c>
    </row>
    <row r="17" spans="1:18">
      <c r="A17" s="413"/>
      <c r="B17" s="407" t="s">
        <v>369</v>
      </c>
      <c r="C17" s="417">
        <v>0</v>
      </c>
      <c r="D17" s="420">
        <v>0</v>
      </c>
      <c r="E17" s="402">
        <f t="shared" si="11"/>
        <v>0</v>
      </c>
      <c r="F17" s="401">
        <f t="shared" si="0"/>
        <v>0</v>
      </c>
      <c r="G17" s="401">
        <f t="shared" si="20"/>
        <v>0</v>
      </c>
      <c r="H17" s="401">
        <f t="shared" si="21"/>
        <v>0</v>
      </c>
      <c r="I17" s="401">
        <f t="shared" si="1"/>
        <v>0</v>
      </c>
      <c r="J17" s="401">
        <f t="shared" si="22"/>
        <v>0</v>
      </c>
      <c r="K17" s="401">
        <f t="shared" si="2"/>
        <v>0</v>
      </c>
      <c r="L17" s="403">
        <f t="shared" si="3"/>
        <v>0</v>
      </c>
      <c r="M17" s="401">
        <f t="shared" si="4"/>
        <v>0</v>
      </c>
      <c r="N17" s="401">
        <f t="shared" si="5"/>
        <v>0</v>
      </c>
      <c r="O17" s="401">
        <f t="shared" si="23"/>
        <v>0</v>
      </c>
    </row>
    <row r="18" spans="1:18">
      <c r="A18" s="413"/>
      <c r="B18" s="407" t="s">
        <v>369</v>
      </c>
      <c r="C18" s="417">
        <v>0</v>
      </c>
      <c r="D18" s="420">
        <v>0</v>
      </c>
      <c r="E18" s="402">
        <f t="shared" si="11"/>
        <v>0</v>
      </c>
      <c r="F18" s="401">
        <f t="shared" ref="F18:F20" si="24">IF(B18="si",D18*$F$4,0)</f>
        <v>0</v>
      </c>
      <c r="G18" s="401">
        <f t="shared" ref="G18:G20" si="25">(D18+F18)*$G$4</f>
        <v>0</v>
      </c>
      <c r="H18" s="401">
        <f t="shared" ref="H18:H20" si="26">(D18+F18+G18)*$H$4</f>
        <v>0</v>
      </c>
      <c r="I18" s="401">
        <f t="shared" ref="I18:I20" si="27">IF(B18="si",(D18+F18+G18+H18)*$I$4,0)</f>
        <v>0</v>
      </c>
      <c r="J18" s="401">
        <f t="shared" ref="J18:J20" si="28">D18+F18+G18+H18+I18</f>
        <v>0</v>
      </c>
      <c r="K18" s="401">
        <f t="shared" ref="K18:K20" si="29">J18*$K$4</f>
        <v>0</v>
      </c>
      <c r="L18" s="403">
        <f t="shared" ref="L18:L20" si="30">(J18+K18)*C18</f>
        <v>0</v>
      </c>
      <c r="M18" s="401">
        <f t="shared" si="4"/>
        <v>0</v>
      </c>
      <c r="N18" s="401">
        <f t="shared" si="5"/>
        <v>0</v>
      </c>
      <c r="O18" s="401">
        <f t="shared" ref="O18:O19" si="31">N18*C18</f>
        <v>0</v>
      </c>
    </row>
    <row r="19" spans="1:18">
      <c r="A19" s="413"/>
      <c r="B19" s="407" t="s">
        <v>369</v>
      </c>
      <c r="C19" s="417">
        <v>0</v>
      </c>
      <c r="D19" s="420">
        <v>0</v>
      </c>
      <c r="E19" s="402">
        <f t="shared" si="11"/>
        <v>0</v>
      </c>
      <c r="F19" s="401">
        <f t="shared" si="24"/>
        <v>0</v>
      </c>
      <c r="G19" s="401">
        <f t="shared" si="25"/>
        <v>0</v>
      </c>
      <c r="H19" s="401">
        <f t="shared" si="26"/>
        <v>0</v>
      </c>
      <c r="I19" s="401">
        <f t="shared" si="27"/>
        <v>0</v>
      </c>
      <c r="J19" s="401">
        <f t="shared" si="28"/>
        <v>0</v>
      </c>
      <c r="K19" s="401">
        <f t="shared" si="29"/>
        <v>0</v>
      </c>
      <c r="L19" s="403">
        <f t="shared" si="30"/>
        <v>0</v>
      </c>
      <c r="M19" s="401">
        <f t="shared" si="4"/>
        <v>0</v>
      </c>
      <c r="N19" s="401">
        <f t="shared" si="5"/>
        <v>0</v>
      </c>
      <c r="O19" s="401">
        <f t="shared" si="31"/>
        <v>0</v>
      </c>
    </row>
    <row r="20" spans="1:18">
      <c r="A20" s="413"/>
      <c r="B20" s="407" t="s">
        <v>369</v>
      </c>
      <c r="C20" s="417">
        <v>0</v>
      </c>
      <c r="D20" s="420">
        <v>0</v>
      </c>
      <c r="E20" s="402">
        <f t="shared" si="11"/>
        <v>0</v>
      </c>
      <c r="F20" s="401">
        <f t="shared" si="24"/>
        <v>0</v>
      </c>
      <c r="G20" s="401">
        <f t="shared" si="25"/>
        <v>0</v>
      </c>
      <c r="H20" s="401">
        <f t="shared" si="26"/>
        <v>0</v>
      </c>
      <c r="I20" s="401">
        <f t="shared" si="27"/>
        <v>0</v>
      </c>
      <c r="J20" s="401">
        <f t="shared" si="28"/>
        <v>0</v>
      </c>
      <c r="K20" s="401">
        <f t="shared" si="29"/>
        <v>0</v>
      </c>
      <c r="L20" s="403">
        <f t="shared" si="30"/>
        <v>0</v>
      </c>
      <c r="M20" s="401">
        <f t="shared" si="4"/>
        <v>0</v>
      </c>
      <c r="N20" s="401">
        <f t="shared" si="5"/>
        <v>0</v>
      </c>
      <c r="O20" s="401">
        <f>N20*C20</f>
        <v>0</v>
      </c>
    </row>
    <row r="21" spans="1:18">
      <c r="A21" s="413"/>
      <c r="B21" s="407" t="s">
        <v>369</v>
      </c>
      <c r="C21" s="417">
        <v>0</v>
      </c>
      <c r="D21" s="420">
        <v>0</v>
      </c>
      <c r="E21" s="402">
        <f t="shared" si="11"/>
        <v>0</v>
      </c>
      <c r="F21" s="401">
        <f t="shared" ref="F21" si="32">IF(B21="si",D21*$F$4,0)</f>
        <v>0</v>
      </c>
      <c r="G21" s="401">
        <f t="shared" ref="G21" si="33">(D21+F21)*$G$4</f>
        <v>0</v>
      </c>
      <c r="H21" s="401">
        <f t="shared" ref="H21" si="34">(D21+F21+G21)*$H$4</f>
        <v>0</v>
      </c>
      <c r="I21" s="401">
        <f t="shared" ref="I21" si="35">IF(B21="si",(D21+F21+G21+H21)*$I$4,0)</f>
        <v>0</v>
      </c>
      <c r="J21" s="401">
        <f t="shared" ref="J21" si="36">D21+F21+G21+H21+I21</f>
        <v>0</v>
      </c>
      <c r="K21" s="401">
        <f t="shared" ref="K21" si="37">J21*$K$4</f>
        <v>0</v>
      </c>
      <c r="L21" s="403">
        <f t="shared" ref="L21" si="38">(J21+K21)*C21</f>
        <v>0</v>
      </c>
      <c r="M21" s="401">
        <f t="shared" si="4"/>
        <v>0</v>
      </c>
      <c r="N21" s="401">
        <f t="shared" si="5"/>
        <v>0</v>
      </c>
      <c r="O21" s="401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4"/>
      <c r="B23" s="407" t="s">
        <v>369</v>
      </c>
      <c r="C23" s="417">
        <v>0</v>
      </c>
      <c r="D23" s="401">
        <v>0</v>
      </c>
      <c r="E23" s="402">
        <f>+C23*D23</f>
        <v>0</v>
      </c>
      <c r="F23" s="401">
        <f t="shared" si="0"/>
        <v>0</v>
      </c>
      <c r="G23" s="401">
        <f t="shared" ref="G23" si="40">(D23+F23)*$G$4</f>
        <v>0</v>
      </c>
      <c r="H23" s="401">
        <f t="shared" ref="H23" si="41">(D23+F23+G23)*$H$4</f>
        <v>0</v>
      </c>
      <c r="I23" s="401">
        <f t="shared" si="1"/>
        <v>0</v>
      </c>
      <c r="J23" s="401">
        <f t="shared" ref="J23" si="42">D23+F23+G23+H23+I23</f>
        <v>0</v>
      </c>
      <c r="K23" s="401">
        <f t="shared" si="2"/>
        <v>0</v>
      </c>
      <c r="L23" s="403">
        <f t="shared" si="3"/>
        <v>0</v>
      </c>
      <c r="M23" s="401">
        <f t="shared" si="4"/>
        <v>0</v>
      </c>
      <c r="N23" s="401">
        <f t="shared" si="5"/>
        <v>0</v>
      </c>
      <c r="O23" s="401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306"/>
    </row>
    <row r="2" spans="1:16">
      <c r="A2" s="1"/>
      <c r="B2" s="1"/>
      <c r="C2" s="1"/>
      <c r="D2" s="1"/>
      <c r="E2" s="2"/>
    </row>
    <row r="3" spans="1:16" ht="13">
      <c r="A3" s="569" t="s">
        <v>113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0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 t="s">
        <v>385</v>
      </c>
      <c r="B6" s="407" t="s">
        <v>375</v>
      </c>
      <c r="C6" s="421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(J6+K6)*C6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 t="s">
        <v>386</v>
      </c>
      <c r="B7" s="407" t="s">
        <v>375</v>
      </c>
      <c r="C7" s="421">
        <v>0</v>
      </c>
      <c r="D7" s="406">
        <v>0</v>
      </c>
      <c r="E7" s="409">
        <f>+D7*C7</f>
        <v>0</v>
      </c>
      <c r="F7" s="401">
        <f t="shared" ref="F7:F44" si="0">IF(B7="si",D7*$F$4,0)</f>
        <v>0</v>
      </c>
      <c r="G7" s="411">
        <f>(D7+F7)*$G$4</f>
        <v>0</v>
      </c>
      <c r="H7" s="401">
        <f t="shared" ref="H7:H44" si="1">(D7+F7+G7)*$H$4</f>
        <v>0</v>
      </c>
      <c r="I7" s="401">
        <f t="shared" ref="I7:I44" si="2">IF(B7="si",(D7+F7+G7+H7)*$I$4,0)</f>
        <v>0</v>
      </c>
      <c r="J7" s="411">
        <f>D7+F7+G7+H7+I7</f>
        <v>0</v>
      </c>
      <c r="K7" s="401">
        <f t="shared" ref="K7:K8" si="3">J7*$K$4</f>
        <v>0</v>
      </c>
      <c r="L7" s="403">
        <f t="shared" ref="L7:L8" si="4">(J7+K7)*C7</f>
        <v>0</v>
      </c>
      <c r="M7" s="401">
        <f t="shared" ref="M7:M8" si="5">(J7+K7)*$M$4/(1-$M$4)</f>
        <v>0</v>
      </c>
      <c r="N7" s="401">
        <f t="shared" ref="N7:N44" si="6">M7+J7+K7</f>
        <v>0</v>
      </c>
      <c r="O7" s="411">
        <f>N7*C7</f>
        <v>0</v>
      </c>
    </row>
    <row r="8" spans="1:16">
      <c r="A8" s="410" t="s">
        <v>387</v>
      </c>
      <c r="B8" s="407" t="s">
        <v>375</v>
      </c>
      <c r="C8" s="421">
        <v>0</v>
      </c>
      <c r="D8" s="406">
        <v>0</v>
      </c>
      <c r="E8" s="409">
        <f t="shared" ref="E8:E13" si="7">+D8*C8</f>
        <v>0</v>
      </c>
      <c r="F8" s="401">
        <f t="shared" si="0"/>
        <v>0</v>
      </c>
      <c r="G8" s="411">
        <f t="shared" ref="G8:G13" si="8">(D8+F8)*$G$4</f>
        <v>0</v>
      </c>
      <c r="H8" s="401">
        <f t="shared" si="1"/>
        <v>0</v>
      </c>
      <c r="I8" s="401">
        <f t="shared" si="2"/>
        <v>0</v>
      </c>
      <c r="J8" s="411">
        <f t="shared" ref="J8" si="9">D8+F8+G8+H8+I8</f>
        <v>0</v>
      </c>
      <c r="K8" s="401">
        <f t="shared" si="3"/>
        <v>0</v>
      </c>
      <c r="L8" s="403">
        <f t="shared" si="4"/>
        <v>0</v>
      </c>
      <c r="M8" s="401">
        <f t="shared" si="5"/>
        <v>0</v>
      </c>
      <c r="N8" s="401">
        <f t="shared" si="6"/>
        <v>0</v>
      </c>
      <c r="O8" s="411">
        <f t="shared" ref="O8" si="10">N8*C8</f>
        <v>0</v>
      </c>
    </row>
    <row r="9" spans="1:16">
      <c r="A9" s="410" t="s">
        <v>388</v>
      </c>
      <c r="B9" s="407" t="s">
        <v>375</v>
      </c>
      <c r="C9" s="421">
        <v>0</v>
      </c>
      <c r="D9" s="406">
        <v>0</v>
      </c>
      <c r="E9" s="409">
        <f t="shared" si="7"/>
        <v>0</v>
      </c>
      <c r="F9" s="401">
        <f t="shared" si="0"/>
        <v>0</v>
      </c>
      <c r="G9" s="411"/>
      <c r="H9" s="401">
        <f t="shared" si="1"/>
        <v>0</v>
      </c>
      <c r="I9" s="401">
        <f t="shared" si="2"/>
        <v>0</v>
      </c>
      <c r="J9" s="411">
        <f t="shared" ref="J9:J44" si="11">D9+F9+G9+H9+I9</f>
        <v>0</v>
      </c>
      <c r="K9" s="401">
        <f t="shared" ref="K9:K44" si="12">J9*$K$4</f>
        <v>0</v>
      </c>
      <c r="L9" s="403">
        <f t="shared" ref="L9:L44" si="13">(J9+K9)*C9</f>
        <v>0</v>
      </c>
      <c r="M9" s="401">
        <f t="shared" ref="M9:M44" si="14">(J9+K9)*$M$4/(1-$M$4)</f>
        <v>0</v>
      </c>
      <c r="N9" s="401">
        <f t="shared" si="6"/>
        <v>0</v>
      </c>
      <c r="O9" s="411">
        <f t="shared" ref="O9:O44" si="15">N9*C9</f>
        <v>0</v>
      </c>
    </row>
    <row r="10" spans="1:16">
      <c r="A10" s="410" t="s">
        <v>389</v>
      </c>
      <c r="B10" s="407" t="s">
        <v>375</v>
      </c>
      <c r="C10" s="421">
        <v>0</v>
      </c>
      <c r="D10" s="406">
        <v>0</v>
      </c>
      <c r="E10" s="409">
        <f t="shared" si="7"/>
        <v>0</v>
      </c>
      <c r="F10" s="401">
        <f t="shared" si="0"/>
        <v>0</v>
      </c>
      <c r="G10" s="411">
        <f t="shared" si="8"/>
        <v>0</v>
      </c>
      <c r="H10" s="401">
        <f t="shared" si="1"/>
        <v>0</v>
      </c>
      <c r="I10" s="401">
        <f t="shared" si="2"/>
        <v>0</v>
      </c>
      <c r="J10" s="411">
        <f t="shared" si="11"/>
        <v>0</v>
      </c>
      <c r="K10" s="401">
        <f t="shared" si="12"/>
        <v>0</v>
      </c>
      <c r="L10" s="403">
        <f t="shared" si="13"/>
        <v>0</v>
      </c>
      <c r="M10" s="401">
        <f t="shared" si="14"/>
        <v>0</v>
      </c>
      <c r="N10" s="401">
        <f t="shared" si="6"/>
        <v>0</v>
      </c>
      <c r="O10" s="411">
        <f t="shared" si="15"/>
        <v>0</v>
      </c>
    </row>
    <row r="11" spans="1:16">
      <c r="A11" s="410" t="s">
        <v>390</v>
      </c>
      <c r="B11" s="407" t="s">
        <v>375</v>
      </c>
      <c r="C11" s="421">
        <v>0</v>
      </c>
      <c r="D11" s="406">
        <v>0</v>
      </c>
      <c r="E11" s="409">
        <f t="shared" si="7"/>
        <v>0</v>
      </c>
      <c r="F11" s="401">
        <f t="shared" si="0"/>
        <v>0</v>
      </c>
      <c r="G11" s="411">
        <f t="shared" si="8"/>
        <v>0</v>
      </c>
      <c r="H11" s="401">
        <f t="shared" si="1"/>
        <v>0</v>
      </c>
      <c r="I11" s="401">
        <f t="shared" si="2"/>
        <v>0</v>
      </c>
      <c r="J11" s="411">
        <f t="shared" si="11"/>
        <v>0</v>
      </c>
      <c r="K11" s="401">
        <f t="shared" si="12"/>
        <v>0</v>
      </c>
      <c r="L11" s="403">
        <f t="shared" si="13"/>
        <v>0</v>
      </c>
      <c r="M11" s="401">
        <f t="shared" si="14"/>
        <v>0</v>
      </c>
      <c r="N11" s="401">
        <f t="shared" si="6"/>
        <v>0</v>
      </c>
      <c r="O11" s="411">
        <f t="shared" si="15"/>
        <v>0</v>
      </c>
    </row>
    <row r="12" spans="1:16">
      <c r="A12" s="412" t="s">
        <v>391</v>
      </c>
      <c r="B12" s="407" t="s">
        <v>375</v>
      </c>
      <c r="C12" s="421">
        <v>0</v>
      </c>
      <c r="D12" s="406">
        <v>0</v>
      </c>
      <c r="E12" s="409">
        <f t="shared" si="7"/>
        <v>0</v>
      </c>
      <c r="F12" s="401">
        <f t="shared" si="0"/>
        <v>0</v>
      </c>
      <c r="G12" s="411">
        <f t="shared" si="8"/>
        <v>0</v>
      </c>
      <c r="H12" s="401">
        <f t="shared" si="1"/>
        <v>0</v>
      </c>
      <c r="I12" s="401">
        <f t="shared" si="2"/>
        <v>0</v>
      </c>
      <c r="J12" s="411">
        <f t="shared" si="11"/>
        <v>0</v>
      </c>
      <c r="K12" s="401">
        <f t="shared" si="12"/>
        <v>0</v>
      </c>
      <c r="L12" s="403">
        <f t="shared" si="13"/>
        <v>0</v>
      </c>
      <c r="M12" s="401">
        <f t="shared" si="14"/>
        <v>0</v>
      </c>
      <c r="N12" s="401">
        <f t="shared" si="6"/>
        <v>0</v>
      </c>
      <c r="O12" s="411">
        <f t="shared" si="15"/>
        <v>0</v>
      </c>
    </row>
    <row r="13" spans="1:16">
      <c r="A13" s="412" t="s">
        <v>392</v>
      </c>
      <c r="B13" s="407" t="s">
        <v>375</v>
      </c>
      <c r="C13" s="421">
        <v>0</v>
      </c>
      <c r="D13" s="406">
        <v>0</v>
      </c>
      <c r="E13" s="409">
        <f t="shared" si="7"/>
        <v>0</v>
      </c>
      <c r="F13" s="401">
        <f t="shared" si="0"/>
        <v>0</v>
      </c>
      <c r="G13" s="411">
        <f t="shared" si="8"/>
        <v>0</v>
      </c>
      <c r="H13" s="401">
        <f t="shared" si="1"/>
        <v>0</v>
      </c>
      <c r="I13" s="401">
        <f t="shared" si="2"/>
        <v>0</v>
      </c>
      <c r="J13" s="411">
        <f t="shared" si="11"/>
        <v>0</v>
      </c>
      <c r="K13" s="401">
        <f t="shared" si="12"/>
        <v>0</v>
      </c>
      <c r="L13" s="403">
        <f t="shared" si="13"/>
        <v>0</v>
      </c>
      <c r="M13" s="401">
        <f t="shared" si="14"/>
        <v>0</v>
      </c>
      <c r="N13" s="401">
        <f t="shared" si="6"/>
        <v>0</v>
      </c>
      <c r="O13" s="411">
        <f t="shared" si="15"/>
        <v>0</v>
      </c>
    </row>
    <row r="14" spans="1:16">
      <c r="A14" s="407" t="s">
        <v>393</v>
      </c>
      <c r="B14" s="407" t="s">
        <v>375</v>
      </c>
      <c r="C14" s="421">
        <v>0</v>
      </c>
      <c r="D14" s="406">
        <v>0</v>
      </c>
      <c r="E14" s="409">
        <f>+D14*C14</f>
        <v>0</v>
      </c>
      <c r="F14" s="401">
        <f t="shared" si="0"/>
        <v>0</v>
      </c>
      <c r="G14" s="411">
        <f>(D14+F14)*$G$4</f>
        <v>0</v>
      </c>
      <c r="H14" s="401">
        <f t="shared" si="1"/>
        <v>0</v>
      </c>
      <c r="I14" s="401">
        <f t="shared" si="2"/>
        <v>0</v>
      </c>
      <c r="J14" s="411">
        <f t="shared" si="11"/>
        <v>0</v>
      </c>
      <c r="K14" s="401">
        <f t="shared" si="12"/>
        <v>0</v>
      </c>
      <c r="L14" s="403">
        <f t="shared" si="13"/>
        <v>0</v>
      </c>
      <c r="M14" s="401">
        <f t="shared" si="14"/>
        <v>0</v>
      </c>
      <c r="N14" s="401">
        <f t="shared" si="6"/>
        <v>0</v>
      </c>
      <c r="O14" s="411">
        <f t="shared" si="15"/>
        <v>0</v>
      </c>
    </row>
    <row r="15" spans="1:16">
      <c r="A15" s="410" t="s">
        <v>394</v>
      </c>
      <c r="B15" s="407" t="s">
        <v>375</v>
      </c>
      <c r="C15" s="421">
        <v>0</v>
      </c>
      <c r="D15" s="406">
        <v>0</v>
      </c>
      <c r="E15" s="409">
        <f t="shared" ref="E15:E22" si="16">+D15*C15</f>
        <v>0</v>
      </c>
      <c r="F15" s="401">
        <f t="shared" si="0"/>
        <v>0</v>
      </c>
      <c r="G15" s="411">
        <f t="shared" ref="G15:G22" si="17">(D15+F15)*$G$4</f>
        <v>0</v>
      </c>
      <c r="H15" s="401">
        <f t="shared" si="1"/>
        <v>0</v>
      </c>
      <c r="I15" s="401">
        <f t="shared" si="2"/>
        <v>0</v>
      </c>
      <c r="J15" s="411">
        <f t="shared" si="11"/>
        <v>0</v>
      </c>
      <c r="K15" s="401">
        <f t="shared" si="12"/>
        <v>0</v>
      </c>
      <c r="L15" s="403">
        <f t="shared" si="13"/>
        <v>0</v>
      </c>
      <c r="M15" s="401">
        <f t="shared" si="14"/>
        <v>0</v>
      </c>
      <c r="N15" s="401">
        <f t="shared" si="6"/>
        <v>0</v>
      </c>
      <c r="O15" s="411">
        <f t="shared" si="15"/>
        <v>0</v>
      </c>
    </row>
    <row r="16" spans="1:16">
      <c r="A16" s="410" t="s">
        <v>395</v>
      </c>
      <c r="B16" s="407" t="s">
        <v>375</v>
      </c>
      <c r="C16" s="421">
        <v>0</v>
      </c>
      <c r="D16" s="406">
        <v>0</v>
      </c>
      <c r="E16" s="409">
        <f t="shared" si="16"/>
        <v>0</v>
      </c>
      <c r="F16" s="401">
        <f t="shared" si="0"/>
        <v>0</v>
      </c>
      <c r="G16" s="411">
        <f t="shared" si="17"/>
        <v>0</v>
      </c>
      <c r="H16" s="401">
        <f t="shared" si="1"/>
        <v>0</v>
      </c>
      <c r="I16" s="401">
        <f t="shared" si="2"/>
        <v>0</v>
      </c>
      <c r="J16" s="411">
        <f t="shared" si="11"/>
        <v>0</v>
      </c>
      <c r="K16" s="401">
        <f t="shared" si="12"/>
        <v>0</v>
      </c>
      <c r="L16" s="403">
        <f t="shared" si="13"/>
        <v>0</v>
      </c>
      <c r="M16" s="401">
        <f t="shared" si="14"/>
        <v>0</v>
      </c>
      <c r="N16" s="401">
        <f t="shared" si="6"/>
        <v>0</v>
      </c>
      <c r="O16" s="411">
        <f t="shared" si="15"/>
        <v>0</v>
      </c>
    </row>
    <row r="17" spans="1:16">
      <c r="A17" s="410" t="s">
        <v>396</v>
      </c>
      <c r="B17" s="407" t="s">
        <v>375</v>
      </c>
      <c r="C17" s="421">
        <v>0</v>
      </c>
      <c r="D17" s="406">
        <v>0</v>
      </c>
      <c r="E17" s="409">
        <f t="shared" si="16"/>
        <v>0</v>
      </c>
      <c r="F17" s="401">
        <f t="shared" si="0"/>
        <v>0</v>
      </c>
      <c r="G17" s="411">
        <f t="shared" si="17"/>
        <v>0</v>
      </c>
      <c r="H17" s="401">
        <f t="shared" si="1"/>
        <v>0</v>
      </c>
      <c r="I17" s="401">
        <f t="shared" si="2"/>
        <v>0</v>
      </c>
      <c r="J17" s="411">
        <f t="shared" si="11"/>
        <v>0</v>
      </c>
      <c r="K17" s="401">
        <f t="shared" si="12"/>
        <v>0</v>
      </c>
      <c r="L17" s="403">
        <f t="shared" si="13"/>
        <v>0</v>
      </c>
      <c r="M17" s="401">
        <f t="shared" si="14"/>
        <v>0</v>
      </c>
      <c r="N17" s="401">
        <f t="shared" si="6"/>
        <v>0</v>
      </c>
      <c r="O17" s="411">
        <f t="shared" si="15"/>
        <v>0</v>
      </c>
    </row>
    <row r="18" spans="1:16">
      <c r="A18" s="412" t="s">
        <v>397</v>
      </c>
      <c r="B18" s="407" t="s">
        <v>375</v>
      </c>
      <c r="C18" s="421">
        <v>0</v>
      </c>
      <c r="D18" s="406">
        <v>0</v>
      </c>
      <c r="E18" s="409">
        <f t="shared" si="16"/>
        <v>0</v>
      </c>
      <c r="F18" s="401">
        <f t="shared" si="0"/>
        <v>0</v>
      </c>
      <c r="G18" s="411">
        <f t="shared" si="17"/>
        <v>0</v>
      </c>
      <c r="H18" s="401">
        <f t="shared" si="1"/>
        <v>0</v>
      </c>
      <c r="I18" s="401">
        <f t="shared" si="2"/>
        <v>0</v>
      </c>
      <c r="J18" s="411">
        <f t="shared" si="11"/>
        <v>0</v>
      </c>
      <c r="K18" s="401">
        <f t="shared" si="12"/>
        <v>0</v>
      </c>
      <c r="L18" s="403">
        <f t="shared" si="13"/>
        <v>0</v>
      </c>
      <c r="M18" s="401">
        <f t="shared" si="14"/>
        <v>0</v>
      </c>
      <c r="N18" s="401">
        <f t="shared" si="6"/>
        <v>0</v>
      </c>
      <c r="O18" s="411">
        <f t="shared" si="15"/>
        <v>0</v>
      </c>
    </row>
    <row r="19" spans="1:16">
      <c r="A19" s="412" t="s">
        <v>398</v>
      </c>
      <c r="B19" s="407" t="s">
        <v>375</v>
      </c>
      <c r="C19" s="421">
        <v>0</v>
      </c>
      <c r="D19" s="406">
        <v>0</v>
      </c>
      <c r="E19" s="409">
        <f t="shared" si="16"/>
        <v>0</v>
      </c>
      <c r="F19" s="401">
        <f t="shared" si="0"/>
        <v>0</v>
      </c>
      <c r="G19" s="411">
        <f t="shared" si="17"/>
        <v>0</v>
      </c>
      <c r="H19" s="401">
        <f t="shared" si="1"/>
        <v>0</v>
      </c>
      <c r="I19" s="401">
        <f t="shared" si="2"/>
        <v>0</v>
      </c>
      <c r="J19" s="411">
        <f t="shared" si="11"/>
        <v>0</v>
      </c>
      <c r="K19" s="401">
        <f t="shared" si="12"/>
        <v>0</v>
      </c>
      <c r="L19" s="403">
        <f t="shared" si="13"/>
        <v>0</v>
      </c>
      <c r="M19" s="401">
        <f t="shared" si="14"/>
        <v>0</v>
      </c>
      <c r="N19" s="401">
        <f t="shared" si="6"/>
        <v>0</v>
      </c>
      <c r="O19" s="411">
        <f t="shared" si="15"/>
        <v>0</v>
      </c>
    </row>
    <row r="20" spans="1:16">
      <c r="A20" s="410" t="s">
        <v>399</v>
      </c>
      <c r="B20" s="407" t="s">
        <v>375</v>
      </c>
      <c r="C20" s="421">
        <v>0</v>
      </c>
      <c r="D20" s="406">
        <v>0</v>
      </c>
      <c r="E20" s="409">
        <f t="shared" si="16"/>
        <v>0</v>
      </c>
      <c r="F20" s="401">
        <f t="shared" si="0"/>
        <v>0</v>
      </c>
      <c r="G20" s="411">
        <f t="shared" si="17"/>
        <v>0</v>
      </c>
      <c r="H20" s="401">
        <f t="shared" si="1"/>
        <v>0</v>
      </c>
      <c r="I20" s="401">
        <f t="shared" si="2"/>
        <v>0</v>
      </c>
      <c r="J20" s="411">
        <f t="shared" si="11"/>
        <v>0</v>
      </c>
      <c r="K20" s="401">
        <f t="shared" si="12"/>
        <v>0</v>
      </c>
      <c r="L20" s="403">
        <f t="shared" si="13"/>
        <v>0</v>
      </c>
      <c r="M20" s="401">
        <f t="shared" si="14"/>
        <v>0</v>
      </c>
      <c r="N20" s="401">
        <f t="shared" si="6"/>
        <v>0</v>
      </c>
      <c r="O20" s="411">
        <f t="shared" si="15"/>
        <v>0</v>
      </c>
    </row>
    <row r="21" spans="1:16">
      <c r="A21" s="412" t="s">
        <v>400</v>
      </c>
      <c r="B21" s="407" t="s">
        <v>375</v>
      </c>
      <c r="C21" s="421">
        <v>0</v>
      </c>
      <c r="D21" s="406">
        <v>0</v>
      </c>
      <c r="E21" s="409">
        <f t="shared" si="16"/>
        <v>0</v>
      </c>
      <c r="F21" s="401">
        <f t="shared" si="0"/>
        <v>0</v>
      </c>
      <c r="G21" s="411">
        <f t="shared" si="17"/>
        <v>0</v>
      </c>
      <c r="H21" s="401">
        <f t="shared" si="1"/>
        <v>0</v>
      </c>
      <c r="I21" s="401">
        <f t="shared" si="2"/>
        <v>0</v>
      </c>
      <c r="J21" s="411">
        <f t="shared" si="11"/>
        <v>0</v>
      </c>
      <c r="K21" s="401">
        <f t="shared" si="12"/>
        <v>0</v>
      </c>
      <c r="L21" s="403">
        <f t="shared" si="13"/>
        <v>0</v>
      </c>
      <c r="M21" s="401">
        <f t="shared" si="14"/>
        <v>0</v>
      </c>
      <c r="N21" s="401">
        <f t="shared" si="6"/>
        <v>0</v>
      </c>
      <c r="O21" s="411">
        <f t="shared" si="15"/>
        <v>0</v>
      </c>
    </row>
    <row r="22" spans="1:16">
      <c r="A22" s="412" t="s">
        <v>401</v>
      </c>
      <c r="B22" s="407" t="s">
        <v>375</v>
      </c>
      <c r="C22" s="421">
        <v>0</v>
      </c>
      <c r="D22" s="406">
        <v>0</v>
      </c>
      <c r="E22" s="409">
        <f t="shared" si="16"/>
        <v>0</v>
      </c>
      <c r="F22" s="401">
        <f t="shared" si="0"/>
        <v>0</v>
      </c>
      <c r="G22" s="411">
        <f t="shared" si="17"/>
        <v>0</v>
      </c>
      <c r="H22" s="401">
        <f t="shared" si="1"/>
        <v>0</v>
      </c>
      <c r="I22" s="401">
        <f t="shared" si="2"/>
        <v>0</v>
      </c>
      <c r="J22" s="411">
        <f t="shared" si="11"/>
        <v>0</v>
      </c>
      <c r="K22" s="401">
        <f t="shared" si="12"/>
        <v>0</v>
      </c>
      <c r="L22" s="403">
        <f t="shared" si="13"/>
        <v>0</v>
      </c>
      <c r="M22" s="401">
        <f t="shared" si="14"/>
        <v>0</v>
      </c>
      <c r="N22" s="401">
        <f t="shared" si="6"/>
        <v>0</v>
      </c>
      <c r="O22" s="411">
        <f t="shared" si="15"/>
        <v>0</v>
      </c>
    </row>
    <row r="23" spans="1:16">
      <c r="A23" s="407" t="s">
        <v>402</v>
      </c>
      <c r="B23" s="407" t="s">
        <v>375</v>
      </c>
      <c r="C23" s="421">
        <v>0</v>
      </c>
      <c r="D23" s="406">
        <v>0</v>
      </c>
      <c r="E23" s="409">
        <f>+D23*C23</f>
        <v>0</v>
      </c>
      <c r="F23" s="401">
        <f t="shared" si="0"/>
        <v>0</v>
      </c>
      <c r="G23" s="411">
        <f>(D23+F23)*$G$4</f>
        <v>0</v>
      </c>
      <c r="H23" s="401">
        <f t="shared" si="1"/>
        <v>0</v>
      </c>
      <c r="I23" s="401">
        <f t="shared" si="2"/>
        <v>0</v>
      </c>
      <c r="J23" s="411">
        <f t="shared" si="11"/>
        <v>0</v>
      </c>
      <c r="K23" s="401">
        <f t="shared" si="12"/>
        <v>0</v>
      </c>
      <c r="L23" s="403">
        <f t="shared" si="13"/>
        <v>0</v>
      </c>
      <c r="M23" s="401">
        <f t="shared" si="14"/>
        <v>0</v>
      </c>
      <c r="N23" s="401">
        <f t="shared" si="6"/>
        <v>0</v>
      </c>
      <c r="O23" s="411">
        <f t="shared" si="15"/>
        <v>0</v>
      </c>
    </row>
    <row r="24" spans="1:16">
      <c r="A24" s="412" t="s">
        <v>403</v>
      </c>
      <c r="B24" s="407" t="s">
        <v>375</v>
      </c>
      <c r="C24" s="421">
        <v>0</v>
      </c>
      <c r="D24" s="406">
        <v>0</v>
      </c>
      <c r="E24" s="409">
        <f t="shared" ref="E24:E28" si="18">+D24*C24</f>
        <v>0</v>
      </c>
      <c r="F24" s="401">
        <f t="shared" si="0"/>
        <v>0</v>
      </c>
      <c r="G24" s="411">
        <f t="shared" ref="G24:G28" si="19">(D24+F24)*$G$4</f>
        <v>0</v>
      </c>
      <c r="H24" s="401">
        <f t="shared" si="1"/>
        <v>0</v>
      </c>
      <c r="I24" s="401">
        <f t="shared" si="2"/>
        <v>0</v>
      </c>
      <c r="J24" s="411">
        <f t="shared" si="11"/>
        <v>0</v>
      </c>
      <c r="K24" s="401">
        <f t="shared" si="12"/>
        <v>0</v>
      </c>
      <c r="L24" s="403">
        <f t="shared" si="13"/>
        <v>0</v>
      </c>
      <c r="M24" s="401">
        <f t="shared" si="14"/>
        <v>0</v>
      </c>
      <c r="N24" s="401">
        <f t="shared" si="6"/>
        <v>0</v>
      </c>
      <c r="O24" s="411">
        <f t="shared" si="15"/>
        <v>0</v>
      </c>
    </row>
    <row r="25" spans="1:16">
      <c r="A25" s="412" t="s">
        <v>404</v>
      </c>
      <c r="B25" s="407" t="s">
        <v>375</v>
      </c>
      <c r="C25" s="421">
        <v>0</v>
      </c>
      <c r="D25" s="406">
        <v>0</v>
      </c>
      <c r="E25" s="409">
        <f t="shared" si="18"/>
        <v>0</v>
      </c>
      <c r="F25" s="401">
        <f t="shared" si="0"/>
        <v>0</v>
      </c>
      <c r="G25" s="411">
        <f t="shared" si="19"/>
        <v>0</v>
      </c>
      <c r="H25" s="401">
        <f t="shared" si="1"/>
        <v>0</v>
      </c>
      <c r="I25" s="401">
        <f t="shared" si="2"/>
        <v>0</v>
      </c>
      <c r="J25" s="411">
        <f t="shared" si="11"/>
        <v>0</v>
      </c>
      <c r="K25" s="401">
        <f t="shared" si="12"/>
        <v>0</v>
      </c>
      <c r="L25" s="403">
        <f t="shared" si="13"/>
        <v>0</v>
      </c>
      <c r="M25" s="401">
        <f t="shared" si="14"/>
        <v>0</v>
      </c>
      <c r="N25" s="401">
        <f t="shared" si="6"/>
        <v>0</v>
      </c>
      <c r="O25" s="411">
        <f t="shared" si="15"/>
        <v>0</v>
      </c>
    </row>
    <row r="26" spans="1:16">
      <c r="A26" s="412" t="s">
        <v>405</v>
      </c>
      <c r="B26" s="407" t="s">
        <v>375</v>
      </c>
      <c r="C26" s="421">
        <v>0</v>
      </c>
      <c r="D26" s="406">
        <v>0</v>
      </c>
      <c r="E26" s="409">
        <f t="shared" si="18"/>
        <v>0</v>
      </c>
      <c r="F26" s="401">
        <f t="shared" si="0"/>
        <v>0</v>
      </c>
      <c r="G26" s="411">
        <f t="shared" si="19"/>
        <v>0</v>
      </c>
      <c r="H26" s="401">
        <f t="shared" si="1"/>
        <v>0</v>
      </c>
      <c r="I26" s="401">
        <f t="shared" si="2"/>
        <v>0</v>
      </c>
      <c r="J26" s="411">
        <f t="shared" si="11"/>
        <v>0</v>
      </c>
      <c r="K26" s="401">
        <f t="shared" si="12"/>
        <v>0</v>
      </c>
      <c r="L26" s="403">
        <f t="shared" si="13"/>
        <v>0</v>
      </c>
      <c r="M26" s="401">
        <f t="shared" si="14"/>
        <v>0</v>
      </c>
      <c r="N26" s="401">
        <f t="shared" si="6"/>
        <v>0</v>
      </c>
      <c r="O26" s="411">
        <f t="shared" si="15"/>
        <v>0</v>
      </c>
    </row>
    <row r="27" spans="1:16">
      <c r="A27" s="412" t="s">
        <v>406</v>
      </c>
      <c r="B27" s="407" t="s">
        <v>375</v>
      </c>
      <c r="C27" s="421">
        <v>0</v>
      </c>
      <c r="D27" s="406">
        <v>0</v>
      </c>
      <c r="E27" s="409">
        <f t="shared" si="18"/>
        <v>0</v>
      </c>
      <c r="F27" s="401">
        <f t="shared" si="0"/>
        <v>0</v>
      </c>
      <c r="G27" s="411">
        <f t="shared" si="19"/>
        <v>0</v>
      </c>
      <c r="H27" s="401">
        <f t="shared" si="1"/>
        <v>0</v>
      </c>
      <c r="I27" s="401">
        <f t="shared" si="2"/>
        <v>0</v>
      </c>
      <c r="J27" s="411">
        <f t="shared" si="11"/>
        <v>0</v>
      </c>
      <c r="K27" s="401">
        <f t="shared" si="12"/>
        <v>0</v>
      </c>
      <c r="L27" s="403">
        <f t="shared" si="13"/>
        <v>0</v>
      </c>
      <c r="M27" s="401">
        <f t="shared" si="14"/>
        <v>0</v>
      </c>
      <c r="N27" s="401">
        <f t="shared" si="6"/>
        <v>0</v>
      </c>
      <c r="O27" s="411">
        <f t="shared" si="15"/>
        <v>0</v>
      </c>
    </row>
    <row r="28" spans="1:16">
      <c r="A28" s="412" t="s">
        <v>407</v>
      </c>
      <c r="B28" s="407" t="s">
        <v>375</v>
      </c>
      <c r="C28" s="421">
        <v>0</v>
      </c>
      <c r="D28" s="406">
        <v>0</v>
      </c>
      <c r="E28" s="409">
        <f t="shared" si="18"/>
        <v>0</v>
      </c>
      <c r="F28" s="401">
        <f t="shared" si="0"/>
        <v>0</v>
      </c>
      <c r="G28" s="411">
        <f t="shared" si="19"/>
        <v>0</v>
      </c>
      <c r="H28" s="401">
        <f t="shared" si="1"/>
        <v>0</v>
      </c>
      <c r="I28" s="401">
        <f t="shared" si="2"/>
        <v>0</v>
      </c>
      <c r="J28" s="411">
        <f t="shared" si="11"/>
        <v>0</v>
      </c>
      <c r="K28" s="401">
        <f t="shared" si="12"/>
        <v>0</v>
      </c>
      <c r="L28" s="403">
        <f t="shared" si="13"/>
        <v>0</v>
      </c>
      <c r="M28" s="401">
        <f t="shared" si="14"/>
        <v>0</v>
      </c>
      <c r="N28" s="401">
        <f t="shared" si="6"/>
        <v>0</v>
      </c>
      <c r="O28" s="411">
        <f t="shared" si="15"/>
        <v>0</v>
      </c>
    </row>
    <row r="29" spans="1:16">
      <c r="A29" s="412" t="s">
        <v>408</v>
      </c>
      <c r="B29" s="407" t="s">
        <v>375</v>
      </c>
      <c r="C29" s="421">
        <v>0</v>
      </c>
      <c r="D29" s="406">
        <v>0</v>
      </c>
      <c r="E29" s="409">
        <f>+D29*C29</f>
        <v>0</v>
      </c>
      <c r="F29" s="401">
        <f t="shared" si="0"/>
        <v>0</v>
      </c>
      <c r="G29" s="401">
        <v>0</v>
      </c>
      <c r="H29" s="401">
        <f t="shared" si="1"/>
        <v>0</v>
      </c>
      <c r="I29" s="401">
        <f t="shared" si="2"/>
        <v>0</v>
      </c>
      <c r="J29" s="411">
        <f t="shared" si="11"/>
        <v>0</v>
      </c>
      <c r="K29" s="401">
        <f t="shared" si="12"/>
        <v>0</v>
      </c>
      <c r="L29" s="403">
        <f t="shared" si="13"/>
        <v>0</v>
      </c>
      <c r="M29" s="401">
        <f t="shared" si="14"/>
        <v>0</v>
      </c>
      <c r="N29" s="401">
        <f t="shared" si="6"/>
        <v>0</v>
      </c>
      <c r="O29" s="411">
        <f t="shared" si="15"/>
        <v>0</v>
      </c>
      <c r="P29" s="10"/>
    </row>
    <row r="30" spans="1:16">
      <c r="A30" s="412" t="s">
        <v>409</v>
      </c>
      <c r="B30" s="407" t="s">
        <v>375</v>
      </c>
      <c r="C30" s="421">
        <v>0</v>
      </c>
      <c r="D30" s="406">
        <v>0</v>
      </c>
      <c r="E30" s="409">
        <f>+D30*C30</f>
        <v>0</v>
      </c>
      <c r="F30" s="401">
        <f t="shared" si="0"/>
        <v>0</v>
      </c>
      <c r="G30" s="411">
        <f>(D30+F30)*$G$4</f>
        <v>0</v>
      </c>
      <c r="H30" s="401">
        <f t="shared" si="1"/>
        <v>0</v>
      </c>
      <c r="I30" s="401">
        <f t="shared" si="2"/>
        <v>0</v>
      </c>
      <c r="J30" s="411">
        <f t="shared" si="11"/>
        <v>0</v>
      </c>
      <c r="K30" s="401">
        <f t="shared" si="12"/>
        <v>0</v>
      </c>
      <c r="L30" s="403">
        <f t="shared" si="13"/>
        <v>0</v>
      </c>
      <c r="M30" s="401">
        <f t="shared" si="14"/>
        <v>0</v>
      </c>
      <c r="N30" s="401">
        <f t="shared" si="6"/>
        <v>0</v>
      </c>
      <c r="O30" s="411">
        <f t="shared" si="15"/>
        <v>0</v>
      </c>
    </row>
    <row r="31" spans="1:16">
      <c r="A31" s="412" t="s">
        <v>410</v>
      </c>
      <c r="B31" s="407" t="s">
        <v>375</v>
      </c>
      <c r="C31" s="421">
        <v>0</v>
      </c>
      <c r="D31" s="406">
        <v>0</v>
      </c>
      <c r="E31" s="409">
        <f t="shared" ref="E31:E33" si="20">+D31*C31</f>
        <v>0</v>
      </c>
      <c r="F31" s="401">
        <f t="shared" si="0"/>
        <v>0</v>
      </c>
      <c r="G31" s="411">
        <f t="shared" ref="G31:G33" si="21">(D31+F31)*$G$4</f>
        <v>0</v>
      </c>
      <c r="H31" s="401">
        <f t="shared" si="1"/>
        <v>0</v>
      </c>
      <c r="I31" s="401">
        <f t="shared" si="2"/>
        <v>0</v>
      </c>
      <c r="J31" s="411">
        <f t="shared" si="11"/>
        <v>0</v>
      </c>
      <c r="K31" s="401">
        <f t="shared" si="12"/>
        <v>0</v>
      </c>
      <c r="L31" s="403">
        <f t="shared" si="13"/>
        <v>0</v>
      </c>
      <c r="M31" s="401">
        <f t="shared" si="14"/>
        <v>0</v>
      </c>
      <c r="N31" s="401">
        <f t="shared" si="6"/>
        <v>0</v>
      </c>
      <c r="O31" s="411">
        <f t="shared" si="15"/>
        <v>0</v>
      </c>
    </row>
    <row r="32" spans="1:16">
      <c r="A32" s="412" t="s">
        <v>411</v>
      </c>
      <c r="B32" s="407" t="s">
        <v>375</v>
      </c>
      <c r="C32" s="421">
        <v>0</v>
      </c>
      <c r="D32" s="406">
        <v>0</v>
      </c>
      <c r="E32" s="409">
        <f t="shared" si="20"/>
        <v>0</v>
      </c>
      <c r="F32" s="401">
        <f t="shared" si="0"/>
        <v>0</v>
      </c>
      <c r="G32" s="411">
        <f t="shared" si="21"/>
        <v>0</v>
      </c>
      <c r="H32" s="401">
        <f t="shared" si="1"/>
        <v>0</v>
      </c>
      <c r="I32" s="401">
        <f t="shared" si="2"/>
        <v>0</v>
      </c>
      <c r="J32" s="411">
        <f t="shared" si="11"/>
        <v>0</v>
      </c>
      <c r="K32" s="401">
        <f t="shared" si="12"/>
        <v>0</v>
      </c>
      <c r="L32" s="403">
        <f t="shared" si="13"/>
        <v>0</v>
      </c>
      <c r="M32" s="401">
        <f t="shared" si="14"/>
        <v>0</v>
      </c>
      <c r="N32" s="401">
        <f t="shared" si="6"/>
        <v>0</v>
      </c>
      <c r="O32" s="411">
        <f t="shared" si="15"/>
        <v>0</v>
      </c>
    </row>
    <row r="33" spans="1:18">
      <c r="A33" s="412"/>
      <c r="B33" s="407" t="s">
        <v>375</v>
      </c>
      <c r="C33" s="421">
        <v>0</v>
      </c>
      <c r="D33" s="406">
        <v>0</v>
      </c>
      <c r="E33" s="409">
        <f t="shared" si="20"/>
        <v>0</v>
      </c>
      <c r="F33" s="401">
        <f t="shared" si="0"/>
        <v>0</v>
      </c>
      <c r="G33" s="411">
        <f t="shared" si="21"/>
        <v>0</v>
      </c>
      <c r="H33" s="401">
        <f t="shared" si="1"/>
        <v>0</v>
      </c>
      <c r="I33" s="401">
        <f t="shared" si="2"/>
        <v>0</v>
      </c>
      <c r="J33" s="411">
        <f t="shared" si="11"/>
        <v>0</v>
      </c>
      <c r="K33" s="401">
        <f t="shared" si="12"/>
        <v>0</v>
      </c>
      <c r="L33" s="403">
        <f t="shared" si="13"/>
        <v>0</v>
      </c>
      <c r="M33" s="401">
        <f t="shared" si="14"/>
        <v>0</v>
      </c>
      <c r="N33" s="401">
        <f t="shared" si="6"/>
        <v>0</v>
      </c>
      <c r="O33" s="411">
        <f t="shared" si="15"/>
        <v>0</v>
      </c>
    </row>
    <row r="34" spans="1:18">
      <c r="A34" s="410"/>
      <c r="B34" s="407" t="s">
        <v>375</v>
      </c>
      <c r="C34" s="421">
        <v>0</v>
      </c>
      <c r="D34" s="406">
        <v>0</v>
      </c>
      <c r="E34" s="409">
        <f t="shared" ref="E34:E35" si="22">+D34*C34</f>
        <v>0</v>
      </c>
      <c r="F34" s="401">
        <f t="shared" si="0"/>
        <v>0</v>
      </c>
      <c r="G34" s="411">
        <f t="shared" ref="G34:G36" si="23">(D34+F34)*$G$4</f>
        <v>0</v>
      </c>
      <c r="H34" s="401">
        <f t="shared" si="1"/>
        <v>0</v>
      </c>
      <c r="I34" s="401">
        <f t="shared" si="2"/>
        <v>0</v>
      </c>
      <c r="J34" s="411">
        <f t="shared" si="11"/>
        <v>0</v>
      </c>
      <c r="K34" s="401">
        <f t="shared" si="12"/>
        <v>0</v>
      </c>
      <c r="L34" s="403">
        <f t="shared" si="13"/>
        <v>0</v>
      </c>
      <c r="M34" s="401">
        <f t="shared" si="14"/>
        <v>0</v>
      </c>
      <c r="N34" s="401">
        <f t="shared" si="6"/>
        <v>0</v>
      </c>
      <c r="O34" s="411">
        <f t="shared" si="15"/>
        <v>0</v>
      </c>
    </row>
    <row r="35" spans="1:18">
      <c r="A35" s="412"/>
      <c r="B35" s="407" t="s">
        <v>375</v>
      </c>
      <c r="C35" s="421">
        <v>0</v>
      </c>
      <c r="D35" s="406">
        <v>0</v>
      </c>
      <c r="E35" s="409">
        <f t="shared" si="22"/>
        <v>0</v>
      </c>
      <c r="F35" s="401">
        <f t="shared" si="0"/>
        <v>0</v>
      </c>
      <c r="G35" s="411">
        <f t="shared" si="23"/>
        <v>0</v>
      </c>
      <c r="H35" s="401">
        <f t="shared" si="1"/>
        <v>0</v>
      </c>
      <c r="I35" s="401">
        <f t="shared" si="2"/>
        <v>0</v>
      </c>
      <c r="J35" s="411">
        <f t="shared" si="11"/>
        <v>0</v>
      </c>
      <c r="K35" s="401">
        <f t="shared" si="12"/>
        <v>0</v>
      </c>
      <c r="L35" s="403">
        <f t="shared" si="13"/>
        <v>0</v>
      </c>
      <c r="M35" s="401">
        <f t="shared" si="14"/>
        <v>0</v>
      </c>
      <c r="N35" s="401">
        <f t="shared" si="6"/>
        <v>0</v>
      </c>
      <c r="O35" s="411">
        <f t="shared" si="15"/>
        <v>0</v>
      </c>
    </row>
    <row r="36" spans="1:18">
      <c r="A36" s="412"/>
      <c r="B36" s="407" t="s">
        <v>375</v>
      </c>
      <c r="C36" s="421">
        <v>0</v>
      </c>
      <c r="D36" s="406">
        <v>0</v>
      </c>
      <c r="E36" s="409"/>
      <c r="F36" s="401">
        <f t="shared" si="0"/>
        <v>0</v>
      </c>
      <c r="G36" s="411">
        <f t="shared" si="23"/>
        <v>0</v>
      </c>
      <c r="H36" s="401">
        <f t="shared" si="1"/>
        <v>0</v>
      </c>
      <c r="I36" s="401">
        <f t="shared" si="2"/>
        <v>0</v>
      </c>
      <c r="J36" s="411">
        <f t="shared" si="11"/>
        <v>0</v>
      </c>
      <c r="K36" s="401">
        <f t="shared" si="12"/>
        <v>0</v>
      </c>
      <c r="L36" s="403">
        <f t="shared" si="13"/>
        <v>0</v>
      </c>
      <c r="M36" s="401">
        <f t="shared" si="14"/>
        <v>0</v>
      </c>
      <c r="N36" s="401">
        <f t="shared" si="6"/>
        <v>0</v>
      </c>
      <c r="O36" s="411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7"/>
      <c r="B38" s="407" t="s">
        <v>375</v>
      </c>
      <c r="C38" s="421">
        <v>0</v>
      </c>
      <c r="D38" s="406">
        <v>0</v>
      </c>
      <c r="E38" s="402">
        <f>+C38*D38*(1-C47)</f>
        <v>0</v>
      </c>
      <c r="F38" s="401">
        <f t="shared" si="0"/>
        <v>0</v>
      </c>
      <c r="G38" s="401">
        <f t="shared" ref="G38:G42" si="24">(D38+F38)*$G$4</f>
        <v>0</v>
      </c>
      <c r="H38" s="401">
        <f t="shared" si="1"/>
        <v>0</v>
      </c>
      <c r="I38" s="401">
        <f t="shared" si="2"/>
        <v>0</v>
      </c>
      <c r="J38" s="411">
        <f t="shared" si="11"/>
        <v>0</v>
      </c>
      <c r="K38" s="401">
        <f t="shared" si="12"/>
        <v>0</v>
      </c>
      <c r="L38" s="403">
        <f t="shared" si="13"/>
        <v>0</v>
      </c>
      <c r="M38" s="401">
        <f t="shared" si="14"/>
        <v>0</v>
      </c>
      <c r="N38" s="401">
        <f t="shared" si="6"/>
        <v>0</v>
      </c>
      <c r="O38" s="411">
        <f t="shared" si="15"/>
        <v>0</v>
      </c>
    </row>
    <row r="39" spans="1:18">
      <c r="A39" s="413"/>
      <c r="B39" s="407" t="s">
        <v>375</v>
      </c>
      <c r="C39" s="421">
        <v>0</v>
      </c>
      <c r="D39" s="406">
        <v>0</v>
      </c>
      <c r="E39" s="402">
        <f>+C39*D39</f>
        <v>0</v>
      </c>
      <c r="F39" s="401">
        <f t="shared" si="0"/>
        <v>0</v>
      </c>
      <c r="G39" s="401">
        <f t="shared" si="24"/>
        <v>0</v>
      </c>
      <c r="H39" s="401">
        <f t="shared" si="1"/>
        <v>0</v>
      </c>
      <c r="I39" s="401">
        <f t="shared" si="2"/>
        <v>0</v>
      </c>
      <c r="J39" s="411">
        <f t="shared" si="11"/>
        <v>0</v>
      </c>
      <c r="K39" s="401">
        <f t="shared" si="12"/>
        <v>0</v>
      </c>
      <c r="L39" s="403">
        <f t="shared" si="13"/>
        <v>0</v>
      </c>
      <c r="M39" s="401">
        <f t="shared" si="14"/>
        <v>0</v>
      </c>
      <c r="N39" s="401">
        <f t="shared" si="6"/>
        <v>0</v>
      </c>
      <c r="O39" s="411">
        <f t="shared" si="15"/>
        <v>0</v>
      </c>
    </row>
    <row r="40" spans="1:18">
      <c r="A40" s="413"/>
      <c r="B40" s="407" t="s">
        <v>375</v>
      </c>
      <c r="C40" s="421">
        <v>0</v>
      </c>
      <c r="D40" s="406">
        <v>0</v>
      </c>
      <c r="E40" s="402">
        <f>+C40*D40</f>
        <v>0</v>
      </c>
      <c r="F40" s="401">
        <f t="shared" si="0"/>
        <v>0</v>
      </c>
      <c r="G40" s="401">
        <f t="shared" si="24"/>
        <v>0</v>
      </c>
      <c r="H40" s="401">
        <f t="shared" si="1"/>
        <v>0</v>
      </c>
      <c r="I40" s="401">
        <f t="shared" si="2"/>
        <v>0</v>
      </c>
      <c r="J40" s="411">
        <f t="shared" si="11"/>
        <v>0</v>
      </c>
      <c r="K40" s="401">
        <f t="shared" si="12"/>
        <v>0</v>
      </c>
      <c r="L40" s="403">
        <f t="shared" si="13"/>
        <v>0</v>
      </c>
      <c r="M40" s="401">
        <f t="shared" si="14"/>
        <v>0</v>
      </c>
      <c r="N40" s="401">
        <f t="shared" si="6"/>
        <v>0</v>
      </c>
      <c r="O40" s="411">
        <f t="shared" si="15"/>
        <v>0</v>
      </c>
    </row>
    <row r="41" spans="1:18">
      <c r="A41" s="414"/>
      <c r="B41" s="407" t="s">
        <v>375</v>
      </c>
      <c r="C41" s="421">
        <v>0</v>
      </c>
      <c r="D41" s="406">
        <v>0</v>
      </c>
      <c r="E41" s="402">
        <f>+C41*D41</f>
        <v>0</v>
      </c>
      <c r="F41" s="401">
        <f t="shared" si="0"/>
        <v>0</v>
      </c>
      <c r="G41" s="401">
        <f t="shared" si="24"/>
        <v>0</v>
      </c>
      <c r="H41" s="401">
        <f t="shared" si="1"/>
        <v>0</v>
      </c>
      <c r="I41" s="401">
        <f t="shared" si="2"/>
        <v>0</v>
      </c>
      <c r="J41" s="411">
        <f t="shared" si="11"/>
        <v>0</v>
      </c>
      <c r="K41" s="401">
        <f t="shared" si="12"/>
        <v>0</v>
      </c>
      <c r="L41" s="403">
        <f t="shared" si="13"/>
        <v>0</v>
      </c>
      <c r="M41" s="401">
        <f t="shared" si="14"/>
        <v>0</v>
      </c>
      <c r="N41" s="401">
        <f t="shared" si="6"/>
        <v>0</v>
      </c>
      <c r="O41" s="411">
        <f t="shared" si="15"/>
        <v>0</v>
      </c>
    </row>
    <row r="42" spans="1:18">
      <c r="A42" s="414"/>
      <c r="B42" s="407" t="s">
        <v>375</v>
      </c>
      <c r="C42" s="421">
        <v>0</v>
      </c>
      <c r="D42" s="406">
        <v>0</v>
      </c>
      <c r="E42" s="402">
        <f>+C42*D42</f>
        <v>0</v>
      </c>
      <c r="F42" s="401">
        <f t="shared" si="0"/>
        <v>0</v>
      </c>
      <c r="G42" s="401">
        <f t="shared" si="24"/>
        <v>0</v>
      </c>
      <c r="H42" s="401">
        <f t="shared" si="1"/>
        <v>0</v>
      </c>
      <c r="I42" s="401">
        <f t="shared" si="2"/>
        <v>0</v>
      </c>
      <c r="J42" s="411">
        <f t="shared" si="11"/>
        <v>0</v>
      </c>
      <c r="K42" s="401">
        <f t="shared" si="12"/>
        <v>0</v>
      </c>
      <c r="L42" s="403">
        <f t="shared" si="13"/>
        <v>0</v>
      </c>
      <c r="M42" s="401">
        <f t="shared" si="14"/>
        <v>0</v>
      </c>
      <c r="N42" s="401">
        <f t="shared" si="6"/>
        <v>0</v>
      </c>
      <c r="O42" s="411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4"/>
      <c r="B44" s="407" t="s">
        <v>375</v>
      </c>
      <c r="C44" s="421">
        <v>0</v>
      </c>
      <c r="D44" s="406">
        <v>0</v>
      </c>
      <c r="E44" s="402">
        <f>+C44*D44</f>
        <v>0</v>
      </c>
      <c r="F44" s="401">
        <f t="shared" si="0"/>
        <v>0</v>
      </c>
      <c r="G44" s="401">
        <f t="shared" ref="G44" si="25">(D44+F44)*$G$4</f>
        <v>0</v>
      </c>
      <c r="H44" s="401">
        <f t="shared" si="1"/>
        <v>0</v>
      </c>
      <c r="I44" s="401">
        <f t="shared" si="2"/>
        <v>0</v>
      </c>
      <c r="J44" s="411">
        <f t="shared" si="11"/>
        <v>0</v>
      </c>
      <c r="K44" s="401">
        <f t="shared" si="12"/>
        <v>0</v>
      </c>
      <c r="L44" s="403">
        <f t="shared" si="13"/>
        <v>0</v>
      </c>
      <c r="M44" s="401">
        <f t="shared" si="14"/>
        <v>0</v>
      </c>
      <c r="N44" s="401">
        <f t="shared" si="6"/>
        <v>0</v>
      </c>
      <c r="O44" s="411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tabSelected="1" workbookViewId="0">
      <pane ySplit="2" topLeftCell="A3" activePane="bottomLeft" state="frozen"/>
      <selection pane="bottomLeft"/>
    </sheetView>
  </sheetViews>
  <sheetFormatPr defaultRowHeight="12.5"/>
  <cols>
    <col min="1" max="1" width="5.6328125" customWidth="1"/>
    <col min="2" max="2" width="30.6328125" customWidth="1"/>
    <col min="3" max="3" width="15.6328125" customWidth="1"/>
    <col min="4" max="4" width="21.6328125" customWidth="1"/>
    <col min="5" max="5" width="13.6328125" customWidth="1"/>
    <col min="6" max="6" width="3.6328125" customWidth="1"/>
    <col min="7" max="7" width="5.6328125" customWidth="1"/>
    <col min="8" max="8" width="30.6328125" customWidth="1"/>
    <col min="9" max="9" width="15.6328125" customWidth="1"/>
    <col min="10" max="10" width="21.6328125" customWidth="1"/>
    <col min="11" max="11" width="13.6328125" customWidth="1"/>
    <col min="12" max="12" width="3.6328125" customWidth="1"/>
    <col min="13" max="13" width="5.6328125" customWidth="1"/>
    <col min="14" max="14" width="30.6328125" customWidth="1"/>
    <col min="15" max="15" width="15.6328125" customWidth="1"/>
    <col min="16" max="16" width="21.6328125" customWidth="1"/>
    <col min="17" max="17" width="13.6328125" customWidth="1"/>
    <col min="18" max="18" width="3.6328125" customWidth="1"/>
    <col min="19" max="19" width="5.6328125" customWidth="1"/>
    <col min="20" max="20" width="30.6328125" customWidth="1"/>
    <col min="21" max="21" width="15.6328125" customWidth="1"/>
    <col min="22" max="22" width="21.6328125" customWidth="1"/>
    <col min="23" max="23" width="13.6328125" customWidth="1"/>
  </cols>
  <sheetData>
    <row r="1" spans="1:23" ht="18">
      <c r="A1" s="478" t="s">
        <v>532</v>
      </c>
    </row>
    <row r="2" spans="1:23" ht="13.5" thickBot="1">
      <c r="A2" s="479"/>
      <c r="B2" s="479" t="s">
        <v>873</v>
      </c>
      <c r="C2" s="479"/>
      <c r="D2" s="479"/>
      <c r="E2" s="479"/>
      <c r="G2" s="479"/>
      <c r="H2" s="479" t="s">
        <v>874</v>
      </c>
      <c r="I2" s="479"/>
      <c r="J2" s="479"/>
      <c r="K2" s="479"/>
      <c r="M2" s="479"/>
      <c r="N2" s="479" t="s">
        <v>875</v>
      </c>
      <c r="O2" s="479"/>
      <c r="P2" s="479"/>
      <c r="Q2" s="479"/>
      <c r="S2" s="479"/>
      <c r="T2" s="479" t="s">
        <v>876</v>
      </c>
      <c r="U2" s="479"/>
      <c r="V2" s="479"/>
      <c r="W2" s="479"/>
    </row>
    <row r="3" spans="1:23" ht="13">
      <c r="A3" s="480">
        <v>1</v>
      </c>
      <c r="B3" s="503" t="s">
        <v>533</v>
      </c>
      <c r="C3" s="503"/>
      <c r="D3" s="503"/>
      <c r="E3" s="504"/>
      <c r="G3" s="480">
        <v>1</v>
      </c>
      <c r="H3" s="503" t="s">
        <v>533</v>
      </c>
      <c r="I3" s="503"/>
      <c r="J3" s="503"/>
      <c r="K3" s="504"/>
      <c r="M3" s="480">
        <v>1</v>
      </c>
      <c r="N3" s="503" t="s">
        <v>533</v>
      </c>
      <c r="O3" s="503"/>
      <c r="P3" s="503"/>
      <c r="Q3" s="504"/>
      <c r="S3" s="480">
        <v>1</v>
      </c>
      <c r="T3" s="503" t="s">
        <v>533</v>
      </c>
      <c r="U3" s="503"/>
      <c r="V3" s="503"/>
      <c r="W3" s="504"/>
    </row>
    <row r="4" spans="1:23">
      <c r="A4" s="483"/>
      <c r="B4" t="s">
        <v>534</v>
      </c>
      <c r="C4" s="485">
        <f>SUMIF(Equipos!$Q$6:$Q$55,A3,Equipos!$O$6:$O$55)</f>
        <v>0</v>
      </c>
      <c r="D4" t="s">
        <v>535</v>
      </c>
      <c r="E4" s="487">
        <v>0.11</v>
      </c>
      <c r="G4" s="483"/>
      <c r="H4" t="s">
        <v>534</v>
      </c>
      <c r="I4" s="485">
        <f>SUMIF('Productos 2'!$P$6:$P$15,G3,'Productos 2'!$N$6:$N$15)</f>
        <v>0</v>
      </c>
      <c r="J4" t="s">
        <v>535</v>
      </c>
      <c r="K4" s="487">
        <v>0.11</v>
      </c>
      <c r="M4" s="483"/>
      <c r="N4" t="s">
        <v>534</v>
      </c>
      <c r="O4" s="485">
        <f>SUMIF(MATERIALES!$P$6:$P$44,M3,MATERIALES!$N$6:$N$44)</f>
        <v>0</v>
      </c>
      <c r="P4" t="s">
        <v>535</v>
      </c>
      <c r="Q4" s="487">
        <v>0.11</v>
      </c>
      <c r="S4" s="483"/>
      <c r="T4" t="s">
        <v>534</v>
      </c>
      <c r="U4" s="485">
        <f>SUMIF('OPEX GV'!$P$6:$P$15,S3,'OPEX GV'!$N$6:$N$15)</f>
        <v>0</v>
      </c>
      <c r="V4" t="s">
        <v>535</v>
      </c>
      <c r="W4" s="487">
        <v>0.11</v>
      </c>
    </row>
    <row r="5" spans="1:23">
      <c r="A5" s="483"/>
      <c r="B5" t="s">
        <v>536</v>
      </c>
      <c r="C5" s="499">
        <v>0</v>
      </c>
      <c r="D5" t="s">
        <v>537</v>
      </c>
      <c r="E5" s="487">
        <v>0</v>
      </c>
      <c r="G5" s="483"/>
      <c r="H5" t="s">
        <v>536</v>
      </c>
      <c r="I5" s="499">
        <v>0</v>
      </c>
      <c r="J5" t="s">
        <v>537</v>
      </c>
      <c r="K5" s="487">
        <v>0</v>
      </c>
      <c r="M5" s="483"/>
      <c r="N5" t="s">
        <v>536</v>
      </c>
      <c r="O5" s="499">
        <v>0</v>
      </c>
      <c r="P5" t="s">
        <v>537</v>
      </c>
      <c r="Q5" s="487">
        <v>0</v>
      </c>
      <c r="S5" s="483"/>
      <c r="T5" t="s">
        <v>536</v>
      </c>
      <c r="U5" s="499">
        <v>0</v>
      </c>
      <c r="V5" t="s">
        <v>537</v>
      </c>
      <c r="W5" s="487">
        <v>0</v>
      </c>
    </row>
    <row r="6" spans="1:23">
      <c r="A6" s="483"/>
      <c r="B6" t="s">
        <v>538</v>
      </c>
      <c r="C6" s="499">
        <v>0</v>
      </c>
      <c r="E6" s="40"/>
      <c r="G6" s="483"/>
      <c r="H6" t="s">
        <v>538</v>
      </c>
      <c r="I6" s="499">
        <v>0</v>
      </c>
      <c r="K6" s="40"/>
      <c r="M6" s="483"/>
      <c r="N6" t="s">
        <v>538</v>
      </c>
      <c r="O6" s="499">
        <v>0</v>
      </c>
      <c r="Q6" s="40"/>
      <c r="S6" s="483"/>
      <c r="T6" t="s">
        <v>538</v>
      </c>
      <c r="U6" s="499">
        <v>0</v>
      </c>
      <c r="W6" s="40"/>
    </row>
    <row r="7" spans="1:23">
      <c r="A7" s="483"/>
      <c r="E7" s="40"/>
      <c r="G7" s="483"/>
      <c r="K7" s="40"/>
      <c r="M7" s="483"/>
      <c r="Q7" s="40"/>
      <c r="S7" s="483"/>
      <c r="W7" s="40"/>
    </row>
    <row r="8" spans="1:23" ht="13">
      <c r="A8" s="483"/>
      <c r="B8" s="500" t="s">
        <v>539</v>
      </c>
      <c r="C8" s="501">
        <f>C4-C5-C6</f>
        <v>0</v>
      </c>
      <c r="E8" s="40"/>
      <c r="G8" s="483"/>
      <c r="H8" s="500" t="s">
        <v>539</v>
      </c>
      <c r="I8" s="501">
        <f>I4-I5-I6</f>
        <v>0</v>
      </c>
      <c r="K8" s="40"/>
      <c r="M8" s="483"/>
      <c r="N8" s="500" t="s">
        <v>539</v>
      </c>
      <c r="O8" s="501">
        <f>O4-O5-O6</f>
        <v>0</v>
      </c>
      <c r="Q8" s="40"/>
      <c r="S8" s="483"/>
      <c r="T8" s="500" t="s">
        <v>539</v>
      </c>
      <c r="U8" s="501">
        <f>U4-U5-U6</f>
        <v>0</v>
      </c>
      <c r="W8" s="40"/>
    </row>
    <row r="9" spans="1:23">
      <c r="A9" s="483"/>
      <c r="B9" t="s">
        <v>540</v>
      </c>
      <c r="C9" s="502">
        <v>4</v>
      </c>
      <c r="E9" s="40"/>
      <c r="G9" s="483"/>
      <c r="H9" t="s">
        <v>540</v>
      </c>
      <c r="I9" s="502">
        <v>4</v>
      </c>
      <c r="K9" s="40"/>
      <c r="M9" s="483"/>
      <c r="N9" t="s">
        <v>540</v>
      </c>
      <c r="O9" s="502">
        <v>4</v>
      </c>
      <c r="Q9" s="40"/>
      <c r="S9" s="483"/>
      <c r="T9" t="s">
        <v>540</v>
      </c>
      <c r="U9" s="502">
        <v>4</v>
      </c>
      <c r="W9" s="40"/>
    </row>
    <row r="10" spans="1:23">
      <c r="A10" s="483"/>
      <c r="B10" t="s">
        <v>541</v>
      </c>
      <c r="C10" s="486">
        <f>C9*12</f>
        <v>48</v>
      </c>
      <c r="E10" s="40"/>
      <c r="G10" s="483"/>
      <c r="H10" t="s">
        <v>541</v>
      </c>
      <c r="I10" s="486">
        <f>I9*12</f>
        <v>48</v>
      </c>
      <c r="K10" s="40"/>
      <c r="M10" s="483"/>
      <c r="N10" t="s">
        <v>541</v>
      </c>
      <c r="O10" s="486">
        <f>O9*12</f>
        <v>48</v>
      </c>
      <c r="Q10" s="40"/>
      <c r="S10" s="483"/>
      <c r="T10" t="s">
        <v>541</v>
      </c>
      <c r="U10" s="486">
        <f>U9*12</f>
        <v>48</v>
      </c>
      <c r="W10" s="40"/>
    </row>
    <row r="11" spans="1:23">
      <c r="A11" s="483"/>
      <c r="E11" s="40"/>
      <c r="G11" s="483"/>
      <c r="K11" s="40"/>
      <c r="M11" s="483"/>
      <c r="Q11" s="40"/>
      <c r="S11" s="483"/>
      <c r="W11" s="40"/>
    </row>
    <row r="12" spans="1:23" ht="13">
      <c r="A12" s="483"/>
      <c r="B12" s="500" t="s">
        <v>542</v>
      </c>
      <c r="C12" s="501">
        <f>-PMT(E4/12,C10,C8)</f>
        <v>0</v>
      </c>
      <c r="D12" s="500" t="s">
        <v>543</v>
      </c>
      <c r="E12" s="488">
        <f>C12*12</f>
        <v>0</v>
      </c>
      <c r="G12" s="483"/>
      <c r="H12" s="500" t="s">
        <v>542</v>
      </c>
      <c r="I12" s="501">
        <f>-PMT(K4/12,I10,I8)</f>
        <v>0</v>
      </c>
      <c r="J12" s="500" t="s">
        <v>543</v>
      </c>
      <c r="K12" s="488">
        <f>I12*12</f>
        <v>0</v>
      </c>
      <c r="M12" s="483"/>
      <c r="N12" s="500" t="s">
        <v>542</v>
      </c>
      <c r="O12" s="501">
        <f>-PMT(Q4/12,O10,O8)</f>
        <v>0</v>
      </c>
      <c r="P12" s="500" t="s">
        <v>543</v>
      </c>
      <c r="Q12" s="488">
        <f>O12*12</f>
        <v>0</v>
      </c>
      <c r="S12" s="483"/>
      <c r="T12" s="500" t="s">
        <v>542</v>
      </c>
      <c r="U12" s="501">
        <f>-PMT(W4/12,U10,U8)</f>
        <v>0</v>
      </c>
      <c r="V12" s="500" t="s">
        <v>543</v>
      </c>
      <c r="W12" s="488">
        <f>U12*12</f>
        <v>0</v>
      </c>
    </row>
    <row r="13" spans="1:23">
      <c r="A13" s="483"/>
      <c r="E13" s="40"/>
      <c r="G13" s="483"/>
      <c r="K13" s="40"/>
      <c r="M13" s="483"/>
      <c r="Q13" s="40"/>
      <c r="S13" s="483"/>
      <c r="W13" s="40"/>
    </row>
    <row r="14" spans="1:23">
      <c r="A14" s="483"/>
      <c r="E14" s="40"/>
      <c r="G14" s="483"/>
      <c r="K14" s="40"/>
      <c r="M14" s="483"/>
      <c r="Q14" s="40"/>
      <c r="S14" s="483"/>
      <c r="W14" s="40"/>
    </row>
    <row r="15" spans="1:23">
      <c r="A15" s="483"/>
      <c r="B15" t="s">
        <v>241</v>
      </c>
      <c r="E15" s="40"/>
      <c r="G15" s="483"/>
      <c r="H15" t="s">
        <v>241</v>
      </c>
      <c r="K15" s="40"/>
      <c r="M15" s="483"/>
      <c r="N15" t="s">
        <v>241</v>
      </c>
      <c r="Q15" s="40"/>
      <c r="S15" s="483"/>
      <c r="T15" t="s">
        <v>241</v>
      </c>
      <c r="W15" s="40"/>
    </row>
    <row r="16" spans="1:23">
      <c r="A16" s="483"/>
      <c r="B16" t="s">
        <v>544</v>
      </c>
      <c r="C16" s="485">
        <f>C12*C10</f>
        <v>0</v>
      </c>
      <c r="E16" s="40"/>
      <c r="G16" s="483"/>
      <c r="H16" t="s">
        <v>544</v>
      </c>
      <c r="I16" s="485">
        <f>I12*I10</f>
        <v>0</v>
      </c>
      <c r="K16" s="40"/>
      <c r="M16" s="483"/>
      <c r="N16" t="s">
        <v>544</v>
      </c>
      <c r="O16" s="485">
        <f>O12*O10</f>
        <v>0</v>
      </c>
      <c r="Q16" s="40"/>
      <c r="S16" s="483"/>
      <c r="T16" t="s">
        <v>544</v>
      </c>
      <c r="U16" s="485">
        <f>U12*U10</f>
        <v>0</v>
      </c>
      <c r="W16" s="40"/>
    </row>
    <row r="17" spans="1:23">
      <c r="A17" s="483"/>
      <c r="E17" s="40"/>
      <c r="G17" s="483"/>
      <c r="K17" s="40"/>
      <c r="M17" s="483"/>
      <c r="Q17" s="40"/>
      <c r="S17" s="483"/>
      <c r="W17" s="40"/>
    </row>
    <row r="18" spans="1:23" ht="13.5" thickBot="1">
      <c r="A18" s="484"/>
      <c r="B18" s="489" t="s">
        <v>299</v>
      </c>
      <c r="C18" s="490">
        <f>C16-C8</f>
        <v>0</v>
      </c>
      <c r="D18" s="99"/>
      <c r="E18" s="157"/>
      <c r="G18" s="484"/>
      <c r="H18" s="489" t="s">
        <v>299</v>
      </c>
      <c r="I18" s="490">
        <f>I16-I8</f>
        <v>0</v>
      </c>
      <c r="J18" s="99"/>
      <c r="K18" s="157"/>
      <c r="M18" s="484"/>
      <c r="N18" s="489" t="s">
        <v>299</v>
      </c>
      <c r="O18" s="490">
        <f>O16-O8</f>
        <v>0</v>
      </c>
      <c r="P18" s="99"/>
      <c r="Q18" s="157"/>
      <c r="S18" s="484"/>
      <c r="T18" s="489" t="s">
        <v>299</v>
      </c>
      <c r="U18" s="490">
        <f>U16-U8</f>
        <v>0</v>
      </c>
      <c r="V18" s="99"/>
      <c r="W18" s="157"/>
    </row>
    <row r="19" spans="1:23" ht="13" thickBot="1"/>
    <row r="20" spans="1:23" ht="13">
      <c r="A20" s="480">
        <v>2</v>
      </c>
      <c r="B20" s="503" t="s">
        <v>533</v>
      </c>
      <c r="C20" s="503"/>
      <c r="D20" s="503"/>
      <c r="E20" s="504"/>
      <c r="G20" s="480">
        <v>2</v>
      </c>
      <c r="H20" s="503" t="s">
        <v>533</v>
      </c>
      <c r="I20" s="503"/>
      <c r="J20" s="503"/>
      <c r="K20" s="504"/>
      <c r="M20" s="480">
        <v>2</v>
      </c>
      <c r="N20" s="503" t="s">
        <v>533</v>
      </c>
      <c r="O20" s="503"/>
      <c r="P20" s="503"/>
      <c r="Q20" s="504"/>
      <c r="S20" s="480">
        <v>2</v>
      </c>
      <c r="T20" s="503" t="s">
        <v>533</v>
      </c>
      <c r="U20" s="503"/>
      <c r="V20" s="503"/>
      <c r="W20" s="504"/>
    </row>
    <row r="21" spans="1:23">
      <c r="A21" s="483"/>
      <c r="B21" t="s">
        <v>534</v>
      </c>
      <c r="C21" s="485">
        <f>SUMIF(Equipos!$Q$6:$Q$55,A20,Equipos!$O$6:$O$55)</f>
        <v>0</v>
      </c>
      <c r="D21" t="s">
        <v>535</v>
      </c>
      <c r="E21" s="487">
        <v>0.11</v>
      </c>
      <c r="G21" s="483"/>
      <c r="H21" t="s">
        <v>534</v>
      </c>
      <c r="I21" s="485">
        <f>SUMIF('Productos 2'!$P$6:$P$15,G20,'Productos 2'!$N$6:$N$15)</f>
        <v>0</v>
      </c>
      <c r="J21" t="s">
        <v>535</v>
      </c>
      <c r="K21" s="487">
        <v>0.11</v>
      </c>
      <c r="M21" s="483"/>
      <c r="N21" t="s">
        <v>534</v>
      </c>
      <c r="O21" s="485">
        <f>SUMIF(MATERIALES!$P$6:$P$44,M20,MATERIALES!$N$6:$N$44)</f>
        <v>0</v>
      </c>
      <c r="P21" t="s">
        <v>535</v>
      </c>
      <c r="Q21" s="487">
        <v>0.11</v>
      </c>
      <c r="S21" s="483"/>
      <c r="T21" t="s">
        <v>534</v>
      </c>
      <c r="U21" s="485">
        <f>SUMIF('OPEX GV'!$P$6:$P$15,S20,'OPEX GV'!$N$6:$N$15)</f>
        <v>0</v>
      </c>
      <c r="V21" t="s">
        <v>535</v>
      </c>
      <c r="W21" s="487">
        <v>0.11</v>
      </c>
    </row>
    <row r="22" spans="1:23">
      <c r="A22" s="483"/>
      <c r="B22" t="s">
        <v>536</v>
      </c>
      <c r="C22" s="499">
        <v>0</v>
      </c>
      <c r="D22" t="s">
        <v>537</v>
      </c>
      <c r="E22" s="487">
        <v>0</v>
      </c>
      <c r="G22" s="483"/>
      <c r="H22" t="s">
        <v>536</v>
      </c>
      <c r="I22" s="499">
        <v>0</v>
      </c>
      <c r="J22" t="s">
        <v>537</v>
      </c>
      <c r="K22" s="487">
        <v>0</v>
      </c>
      <c r="M22" s="483"/>
      <c r="N22" t="s">
        <v>536</v>
      </c>
      <c r="O22" s="499">
        <v>0</v>
      </c>
      <c r="P22" t="s">
        <v>537</v>
      </c>
      <c r="Q22" s="487">
        <v>0</v>
      </c>
      <c r="S22" s="483"/>
      <c r="T22" t="s">
        <v>536</v>
      </c>
      <c r="U22" s="499">
        <v>0</v>
      </c>
      <c r="V22" t="s">
        <v>537</v>
      </c>
      <c r="W22" s="487">
        <v>0</v>
      </c>
    </row>
    <row r="23" spans="1:23">
      <c r="A23" s="483"/>
      <c r="B23" t="s">
        <v>538</v>
      </c>
      <c r="C23" s="499">
        <v>0</v>
      </c>
      <c r="E23" s="40"/>
      <c r="G23" s="483"/>
      <c r="H23" t="s">
        <v>538</v>
      </c>
      <c r="I23" s="499">
        <v>0</v>
      </c>
      <c r="K23" s="40"/>
      <c r="M23" s="483"/>
      <c r="N23" t="s">
        <v>538</v>
      </c>
      <c r="O23" s="499">
        <v>0</v>
      </c>
      <c r="Q23" s="40"/>
      <c r="S23" s="483"/>
      <c r="T23" t="s">
        <v>538</v>
      </c>
      <c r="U23" s="499">
        <v>0</v>
      </c>
      <c r="W23" s="40"/>
    </row>
    <row r="24" spans="1:23">
      <c r="A24" s="483"/>
      <c r="E24" s="40"/>
      <c r="G24" s="483"/>
      <c r="K24" s="40"/>
      <c r="M24" s="483"/>
      <c r="Q24" s="40"/>
      <c r="S24" s="483"/>
      <c r="W24" s="40"/>
    </row>
    <row r="25" spans="1:23" ht="13">
      <c r="A25" s="483"/>
      <c r="B25" s="500" t="s">
        <v>539</v>
      </c>
      <c r="C25" s="501">
        <f>C21-C22-C23</f>
        <v>0</v>
      </c>
      <c r="E25" s="40"/>
      <c r="G25" s="483"/>
      <c r="H25" s="500" t="s">
        <v>539</v>
      </c>
      <c r="I25" s="501">
        <f>I21-I22-I23</f>
        <v>0</v>
      </c>
      <c r="K25" s="40"/>
      <c r="M25" s="483"/>
      <c r="N25" s="500" t="s">
        <v>539</v>
      </c>
      <c r="O25" s="501">
        <f>O21-O22-O23</f>
        <v>0</v>
      </c>
      <c r="Q25" s="40"/>
      <c r="S25" s="483"/>
      <c r="T25" s="500" t="s">
        <v>539</v>
      </c>
      <c r="U25" s="501">
        <f>U21-U22-U23</f>
        <v>0</v>
      </c>
      <c r="W25" s="40"/>
    </row>
    <row r="26" spans="1:23">
      <c r="A26" s="483"/>
      <c r="B26" t="s">
        <v>540</v>
      </c>
      <c r="C26" s="502">
        <v>4</v>
      </c>
      <c r="E26" s="40"/>
      <c r="G26" s="483"/>
      <c r="H26" t="s">
        <v>540</v>
      </c>
      <c r="I26" s="502">
        <v>4</v>
      </c>
      <c r="K26" s="40"/>
      <c r="M26" s="483"/>
      <c r="N26" t="s">
        <v>540</v>
      </c>
      <c r="O26" s="502">
        <v>4</v>
      </c>
      <c r="Q26" s="40"/>
      <c r="S26" s="483"/>
      <c r="T26" t="s">
        <v>540</v>
      </c>
      <c r="U26" s="502">
        <v>4</v>
      </c>
      <c r="W26" s="40"/>
    </row>
    <row r="27" spans="1:23">
      <c r="A27" s="483"/>
      <c r="B27" t="s">
        <v>541</v>
      </c>
      <c r="C27" s="486">
        <f>C26*12</f>
        <v>48</v>
      </c>
      <c r="E27" s="40"/>
      <c r="G27" s="483"/>
      <c r="H27" t="s">
        <v>541</v>
      </c>
      <c r="I27" s="486">
        <f>I26*12</f>
        <v>48</v>
      </c>
      <c r="K27" s="40"/>
      <c r="M27" s="483"/>
      <c r="N27" t="s">
        <v>541</v>
      </c>
      <c r="O27" s="486">
        <f>O26*12</f>
        <v>48</v>
      </c>
      <c r="Q27" s="40"/>
      <c r="S27" s="483"/>
      <c r="T27" t="s">
        <v>541</v>
      </c>
      <c r="U27" s="486">
        <f>U26*12</f>
        <v>48</v>
      </c>
      <c r="W27" s="40"/>
    </row>
    <row r="28" spans="1:23">
      <c r="A28" s="483"/>
      <c r="E28" s="40"/>
      <c r="G28" s="483"/>
      <c r="K28" s="40"/>
      <c r="M28" s="483"/>
      <c r="Q28" s="40"/>
      <c r="S28" s="483"/>
      <c r="W28" s="40"/>
    </row>
    <row r="29" spans="1:23" ht="13">
      <c r="A29" s="483"/>
      <c r="B29" s="500" t="s">
        <v>542</v>
      </c>
      <c r="C29" s="501">
        <f>-PMT(E21/12,C27,C25)</f>
        <v>0</v>
      </c>
      <c r="D29" s="500" t="s">
        <v>543</v>
      </c>
      <c r="E29" s="488">
        <f>C29*12</f>
        <v>0</v>
      </c>
      <c r="G29" s="483"/>
      <c r="H29" s="500" t="s">
        <v>542</v>
      </c>
      <c r="I29" s="501">
        <f>-PMT(K21/12,I27,I25)</f>
        <v>0</v>
      </c>
      <c r="J29" s="500" t="s">
        <v>543</v>
      </c>
      <c r="K29" s="488">
        <f>I29*12</f>
        <v>0</v>
      </c>
      <c r="M29" s="483"/>
      <c r="N29" s="500" t="s">
        <v>542</v>
      </c>
      <c r="O29" s="501">
        <f>-PMT(Q21/12,O27,O25)</f>
        <v>0</v>
      </c>
      <c r="P29" s="500" t="s">
        <v>543</v>
      </c>
      <c r="Q29" s="488">
        <f>O29*12</f>
        <v>0</v>
      </c>
      <c r="S29" s="483"/>
      <c r="T29" s="500" t="s">
        <v>542</v>
      </c>
      <c r="U29" s="501">
        <f>-PMT(W21/12,U27,U25)</f>
        <v>0</v>
      </c>
      <c r="V29" s="500" t="s">
        <v>543</v>
      </c>
      <c r="W29" s="488">
        <f>U29*12</f>
        <v>0</v>
      </c>
    </row>
    <row r="30" spans="1:23">
      <c r="A30" s="483"/>
      <c r="E30" s="40"/>
      <c r="G30" s="483"/>
      <c r="K30" s="40"/>
      <c r="M30" s="483"/>
      <c r="Q30" s="40"/>
      <c r="S30" s="483"/>
      <c r="W30" s="40"/>
    </row>
    <row r="31" spans="1:23">
      <c r="A31" s="483"/>
      <c r="E31" s="40"/>
      <c r="G31" s="483"/>
      <c r="K31" s="40"/>
      <c r="M31" s="483"/>
      <c r="Q31" s="40"/>
      <c r="S31" s="483"/>
      <c r="W31" s="40"/>
    </row>
    <row r="32" spans="1:23">
      <c r="A32" s="483"/>
      <c r="B32" t="s">
        <v>241</v>
      </c>
      <c r="E32" s="40"/>
      <c r="G32" s="483"/>
      <c r="H32" t="s">
        <v>241</v>
      </c>
      <c r="K32" s="40"/>
      <c r="M32" s="483"/>
      <c r="N32" t="s">
        <v>241</v>
      </c>
      <c r="Q32" s="40"/>
      <c r="S32" s="483"/>
      <c r="T32" t="s">
        <v>241</v>
      </c>
      <c r="W32" s="40"/>
    </row>
    <row r="33" spans="1:23">
      <c r="A33" s="483"/>
      <c r="B33" t="s">
        <v>544</v>
      </c>
      <c r="C33" s="485">
        <f>C29*C27</f>
        <v>0</v>
      </c>
      <c r="E33" s="40"/>
      <c r="G33" s="483"/>
      <c r="H33" t="s">
        <v>544</v>
      </c>
      <c r="I33" s="485">
        <f>I29*I27</f>
        <v>0</v>
      </c>
      <c r="K33" s="40"/>
      <c r="M33" s="483"/>
      <c r="N33" t="s">
        <v>544</v>
      </c>
      <c r="O33" s="485">
        <f>O29*O27</f>
        <v>0</v>
      </c>
      <c r="Q33" s="40"/>
      <c r="S33" s="483"/>
      <c r="T33" t="s">
        <v>544</v>
      </c>
      <c r="U33" s="485">
        <f>U29*U27</f>
        <v>0</v>
      </c>
      <c r="W33" s="40"/>
    </row>
    <row r="34" spans="1:23">
      <c r="A34" s="483"/>
      <c r="E34" s="40"/>
      <c r="G34" s="483"/>
      <c r="K34" s="40"/>
      <c r="M34" s="483"/>
      <c r="Q34" s="40"/>
      <c r="S34" s="483"/>
      <c r="W34" s="40"/>
    </row>
    <row r="35" spans="1:23" ht="13.5" thickBot="1">
      <c r="A35" s="484"/>
      <c r="B35" s="489" t="s">
        <v>299</v>
      </c>
      <c r="C35" s="490">
        <f>C33-C25</f>
        <v>0</v>
      </c>
      <c r="D35" s="99"/>
      <c r="E35" s="157"/>
      <c r="G35" s="484"/>
      <c r="H35" s="489" t="s">
        <v>299</v>
      </c>
      <c r="I35" s="490">
        <f>I33-I25</f>
        <v>0</v>
      </c>
      <c r="J35" s="99"/>
      <c r="K35" s="157"/>
      <c r="M35" s="484"/>
      <c r="N35" s="489" t="s">
        <v>299</v>
      </c>
      <c r="O35" s="490">
        <f>O33-O25</f>
        <v>0</v>
      </c>
      <c r="P35" s="99"/>
      <c r="Q35" s="157"/>
      <c r="S35" s="484"/>
      <c r="T35" s="489" t="s">
        <v>299</v>
      </c>
      <c r="U35" s="490">
        <f>U33-U25</f>
        <v>0</v>
      </c>
      <c r="V35" s="99"/>
      <c r="W35" s="157"/>
    </row>
    <row r="36" spans="1:23" ht="13" thickBot="1"/>
    <row r="37" spans="1:23" ht="13">
      <c r="A37" s="480">
        <v>3</v>
      </c>
      <c r="B37" s="503" t="s">
        <v>533</v>
      </c>
      <c r="C37" s="503"/>
      <c r="D37" s="503"/>
      <c r="E37" s="504"/>
      <c r="G37" s="480">
        <v>3</v>
      </c>
      <c r="H37" s="503" t="s">
        <v>533</v>
      </c>
      <c r="I37" s="503"/>
      <c r="J37" s="503"/>
      <c r="K37" s="504"/>
      <c r="M37" s="480">
        <v>3</v>
      </c>
      <c r="N37" s="503" t="s">
        <v>533</v>
      </c>
      <c r="O37" s="503"/>
      <c r="P37" s="503"/>
      <c r="Q37" s="504"/>
      <c r="S37" s="480">
        <v>3</v>
      </c>
      <c r="T37" s="503" t="s">
        <v>533</v>
      </c>
      <c r="U37" s="503"/>
      <c r="V37" s="503"/>
      <c r="W37" s="504"/>
    </row>
    <row r="38" spans="1:23">
      <c r="A38" s="483"/>
      <c r="B38" t="s">
        <v>534</v>
      </c>
      <c r="C38" s="485">
        <f>SUMIF(Equipos!$Q$6:$Q$55,A37,Equipos!$O$6:$O$55)</f>
        <v>0</v>
      </c>
      <c r="D38" t="s">
        <v>535</v>
      </c>
      <c r="E38" s="487">
        <v>0.11</v>
      </c>
      <c r="G38" s="483"/>
      <c r="H38" t="s">
        <v>534</v>
      </c>
      <c r="I38" s="485">
        <f>SUMIF('Productos 2'!$P$6:$P$15,G37,'Productos 2'!$N$6:$N$15)</f>
        <v>0</v>
      </c>
      <c r="J38" t="s">
        <v>535</v>
      </c>
      <c r="K38" s="487">
        <v>0.11</v>
      </c>
      <c r="M38" s="483"/>
      <c r="N38" t="s">
        <v>534</v>
      </c>
      <c r="O38" s="485">
        <f>SUMIF(MATERIALES!$P$6:$P$44,M37,MATERIALES!$N$6:$N$44)</f>
        <v>0</v>
      </c>
      <c r="P38" t="s">
        <v>535</v>
      </c>
      <c r="Q38" s="487">
        <v>0.11</v>
      </c>
      <c r="S38" s="483"/>
      <c r="T38" t="s">
        <v>534</v>
      </c>
      <c r="U38" s="485">
        <f>SUMIF('OPEX GV'!$P$6:$P$15,S37,'OPEX GV'!$N$6:$N$15)</f>
        <v>0</v>
      </c>
      <c r="V38" t="s">
        <v>535</v>
      </c>
      <c r="W38" s="487">
        <v>0.11</v>
      </c>
    </row>
    <row r="39" spans="1:23">
      <c r="A39" s="483"/>
      <c r="B39" t="s">
        <v>536</v>
      </c>
      <c r="C39" s="499">
        <v>0</v>
      </c>
      <c r="D39" t="s">
        <v>537</v>
      </c>
      <c r="E39" s="487">
        <v>0</v>
      </c>
      <c r="G39" s="483"/>
      <c r="H39" t="s">
        <v>536</v>
      </c>
      <c r="I39" s="499">
        <v>0</v>
      </c>
      <c r="J39" t="s">
        <v>537</v>
      </c>
      <c r="K39" s="487">
        <v>0</v>
      </c>
      <c r="M39" s="483"/>
      <c r="N39" t="s">
        <v>536</v>
      </c>
      <c r="O39" s="499">
        <v>0</v>
      </c>
      <c r="P39" t="s">
        <v>537</v>
      </c>
      <c r="Q39" s="487">
        <v>0</v>
      </c>
      <c r="S39" s="483"/>
      <c r="T39" t="s">
        <v>536</v>
      </c>
      <c r="U39" s="499">
        <v>0</v>
      </c>
      <c r="V39" t="s">
        <v>537</v>
      </c>
      <c r="W39" s="487">
        <v>0</v>
      </c>
    </row>
    <row r="40" spans="1:23">
      <c r="A40" s="483"/>
      <c r="B40" t="s">
        <v>538</v>
      </c>
      <c r="C40" s="499">
        <v>0</v>
      </c>
      <c r="E40" s="40"/>
      <c r="G40" s="483"/>
      <c r="H40" t="s">
        <v>538</v>
      </c>
      <c r="I40" s="499">
        <v>0</v>
      </c>
      <c r="K40" s="40"/>
      <c r="M40" s="483"/>
      <c r="N40" t="s">
        <v>538</v>
      </c>
      <c r="O40" s="499">
        <v>0</v>
      </c>
      <c r="Q40" s="40"/>
      <c r="S40" s="483"/>
      <c r="T40" t="s">
        <v>538</v>
      </c>
      <c r="U40" s="499">
        <v>0</v>
      </c>
      <c r="W40" s="40"/>
    </row>
    <row r="41" spans="1:23">
      <c r="A41" s="483"/>
      <c r="E41" s="40"/>
      <c r="G41" s="483"/>
      <c r="K41" s="40"/>
      <c r="M41" s="483"/>
      <c r="Q41" s="40"/>
      <c r="S41" s="483"/>
      <c r="W41" s="40"/>
    </row>
    <row r="42" spans="1:23" ht="13">
      <c r="A42" s="483"/>
      <c r="B42" s="500" t="s">
        <v>539</v>
      </c>
      <c r="C42" s="501">
        <f>C38-C39-C40</f>
        <v>0</v>
      </c>
      <c r="E42" s="40"/>
      <c r="G42" s="483"/>
      <c r="H42" s="500" t="s">
        <v>539</v>
      </c>
      <c r="I42" s="501">
        <f>I38-I39-I40</f>
        <v>0</v>
      </c>
      <c r="K42" s="40"/>
      <c r="M42" s="483"/>
      <c r="N42" s="500" t="s">
        <v>539</v>
      </c>
      <c r="O42" s="501">
        <f>O38-O39-O40</f>
        <v>0</v>
      </c>
      <c r="Q42" s="40"/>
      <c r="S42" s="483"/>
      <c r="T42" s="500" t="s">
        <v>539</v>
      </c>
      <c r="U42" s="501">
        <f>U38-U39-U40</f>
        <v>0</v>
      </c>
      <c r="W42" s="40"/>
    </row>
    <row r="43" spans="1:23">
      <c r="A43" s="483"/>
      <c r="B43" t="s">
        <v>540</v>
      </c>
      <c r="C43" s="502">
        <v>4</v>
      </c>
      <c r="E43" s="40"/>
      <c r="G43" s="483"/>
      <c r="H43" t="s">
        <v>540</v>
      </c>
      <c r="I43" s="502">
        <v>4</v>
      </c>
      <c r="K43" s="40"/>
      <c r="M43" s="483"/>
      <c r="N43" t="s">
        <v>540</v>
      </c>
      <c r="O43" s="502">
        <v>4</v>
      </c>
      <c r="Q43" s="40"/>
      <c r="S43" s="483"/>
      <c r="T43" t="s">
        <v>540</v>
      </c>
      <c r="U43" s="502">
        <v>4</v>
      </c>
      <c r="W43" s="40"/>
    </row>
    <row r="44" spans="1:23">
      <c r="A44" s="483"/>
      <c r="B44" t="s">
        <v>541</v>
      </c>
      <c r="C44" s="486">
        <f>C43*12</f>
        <v>48</v>
      </c>
      <c r="E44" s="40"/>
      <c r="G44" s="483"/>
      <c r="H44" t="s">
        <v>541</v>
      </c>
      <c r="I44" s="486">
        <f>I43*12</f>
        <v>48</v>
      </c>
      <c r="K44" s="40"/>
      <c r="M44" s="483"/>
      <c r="N44" t="s">
        <v>541</v>
      </c>
      <c r="O44" s="486">
        <f>O43*12</f>
        <v>48</v>
      </c>
      <c r="Q44" s="40"/>
      <c r="S44" s="483"/>
      <c r="T44" t="s">
        <v>541</v>
      </c>
      <c r="U44" s="486">
        <f>U43*12</f>
        <v>48</v>
      </c>
      <c r="W44" s="40"/>
    </row>
    <row r="45" spans="1:23">
      <c r="A45" s="483"/>
      <c r="E45" s="40"/>
      <c r="G45" s="483"/>
      <c r="K45" s="40"/>
      <c r="M45" s="483"/>
      <c r="Q45" s="40"/>
      <c r="S45" s="483"/>
      <c r="W45" s="40"/>
    </row>
    <row r="46" spans="1:23" ht="13">
      <c r="A46" s="483"/>
      <c r="B46" s="500" t="s">
        <v>542</v>
      </c>
      <c r="C46" s="501">
        <f>-PMT(E38/12,C44,C42)</f>
        <v>0</v>
      </c>
      <c r="D46" s="500" t="s">
        <v>543</v>
      </c>
      <c r="E46" s="488">
        <f>C46*12</f>
        <v>0</v>
      </c>
      <c r="G46" s="483"/>
      <c r="H46" s="500" t="s">
        <v>542</v>
      </c>
      <c r="I46" s="501">
        <f>-PMT(K38/12,I44,I42)</f>
        <v>0</v>
      </c>
      <c r="J46" s="500" t="s">
        <v>543</v>
      </c>
      <c r="K46" s="488">
        <f>I46*12</f>
        <v>0</v>
      </c>
      <c r="M46" s="483"/>
      <c r="N46" s="500" t="s">
        <v>542</v>
      </c>
      <c r="O46" s="501">
        <f>-PMT(Q38/12,O44,O42)</f>
        <v>0</v>
      </c>
      <c r="P46" s="500" t="s">
        <v>543</v>
      </c>
      <c r="Q46" s="488">
        <f>O46*12</f>
        <v>0</v>
      </c>
      <c r="S46" s="483"/>
      <c r="T46" s="500" t="s">
        <v>542</v>
      </c>
      <c r="U46" s="501">
        <f>-PMT(W38/12,U44,U42)</f>
        <v>0</v>
      </c>
      <c r="V46" s="500" t="s">
        <v>543</v>
      </c>
      <c r="W46" s="488">
        <f>U46*12</f>
        <v>0</v>
      </c>
    </row>
    <row r="47" spans="1:23">
      <c r="A47" s="483"/>
      <c r="E47" s="40"/>
      <c r="G47" s="483"/>
      <c r="K47" s="40"/>
      <c r="M47" s="483"/>
      <c r="Q47" s="40"/>
      <c r="S47" s="483"/>
      <c r="W47" s="40"/>
    </row>
    <row r="48" spans="1:23">
      <c r="A48" s="483"/>
      <c r="E48" s="40"/>
      <c r="G48" s="483"/>
      <c r="K48" s="40"/>
      <c r="M48" s="483"/>
      <c r="Q48" s="40"/>
      <c r="S48" s="483"/>
      <c r="W48" s="40"/>
    </row>
    <row r="49" spans="1:23">
      <c r="A49" s="483"/>
      <c r="B49" t="s">
        <v>241</v>
      </c>
      <c r="E49" s="40"/>
      <c r="G49" s="483"/>
      <c r="H49" t="s">
        <v>241</v>
      </c>
      <c r="K49" s="40"/>
      <c r="M49" s="483"/>
      <c r="N49" t="s">
        <v>241</v>
      </c>
      <c r="Q49" s="40"/>
      <c r="S49" s="483"/>
      <c r="T49" t="s">
        <v>241</v>
      </c>
      <c r="W49" s="40"/>
    </row>
    <row r="50" spans="1:23">
      <c r="A50" s="483"/>
      <c r="B50" t="s">
        <v>544</v>
      </c>
      <c r="C50" s="485">
        <f>C46*C44</f>
        <v>0</v>
      </c>
      <c r="E50" s="40"/>
      <c r="G50" s="483"/>
      <c r="H50" t="s">
        <v>544</v>
      </c>
      <c r="I50" s="485">
        <f>I46*I44</f>
        <v>0</v>
      </c>
      <c r="K50" s="40"/>
      <c r="M50" s="483"/>
      <c r="N50" t="s">
        <v>544</v>
      </c>
      <c r="O50" s="485">
        <f>O46*O44</f>
        <v>0</v>
      </c>
      <c r="Q50" s="40"/>
      <c r="S50" s="483"/>
      <c r="T50" t="s">
        <v>544</v>
      </c>
      <c r="U50" s="485">
        <f>U46*U44</f>
        <v>0</v>
      </c>
      <c r="W50" s="40"/>
    </row>
    <row r="51" spans="1:23">
      <c r="A51" s="483"/>
      <c r="E51" s="40"/>
      <c r="G51" s="483"/>
      <c r="K51" s="40"/>
      <c r="M51" s="483"/>
      <c r="Q51" s="40"/>
      <c r="S51" s="483"/>
      <c r="W51" s="40"/>
    </row>
    <row r="52" spans="1:23" ht="13.5" thickBot="1">
      <c r="A52" s="484"/>
      <c r="B52" s="489" t="s">
        <v>299</v>
      </c>
      <c r="C52" s="490">
        <f>C50-C42</f>
        <v>0</v>
      </c>
      <c r="D52" s="99"/>
      <c r="E52" s="157"/>
      <c r="G52" s="484"/>
      <c r="H52" s="489" t="s">
        <v>299</v>
      </c>
      <c r="I52" s="490">
        <f>I50-I42</f>
        <v>0</v>
      </c>
      <c r="J52" s="99"/>
      <c r="K52" s="157"/>
      <c r="M52" s="484"/>
      <c r="N52" s="489" t="s">
        <v>299</v>
      </c>
      <c r="O52" s="490">
        <f>O50-O42</f>
        <v>0</v>
      </c>
      <c r="P52" s="99"/>
      <c r="Q52" s="157"/>
      <c r="S52" s="484"/>
      <c r="T52" s="489" t="s">
        <v>299</v>
      </c>
      <c r="U52" s="490">
        <f>U50-U42</f>
        <v>0</v>
      </c>
      <c r="V52" s="99"/>
      <c r="W52" s="157"/>
    </row>
    <row r="53" spans="1:23" ht="13" thickBot="1"/>
    <row r="54" spans="1:23" ht="13">
      <c r="A54" s="480">
        <v>4</v>
      </c>
      <c r="B54" s="503" t="s">
        <v>533</v>
      </c>
      <c r="C54" s="503"/>
      <c r="D54" s="503"/>
      <c r="E54" s="504"/>
      <c r="G54" s="480">
        <v>4</v>
      </c>
      <c r="H54" s="503" t="s">
        <v>533</v>
      </c>
      <c r="I54" s="503"/>
      <c r="J54" s="503"/>
      <c r="K54" s="504"/>
      <c r="M54" s="480">
        <v>4</v>
      </c>
      <c r="N54" s="503" t="s">
        <v>533</v>
      </c>
      <c r="O54" s="503"/>
      <c r="P54" s="503"/>
      <c r="Q54" s="504"/>
      <c r="S54" s="480">
        <v>4</v>
      </c>
      <c r="T54" s="503" t="s">
        <v>533</v>
      </c>
      <c r="U54" s="503"/>
      <c r="V54" s="503"/>
      <c r="W54" s="504"/>
    </row>
    <row r="55" spans="1:23">
      <c r="A55" s="483"/>
      <c r="B55" t="s">
        <v>534</v>
      </c>
      <c r="C55" s="485">
        <f>SUMIF(Equipos!$Q$6:$Q$55,A54,Equipos!$O$6:$O$55)</f>
        <v>0</v>
      </c>
      <c r="D55" t="s">
        <v>535</v>
      </c>
      <c r="E55" s="487">
        <v>0.11</v>
      </c>
      <c r="G55" s="483"/>
      <c r="H55" t="s">
        <v>534</v>
      </c>
      <c r="I55" s="485">
        <f>SUMIF('Productos 2'!$P$6:$P$15,G54,'Productos 2'!$N$6:$N$15)</f>
        <v>0</v>
      </c>
      <c r="J55" t="s">
        <v>535</v>
      </c>
      <c r="K55" s="487">
        <v>0.11</v>
      </c>
      <c r="M55" s="483"/>
      <c r="N55" t="s">
        <v>534</v>
      </c>
      <c r="O55" s="485">
        <f>SUMIF(MATERIALES!$P$6:$P$44,M54,MATERIALES!$N$6:$N$44)</f>
        <v>0</v>
      </c>
      <c r="P55" t="s">
        <v>535</v>
      </c>
      <c r="Q55" s="487">
        <v>0.11</v>
      </c>
      <c r="S55" s="483"/>
      <c r="T55" t="s">
        <v>534</v>
      </c>
      <c r="U55" s="485">
        <f>SUMIF('OPEX GV'!$P$6:$P$15,S54,'OPEX GV'!$N$6:$N$15)</f>
        <v>0</v>
      </c>
      <c r="V55" t="s">
        <v>535</v>
      </c>
      <c r="W55" s="487">
        <v>0.11</v>
      </c>
    </row>
    <row r="56" spans="1:23">
      <c r="A56" s="483"/>
      <c r="B56" t="s">
        <v>536</v>
      </c>
      <c r="C56" s="499">
        <v>0</v>
      </c>
      <c r="D56" t="s">
        <v>537</v>
      </c>
      <c r="E56" s="487">
        <v>0</v>
      </c>
      <c r="G56" s="483"/>
      <c r="H56" t="s">
        <v>536</v>
      </c>
      <c r="I56" s="499">
        <v>0</v>
      </c>
      <c r="J56" t="s">
        <v>537</v>
      </c>
      <c r="K56" s="487">
        <v>0</v>
      </c>
      <c r="M56" s="483"/>
      <c r="N56" t="s">
        <v>536</v>
      </c>
      <c r="O56" s="499">
        <v>0</v>
      </c>
      <c r="P56" t="s">
        <v>537</v>
      </c>
      <c r="Q56" s="487">
        <v>0</v>
      </c>
      <c r="S56" s="483"/>
      <c r="T56" t="s">
        <v>536</v>
      </c>
      <c r="U56" s="499">
        <v>0</v>
      </c>
      <c r="V56" t="s">
        <v>537</v>
      </c>
      <c r="W56" s="487">
        <v>0</v>
      </c>
    </row>
    <row r="57" spans="1:23">
      <c r="A57" s="483"/>
      <c r="B57" t="s">
        <v>538</v>
      </c>
      <c r="C57" s="499">
        <v>0</v>
      </c>
      <c r="E57" s="40"/>
      <c r="G57" s="483"/>
      <c r="H57" t="s">
        <v>538</v>
      </c>
      <c r="I57" s="499">
        <v>0</v>
      </c>
      <c r="K57" s="40"/>
      <c r="M57" s="483"/>
      <c r="N57" t="s">
        <v>538</v>
      </c>
      <c r="O57" s="499">
        <v>0</v>
      </c>
      <c r="Q57" s="40"/>
      <c r="S57" s="483"/>
      <c r="T57" t="s">
        <v>538</v>
      </c>
      <c r="U57" s="499">
        <v>0</v>
      </c>
      <c r="W57" s="40"/>
    </row>
    <row r="58" spans="1:23">
      <c r="A58" s="483"/>
      <c r="E58" s="40"/>
      <c r="G58" s="483"/>
      <c r="K58" s="40"/>
      <c r="M58" s="483"/>
      <c r="Q58" s="40"/>
      <c r="S58" s="483"/>
      <c r="W58" s="40"/>
    </row>
    <row r="59" spans="1:23" ht="13">
      <c r="A59" s="483"/>
      <c r="B59" s="500" t="s">
        <v>539</v>
      </c>
      <c r="C59" s="501">
        <f>C55-C56-C57</f>
        <v>0</v>
      </c>
      <c r="E59" s="40"/>
      <c r="G59" s="483"/>
      <c r="H59" s="500" t="s">
        <v>539</v>
      </c>
      <c r="I59" s="501">
        <f>I55-I56-I57</f>
        <v>0</v>
      </c>
      <c r="K59" s="40"/>
      <c r="M59" s="483"/>
      <c r="N59" s="500" t="s">
        <v>539</v>
      </c>
      <c r="O59" s="501">
        <f>O55-O56-O57</f>
        <v>0</v>
      </c>
      <c r="Q59" s="40"/>
      <c r="S59" s="483"/>
      <c r="T59" s="500" t="s">
        <v>539</v>
      </c>
      <c r="U59" s="501">
        <f>U55-U56-U57</f>
        <v>0</v>
      </c>
      <c r="W59" s="40"/>
    </row>
    <row r="60" spans="1:23">
      <c r="A60" s="483"/>
      <c r="B60" t="s">
        <v>540</v>
      </c>
      <c r="C60" s="502">
        <v>4</v>
      </c>
      <c r="E60" s="40"/>
      <c r="G60" s="483"/>
      <c r="H60" t="s">
        <v>540</v>
      </c>
      <c r="I60" s="502">
        <v>4</v>
      </c>
      <c r="K60" s="40"/>
      <c r="M60" s="483"/>
      <c r="N60" t="s">
        <v>540</v>
      </c>
      <c r="O60" s="502">
        <v>4</v>
      </c>
      <c r="Q60" s="40"/>
      <c r="S60" s="483"/>
      <c r="T60" t="s">
        <v>540</v>
      </c>
      <c r="U60" s="502">
        <v>4</v>
      </c>
      <c r="W60" s="40"/>
    </row>
    <row r="61" spans="1:23">
      <c r="A61" s="483"/>
      <c r="B61" t="s">
        <v>541</v>
      </c>
      <c r="C61" s="486">
        <f>C60*12</f>
        <v>48</v>
      </c>
      <c r="E61" s="40"/>
      <c r="G61" s="483"/>
      <c r="H61" t="s">
        <v>541</v>
      </c>
      <c r="I61" s="486">
        <f>I60*12</f>
        <v>48</v>
      </c>
      <c r="K61" s="40"/>
      <c r="M61" s="483"/>
      <c r="N61" t="s">
        <v>541</v>
      </c>
      <c r="O61" s="486">
        <f>O60*12</f>
        <v>48</v>
      </c>
      <c r="Q61" s="40"/>
      <c r="S61" s="483"/>
      <c r="T61" t="s">
        <v>541</v>
      </c>
      <c r="U61" s="486">
        <f>U60*12</f>
        <v>48</v>
      </c>
      <c r="W61" s="40"/>
    </row>
    <row r="62" spans="1:23">
      <c r="A62" s="483"/>
      <c r="E62" s="40"/>
      <c r="G62" s="483"/>
      <c r="K62" s="40"/>
      <c r="M62" s="483"/>
      <c r="Q62" s="40"/>
      <c r="S62" s="483"/>
      <c r="W62" s="40"/>
    </row>
    <row r="63" spans="1:23" ht="13">
      <c r="A63" s="483"/>
      <c r="B63" s="500" t="s">
        <v>542</v>
      </c>
      <c r="C63" s="501">
        <f>-PMT(E55/12,C61,C59)</f>
        <v>0</v>
      </c>
      <c r="D63" s="500" t="s">
        <v>543</v>
      </c>
      <c r="E63" s="488">
        <f>C63*12</f>
        <v>0</v>
      </c>
      <c r="G63" s="483"/>
      <c r="H63" s="500" t="s">
        <v>542</v>
      </c>
      <c r="I63" s="501">
        <f>-PMT(K55/12,I61,I59)</f>
        <v>0</v>
      </c>
      <c r="J63" s="500" t="s">
        <v>543</v>
      </c>
      <c r="K63" s="488">
        <f>I63*12</f>
        <v>0</v>
      </c>
      <c r="M63" s="483"/>
      <c r="N63" s="500" t="s">
        <v>542</v>
      </c>
      <c r="O63" s="501">
        <f>-PMT(Q55/12,O61,O59)</f>
        <v>0</v>
      </c>
      <c r="P63" s="500" t="s">
        <v>543</v>
      </c>
      <c r="Q63" s="488">
        <f>O63*12</f>
        <v>0</v>
      </c>
      <c r="S63" s="483"/>
      <c r="T63" s="500" t="s">
        <v>542</v>
      </c>
      <c r="U63" s="501">
        <f>-PMT(W55/12,U61,U59)</f>
        <v>0</v>
      </c>
      <c r="V63" s="500" t="s">
        <v>543</v>
      </c>
      <c r="W63" s="488">
        <f>U63*12</f>
        <v>0</v>
      </c>
    </row>
    <row r="64" spans="1:23">
      <c r="A64" s="483"/>
      <c r="E64" s="40"/>
      <c r="G64" s="483"/>
      <c r="K64" s="40"/>
      <c r="M64" s="483"/>
      <c r="Q64" s="40"/>
      <c r="S64" s="483"/>
      <c r="W64" s="40"/>
    </row>
    <row r="65" spans="1:23">
      <c r="A65" s="483"/>
      <c r="E65" s="40"/>
      <c r="G65" s="483"/>
      <c r="K65" s="40"/>
      <c r="M65" s="483"/>
      <c r="Q65" s="40"/>
      <c r="S65" s="483"/>
      <c r="W65" s="40"/>
    </row>
    <row r="66" spans="1:23">
      <c r="A66" s="483"/>
      <c r="B66" t="s">
        <v>241</v>
      </c>
      <c r="E66" s="40"/>
      <c r="G66" s="483"/>
      <c r="H66" t="s">
        <v>241</v>
      </c>
      <c r="K66" s="40"/>
      <c r="M66" s="483"/>
      <c r="N66" t="s">
        <v>241</v>
      </c>
      <c r="Q66" s="40"/>
      <c r="S66" s="483"/>
      <c r="T66" t="s">
        <v>241</v>
      </c>
      <c r="W66" s="40"/>
    </row>
    <row r="67" spans="1:23">
      <c r="A67" s="483"/>
      <c r="B67" t="s">
        <v>544</v>
      </c>
      <c r="C67" s="485">
        <f>C63*C61</f>
        <v>0</v>
      </c>
      <c r="E67" s="40"/>
      <c r="G67" s="483"/>
      <c r="H67" t="s">
        <v>544</v>
      </c>
      <c r="I67" s="485">
        <f>I63*I61</f>
        <v>0</v>
      </c>
      <c r="K67" s="40"/>
      <c r="M67" s="483"/>
      <c r="N67" t="s">
        <v>544</v>
      </c>
      <c r="O67" s="485">
        <f>O63*O61</f>
        <v>0</v>
      </c>
      <c r="Q67" s="40"/>
      <c r="S67" s="483"/>
      <c r="T67" t="s">
        <v>544</v>
      </c>
      <c r="U67" s="485">
        <f>U63*U61</f>
        <v>0</v>
      </c>
      <c r="W67" s="40"/>
    </row>
    <row r="68" spans="1:23">
      <c r="A68" s="483"/>
      <c r="E68" s="40"/>
      <c r="G68" s="483"/>
      <c r="K68" s="40"/>
      <c r="M68" s="483"/>
      <c r="Q68" s="40"/>
      <c r="S68" s="483"/>
      <c r="W68" s="40"/>
    </row>
    <row r="69" spans="1:23" ht="13.5" thickBot="1">
      <c r="A69" s="484"/>
      <c r="B69" s="489" t="s">
        <v>299</v>
      </c>
      <c r="C69" s="490">
        <f>C67-C59</f>
        <v>0</v>
      </c>
      <c r="D69" s="99"/>
      <c r="E69" s="157"/>
      <c r="G69" s="484"/>
      <c r="H69" s="489" t="s">
        <v>299</v>
      </c>
      <c r="I69" s="490">
        <f>I67-I59</f>
        <v>0</v>
      </c>
      <c r="J69" s="99"/>
      <c r="K69" s="157"/>
      <c r="M69" s="484"/>
      <c r="N69" s="489" t="s">
        <v>299</v>
      </c>
      <c r="O69" s="490">
        <f>O67-O59</f>
        <v>0</v>
      </c>
      <c r="P69" s="99"/>
      <c r="Q69" s="157"/>
      <c r="S69" s="484"/>
      <c r="T69" s="489" t="s">
        <v>299</v>
      </c>
      <c r="U69" s="490">
        <f>U67-U59</f>
        <v>0</v>
      </c>
      <c r="V69" s="99"/>
      <c r="W69" s="157"/>
    </row>
    <row r="70" spans="1:23" ht="13" thickBot="1"/>
    <row r="71" spans="1:23" ht="13">
      <c r="A71" s="480">
        <v>5</v>
      </c>
      <c r="B71" s="503" t="s">
        <v>533</v>
      </c>
      <c r="C71" s="503"/>
      <c r="D71" s="503"/>
      <c r="E71" s="504"/>
      <c r="G71" s="480">
        <v>5</v>
      </c>
      <c r="H71" s="503" t="s">
        <v>533</v>
      </c>
      <c r="I71" s="503"/>
      <c r="J71" s="503"/>
      <c r="K71" s="504"/>
      <c r="M71" s="480">
        <v>5</v>
      </c>
      <c r="N71" s="503" t="s">
        <v>533</v>
      </c>
      <c r="O71" s="503"/>
      <c r="P71" s="503"/>
      <c r="Q71" s="504"/>
      <c r="S71" s="480">
        <v>5</v>
      </c>
      <c r="T71" s="503" t="s">
        <v>533</v>
      </c>
      <c r="U71" s="503"/>
      <c r="V71" s="503"/>
      <c r="W71" s="504"/>
    </row>
    <row r="72" spans="1:23">
      <c r="A72" s="483"/>
      <c r="B72" t="s">
        <v>534</v>
      </c>
      <c r="C72" s="485">
        <f>SUMIF(Equipos!$Q$6:$Q$55,A71,Equipos!$O$6:$O$55)</f>
        <v>0</v>
      </c>
      <c r="D72" t="s">
        <v>535</v>
      </c>
      <c r="E72" s="487">
        <v>0.11</v>
      </c>
      <c r="G72" s="483"/>
      <c r="H72" t="s">
        <v>534</v>
      </c>
      <c r="I72" s="485">
        <f>SUMIF('Productos 2'!$P$6:$P$15,G71,'Productos 2'!$N$6:$N$15)</f>
        <v>0</v>
      </c>
      <c r="J72" t="s">
        <v>535</v>
      </c>
      <c r="K72" s="487">
        <v>0.11</v>
      </c>
      <c r="M72" s="483"/>
      <c r="N72" t="s">
        <v>534</v>
      </c>
      <c r="O72" s="485">
        <f>SUMIF(MATERIALES!$P$6:$P$44,M71,MATERIALES!$N$6:$N$44)</f>
        <v>0</v>
      </c>
      <c r="P72" t="s">
        <v>535</v>
      </c>
      <c r="Q72" s="487">
        <v>0.11</v>
      </c>
      <c r="S72" s="483"/>
      <c r="T72" t="s">
        <v>534</v>
      </c>
      <c r="U72" s="485">
        <f>SUMIF('OPEX GV'!$P$6:$P$15,S71,'OPEX GV'!$N$6:$N$15)</f>
        <v>0</v>
      </c>
      <c r="V72" t="s">
        <v>535</v>
      </c>
      <c r="W72" s="487">
        <v>0.11</v>
      </c>
    </row>
    <row r="73" spans="1:23">
      <c r="A73" s="483"/>
      <c r="B73" t="s">
        <v>536</v>
      </c>
      <c r="C73" s="499">
        <v>0</v>
      </c>
      <c r="D73" t="s">
        <v>537</v>
      </c>
      <c r="E73" s="487">
        <v>0</v>
      </c>
      <c r="G73" s="483"/>
      <c r="H73" t="s">
        <v>536</v>
      </c>
      <c r="I73" s="499">
        <v>0</v>
      </c>
      <c r="J73" t="s">
        <v>537</v>
      </c>
      <c r="K73" s="487">
        <v>0</v>
      </c>
      <c r="M73" s="483"/>
      <c r="N73" t="s">
        <v>536</v>
      </c>
      <c r="O73" s="499">
        <v>0</v>
      </c>
      <c r="P73" t="s">
        <v>537</v>
      </c>
      <c r="Q73" s="487">
        <v>0</v>
      </c>
      <c r="S73" s="483"/>
      <c r="T73" t="s">
        <v>536</v>
      </c>
      <c r="U73" s="499">
        <v>0</v>
      </c>
      <c r="V73" t="s">
        <v>537</v>
      </c>
      <c r="W73" s="487">
        <v>0</v>
      </c>
    </row>
    <row r="74" spans="1:23">
      <c r="A74" s="483"/>
      <c r="B74" t="s">
        <v>538</v>
      </c>
      <c r="C74" s="499">
        <v>0</v>
      </c>
      <c r="E74" s="40"/>
      <c r="G74" s="483"/>
      <c r="H74" t="s">
        <v>538</v>
      </c>
      <c r="I74" s="499">
        <v>0</v>
      </c>
      <c r="K74" s="40"/>
      <c r="M74" s="483"/>
      <c r="N74" t="s">
        <v>538</v>
      </c>
      <c r="O74" s="499">
        <v>0</v>
      </c>
      <c r="Q74" s="40"/>
      <c r="S74" s="483"/>
      <c r="T74" t="s">
        <v>538</v>
      </c>
      <c r="U74" s="499">
        <v>0</v>
      </c>
      <c r="W74" s="40"/>
    </row>
    <row r="75" spans="1:23">
      <c r="A75" s="483"/>
      <c r="E75" s="40"/>
      <c r="G75" s="483"/>
      <c r="K75" s="40"/>
      <c r="M75" s="483"/>
      <c r="Q75" s="40"/>
      <c r="S75" s="483"/>
      <c r="W75" s="40"/>
    </row>
    <row r="76" spans="1:23" ht="13">
      <c r="A76" s="483"/>
      <c r="B76" s="500" t="s">
        <v>539</v>
      </c>
      <c r="C76" s="501">
        <f>C72-C73-C74</f>
        <v>0</v>
      </c>
      <c r="E76" s="40"/>
      <c r="G76" s="483"/>
      <c r="H76" s="500" t="s">
        <v>539</v>
      </c>
      <c r="I76" s="501">
        <f>I72-I73-I74</f>
        <v>0</v>
      </c>
      <c r="K76" s="40"/>
      <c r="M76" s="483"/>
      <c r="N76" s="500" t="s">
        <v>539</v>
      </c>
      <c r="O76" s="501">
        <f>O72-O73-O74</f>
        <v>0</v>
      </c>
      <c r="Q76" s="40"/>
      <c r="S76" s="483"/>
      <c r="T76" s="500" t="s">
        <v>539</v>
      </c>
      <c r="U76" s="501">
        <f>U72-U73-U74</f>
        <v>0</v>
      </c>
      <c r="W76" s="40"/>
    </row>
    <row r="77" spans="1:23">
      <c r="A77" s="483"/>
      <c r="B77" t="s">
        <v>540</v>
      </c>
      <c r="C77" s="502">
        <v>4</v>
      </c>
      <c r="E77" s="40"/>
      <c r="G77" s="483"/>
      <c r="H77" t="s">
        <v>540</v>
      </c>
      <c r="I77" s="502">
        <v>4</v>
      </c>
      <c r="K77" s="40"/>
      <c r="M77" s="483"/>
      <c r="N77" t="s">
        <v>540</v>
      </c>
      <c r="O77" s="502">
        <v>4</v>
      </c>
      <c r="Q77" s="40"/>
      <c r="S77" s="483"/>
      <c r="T77" t="s">
        <v>540</v>
      </c>
      <c r="U77" s="502">
        <v>4</v>
      </c>
      <c r="W77" s="40"/>
    </row>
    <row r="78" spans="1:23">
      <c r="A78" s="483"/>
      <c r="B78" t="s">
        <v>541</v>
      </c>
      <c r="C78" s="486">
        <f>C77*12</f>
        <v>48</v>
      </c>
      <c r="E78" s="40"/>
      <c r="G78" s="483"/>
      <c r="H78" t="s">
        <v>541</v>
      </c>
      <c r="I78" s="486">
        <f>I77*12</f>
        <v>48</v>
      </c>
      <c r="K78" s="40"/>
      <c r="M78" s="483"/>
      <c r="N78" t="s">
        <v>541</v>
      </c>
      <c r="O78" s="486">
        <f>O77*12</f>
        <v>48</v>
      </c>
      <c r="Q78" s="40"/>
      <c r="S78" s="483"/>
      <c r="T78" t="s">
        <v>541</v>
      </c>
      <c r="U78" s="486">
        <f>U77*12</f>
        <v>48</v>
      </c>
      <c r="W78" s="40"/>
    </row>
    <row r="79" spans="1:23">
      <c r="A79" s="483"/>
      <c r="E79" s="40"/>
      <c r="G79" s="483"/>
      <c r="K79" s="40"/>
      <c r="M79" s="483"/>
      <c r="Q79" s="40"/>
      <c r="S79" s="483"/>
      <c r="W79" s="40"/>
    </row>
    <row r="80" spans="1:23" ht="13">
      <c r="A80" s="483"/>
      <c r="B80" s="500" t="s">
        <v>542</v>
      </c>
      <c r="C80" s="501">
        <f>-PMT(E72/12,C78,C76)</f>
        <v>0</v>
      </c>
      <c r="D80" s="500" t="s">
        <v>543</v>
      </c>
      <c r="E80" s="488">
        <f>C80*12</f>
        <v>0</v>
      </c>
      <c r="G80" s="483"/>
      <c r="H80" s="500" t="s">
        <v>542</v>
      </c>
      <c r="I80" s="501">
        <f>-PMT(K72/12,I78,I76)</f>
        <v>0</v>
      </c>
      <c r="J80" s="500" t="s">
        <v>543</v>
      </c>
      <c r="K80" s="488">
        <f>I80*12</f>
        <v>0</v>
      </c>
      <c r="M80" s="483"/>
      <c r="N80" s="500" t="s">
        <v>542</v>
      </c>
      <c r="O80" s="501">
        <f>-PMT(Q72/12,O78,O76)</f>
        <v>0</v>
      </c>
      <c r="P80" s="500" t="s">
        <v>543</v>
      </c>
      <c r="Q80" s="488">
        <f>O80*12</f>
        <v>0</v>
      </c>
      <c r="S80" s="483"/>
      <c r="T80" s="500" t="s">
        <v>542</v>
      </c>
      <c r="U80" s="501">
        <f>-PMT(W72/12,U78,U76)</f>
        <v>0</v>
      </c>
      <c r="V80" s="500" t="s">
        <v>543</v>
      </c>
      <c r="W80" s="488">
        <f>U80*12</f>
        <v>0</v>
      </c>
    </row>
    <row r="81" spans="1:23">
      <c r="A81" s="483"/>
      <c r="E81" s="40"/>
      <c r="G81" s="483"/>
      <c r="K81" s="40"/>
      <c r="M81" s="483"/>
      <c r="Q81" s="40"/>
      <c r="S81" s="483"/>
      <c r="W81" s="40"/>
    </row>
    <row r="82" spans="1:23">
      <c r="A82" s="483"/>
      <c r="E82" s="40"/>
      <c r="G82" s="483"/>
      <c r="K82" s="40"/>
      <c r="M82" s="483"/>
      <c r="Q82" s="40"/>
      <c r="S82" s="483"/>
      <c r="W82" s="40"/>
    </row>
    <row r="83" spans="1:23">
      <c r="A83" s="483"/>
      <c r="B83" t="s">
        <v>241</v>
      </c>
      <c r="E83" s="40"/>
      <c r="G83" s="483"/>
      <c r="H83" t="s">
        <v>241</v>
      </c>
      <c r="K83" s="40"/>
      <c r="M83" s="483"/>
      <c r="N83" t="s">
        <v>241</v>
      </c>
      <c r="Q83" s="40"/>
      <c r="S83" s="483"/>
      <c r="T83" t="s">
        <v>241</v>
      </c>
      <c r="W83" s="40"/>
    </row>
    <row r="84" spans="1:23">
      <c r="A84" s="483"/>
      <c r="B84" t="s">
        <v>544</v>
      </c>
      <c r="C84" s="485">
        <f>C80*C78</f>
        <v>0</v>
      </c>
      <c r="E84" s="40"/>
      <c r="G84" s="483"/>
      <c r="H84" t="s">
        <v>544</v>
      </c>
      <c r="I84" s="485">
        <f>I80*I78</f>
        <v>0</v>
      </c>
      <c r="K84" s="40"/>
      <c r="M84" s="483"/>
      <c r="N84" t="s">
        <v>544</v>
      </c>
      <c r="O84" s="485">
        <f>O80*O78</f>
        <v>0</v>
      </c>
      <c r="Q84" s="40"/>
      <c r="S84" s="483"/>
      <c r="T84" t="s">
        <v>544</v>
      </c>
      <c r="U84" s="485">
        <f>U80*U78</f>
        <v>0</v>
      </c>
      <c r="W84" s="40"/>
    </row>
    <row r="85" spans="1:23">
      <c r="A85" s="483"/>
      <c r="E85" s="40"/>
      <c r="G85" s="483"/>
      <c r="K85" s="40"/>
      <c r="M85" s="483"/>
      <c r="Q85" s="40"/>
      <c r="S85" s="483"/>
      <c r="W85" s="40"/>
    </row>
    <row r="86" spans="1:23" ht="13.5" thickBot="1">
      <c r="A86" s="484"/>
      <c r="B86" s="489" t="s">
        <v>299</v>
      </c>
      <c r="C86" s="490">
        <f>C84-C76</f>
        <v>0</v>
      </c>
      <c r="D86" s="99"/>
      <c r="E86" s="157"/>
      <c r="G86" s="484"/>
      <c r="H86" s="489" t="s">
        <v>299</v>
      </c>
      <c r="I86" s="490">
        <f>I84-I76</f>
        <v>0</v>
      </c>
      <c r="J86" s="99"/>
      <c r="K86" s="157"/>
      <c r="M86" s="484"/>
      <c r="N86" s="489" t="s">
        <v>299</v>
      </c>
      <c r="O86" s="490">
        <f>O84-O76</f>
        <v>0</v>
      </c>
      <c r="P86" s="99"/>
      <c r="Q86" s="157"/>
      <c r="S86" s="484"/>
      <c r="T86" s="489" t="s">
        <v>299</v>
      </c>
      <c r="U86" s="490">
        <f>U84-U76</f>
        <v>0</v>
      </c>
      <c r="V86" s="99"/>
      <c r="W86" s="157"/>
    </row>
    <row r="87" spans="1:23" ht="13" thickBot="1"/>
    <row r="88" spans="1:23" ht="13">
      <c r="A88" s="480">
        <v>6</v>
      </c>
      <c r="B88" s="503" t="s">
        <v>533</v>
      </c>
      <c r="C88" s="503"/>
      <c r="D88" s="503"/>
      <c r="E88" s="504"/>
      <c r="G88" s="480">
        <v>6</v>
      </c>
      <c r="H88" s="503" t="s">
        <v>533</v>
      </c>
      <c r="I88" s="503"/>
      <c r="J88" s="503"/>
      <c r="K88" s="504"/>
      <c r="M88" s="480">
        <v>6</v>
      </c>
      <c r="N88" s="503" t="s">
        <v>533</v>
      </c>
      <c r="O88" s="503"/>
      <c r="P88" s="503"/>
      <c r="Q88" s="504"/>
      <c r="S88" s="480">
        <v>6</v>
      </c>
      <c r="T88" s="503" t="s">
        <v>533</v>
      </c>
      <c r="U88" s="503"/>
      <c r="V88" s="503"/>
      <c r="W88" s="504"/>
    </row>
    <row r="89" spans="1:23">
      <c r="A89" s="483"/>
      <c r="B89" t="s">
        <v>534</v>
      </c>
      <c r="C89" s="485">
        <f>SUMIF(Equipos!$Q$6:$Q$55,A88,Equipos!$O$6:$O$55)</f>
        <v>0</v>
      </c>
      <c r="D89" t="s">
        <v>535</v>
      </c>
      <c r="E89" s="487">
        <v>0.11</v>
      </c>
      <c r="G89" s="483"/>
      <c r="H89" t="s">
        <v>534</v>
      </c>
      <c r="I89" s="485">
        <f>SUMIF('Productos 2'!$P$6:$P$15,G88,'Productos 2'!$N$6:$N$15)</f>
        <v>0</v>
      </c>
      <c r="J89" t="s">
        <v>535</v>
      </c>
      <c r="K89" s="487">
        <v>0.11</v>
      </c>
      <c r="M89" s="483"/>
      <c r="N89" t="s">
        <v>534</v>
      </c>
      <c r="O89" s="485">
        <f>SUMIF(MATERIALES!$P$6:$P$44,M88,MATERIALES!$N$6:$N$44)</f>
        <v>0</v>
      </c>
      <c r="P89" t="s">
        <v>535</v>
      </c>
      <c r="Q89" s="487">
        <v>0.11</v>
      </c>
      <c r="S89" s="483"/>
      <c r="T89" t="s">
        <v>534</v>
      </c>
      <c r="U89" s="485">
        <f>SUMIF('OPEX GV'!$P$6:$P$15,S88,'OPEX GV'!$N$6:$N$15)</f>
        <v>0</v>
      </c>
      <c r="V89" t="s">
        <v>535</v>
      </c>
      <c r="W89" s="487">
        <v>0.11</v>
      </c>
    </row>
    <row r="90" spans="1:23">
      <c r="A90" s="483"/>
      <c r="B90" t="s">
        <v>536</v>
      </c>
      <c r="C90" s="499">
        <v>0</v>
      </c>
      <c r="D90" t="s">
        <v>537</v>
      </c>
      <c r="E90" s="487">
        <v>0</v>
      </c>
      <c r="G90" s="483"/>
      <c r="H90" t="s">
        <v>536</v>
      </c>
      <c r="I90" s="499">
        <v>0</v>
      </c>
      <c r="J90" t="s">
        <v>537</v>
      </c>
      <c r="K90" s="487">
        <v>0</v>
      </c>
      <c r="M90" s="483"/>
      <c r="N90" t="s">
        <v>536</v>
      </c>
      <c r="O90" s="499">
        <v>0</v>
      </c>
      <c r="P90" t="s">
        <v>537</v>
      </c>
      <c r="Q90" s="487">
        <v>0</v>
      </c>
      <c r="S90" s="483"/>
      <c r="T90" t="s">
        <v>536</v>
      </c>
      <c r="U90" s="499">
        <v>0</v>
      </c>
      <c r="V90" t="s">
        <v>537</v>
      </c>
      <c r="W90" s="487">
        <v>0</v>
      </c>
    </row>
    <row r="91" spans="1:23">
      <c r="A91" s="483"/>
      <c r="B91" t="s">
        <v>538</v>
      </c>
      <c r="C91" s="499">
        <v>0</v>
      </c>
      <c r="E91" s="40"/>
      <c r="G91" s="483"/>
      <c r="H91" t="s">
        <v>538</v>
      </c>
      <c r="I91" s="499">
        <v>0</v>
      </c>
      <c r="K91" s="40"/>
      <c r="M91" s="483"/>
      <c r="N91" t="s">
        <v>538</v>
      </c>
      <c r="O91" s="499">
        <v>0</v>
      </c>
      <c r="Q91" s="40"/>
      <c r="S91" s="483"/>
      <c r="T91" t="s">
        <v>538</v>
      </c>
      <c r="U91" s="499">
        <v>0</v>
      </c>
      <c r="W91" s="40"/>
    </row>
    <row r="92" spans="1:23">
      <c r="A92" s="483"/>
      <c r="E92" s="40"/>
      <c r="G92" s="483"/>
      <c r="K92" s="40"/>
      <c r="M92" s="483"/>
      <c r="Q92" s="40"/>
      <c r="S92" s="483"/>
      <c r="W92" s="40"/>
    </row>
    <row r="93" spans="1:23" ht="13">
      <c r="A93" s="483"/>
      <c r="B93" s="500" t="s">
        <v>539</v>
      </c>
      <c r="C93" s="501">
        <f>C89-C90-C91</f>
        <v>0</v>
      </c>
      <c r="E93" s="40"/>
      <c r="G93" s="483"/>
      <c r="H93" s="500" t="s">
        <v>539</v>
      </c>
      <c r="I93" s="501">
        <f>I89-I90-I91</f>
        <v>0</v>
      </c>
      <c r="K93" s="40"/>
      <c r="M93" s="483"/>
      <c r="N93" s="500" t="s">
        <v>539</v>
      </c>
      <c r="O93" s="501">
        <f>O89-O90-O91</f>
        <v>0</v>
      </c>
      <c r="Q93" s="40"/>
      <c r="S93" s="483"/>
      <c r="T93" s="500" t="s">
        <v>539</v>
      </c>
      <c r="U93" s="501">
        <f>U89-U90-U91</f>
        <v>0</v>
      </c>
      <c r="W93" s="40"/>
    </row>
    <row r="94" spans="1:23">
      <c r="A94" s="483"/>
      <c r="B94" t="s">
        <v>540</v>
      </c>
      <c r="C94" s="502">
        <v>4</v>
      </c>
      <c r="E94" s="40"/>
      <c r="G94" s="483"/>
      <c r="H94" t="s">
        <v>540</v>
      </c>
      <c r="I94" s="502">
        <v>4</v>
      </c>
      <c r="K94" s="40"/>
      <c r="M94" s="483"/>
      <c r="N94" t="s">
        <v>540</v>
      </c>
      <c r="O94" s="502">
        <v>4</v>
      </c>
      <c r="Q94" s="40"/>
      <c r="S94" s="483"/>
      <c r="T94" t="s">
        <v>540</v>
      </c>
      <c r="U94" s="502">
        <v>4</v>
      </c>
      <c r="W94" s="40"/>
    </row>
    <row r="95" spans="1:23">
      <c r="A95" s="483"/>
      <c r="B95" t="s">
        <v>541</v>
      </c>
      <c r="C95" s="486">
        <f>C94*12</f>
        <v>48</v>
      </c>
      <c r="E95" s="40"/>
      <c r="G95" s="483"/>
      <c r="H95" t="s">
        <v>541</v>
      </c>
      <c r="I95" s="486">
        <f>I94*12</f>
        <v>48</v>
      </c>
      <c r="K95" s="40"/>
      <c r="M95" s="483"/>
      <c r="N95" t="s">
        <v>541</v>
      </c>
      <c r="O95" s="486">
        <f>O94*12</f>
        <v>48</v>
      </c>
      <c r="Q95" s="40"/>
      <c r="S95" s="483"/>
      <c r="T95" t="s">
        <v>541</v>
      </c>
      <c r="U95" s="486">
        <f>U94*12</f>
        <v>48</v>
      </c>
      <c r="W95" s="40"/>
    </row>
    <row r="96" spans="1:23">
      <c r="A96" s="483"/>
      <c r="E96" s="40"/>
      <c r="G96" s="483"/>
      <c r="K96" s="40"/>
      <c r="M96" s="483"/>
      <c r="Q96" s="40"/>
      <c r="S96" s="483"/>
      <c r="W96" s="40"/>
    </row>
    <row r="97" spans="1:23" ht="13">
      <c r="A97" s="483"/>
      <c r="B97" s="500" t="s">
        <v>542</v>
      </c>
      <c r="C97" s="501">
        <f>-PMT(E89/12,C95,C93)</f>
        <v>0</v>
      </c>
      <c r="D97" s="500" t="s">
        <v>543</v>
      </c>
      <c r="E97" s="488">
        <f>C97*12</f>
        <v>0</v>
      </c>
      <c r="G97" s="483"/>
      <c r="H97" s="500" t="s">
        <v>542</v>
      </c>
      <c r="I97" s="501">
        <f>-PMT(K89/12,I95,I93)</f>
        <v>0</v>
      </c>
      <c r="J97" s="500" t="s">
        <v>543</v>
      </c>
      <c r="K97" s="488">
        <f>I97*12</f>
        <v>0</v>
      </c>
      <c r="M97" s="483"/>
      <c r="N97" s="500" t="s">
        <v>542</v>
      </c>
      <c r="O97" s="501">
        <f>-PMT(Q89/12,O95,O93)</f>
        <v>0</v>
      </c>
      <c r="P97" s="500" t="s">
        <v>543</v>
      </c>
      <c r="Q97" s="488">
        <f>O97*12</f>
        <v>0</v>
      </c>
      <c r="S97" s="483"/>
      <c r="T97" s="500" t="s">
        <v>542</v>
      </c>
      <c r="U97" s="501">
        <f>-PMT(W89/12,U95,U93)</f>
        <v>0</v>
      </c>
      <c r="V97" s="500" t="s">
        <v>543</v>
      </c>
      <c r="W97" s="488">
        <f>U97*12</f>
        <v>0</v>
      </c>
    </row>
    <row r="98" spans="1:23">
      <c r="A98" s="483"/>
      <c r="E98" s="40"/>
      <c r="G98" s="483"/>
      <c r="K98" s="40"/>
      <c r="M98" s="483"/>
      <c r="Q98" s="40"/>
      <c r="S98" s="483"/>
      <c r="W98" s="40"/>
    </row>
    <row r="99" spans="1:23">
      <c r="A99" s="483"/>
      <c r="E99" s="40"/>
      <c r="G99" s="483"/>
      <c r="K99" s="40"/>
      <c r="M99" s="483"/>
      <c r="Q99" s="40"/>
      <c r="S99" s="483"/>
      <c r="W99" s="40"/>
    </row>
    <row r="100" spans="1:23">
      <c r="A100" s="483"/>
      <c r="B100" t="s">
        <v>241</v>
      </c>
      <c r="E100" s="40"/>
      <c r="G100" s="483"/>
      <c r="H100" t="s">
        <v>241</v>
      </c>
      <c r="K100" s="40"/>
      <c r="M100" s="483"/>
      <c r="N100" t="s">
        <v>241</v>
      </c>
      <c r="Q100" s="40"/>
      <c r="S100" s="483"/>
      <c r="T100" t="s">
        <v>241</v>
      </c>
      <c r="W100" s="40"/>
    </row>
    <row r="101" spans="1:23">
      <c r="A101" s="483"/>
      <c r="B101" t="s">
        <v>544</v>
      </c>
      <c r="C101" s="485">
        <f>C97*C95</f>
        <v>0</v>
      </c>
      <c r="E101" s="40"/>
      <c r="G101" s="483"/>
      <c r="H101" t="s">
        <v>544</v>
      </c>
      <c r="I101" s="485">
        <f>I97*I95</f>
        <v>0</v>
      </c>
      <c r="K101" s="40"/>
      <c r="M101" s="483"/>
      <c r="N101" t="s">
        <v>544</v>
      </c>
      <c r="O101" s="485">
        <f>O97*O95</f>
        <v>0</v>
      </c>
      <c r="Q101" s="40"/>
      <c r="S101" s="483"/>
      <c r="T101" t="s">
        <v>544</v>
      </c>
      <c r="U101" s="485">
        <f>U97*U95</f>
        <v>0</v>
      </c>
      <c r="W101" s="40"/>
    </row>
    <row r="102" spans="1:23">
      <c r="A102" s="483"/>
      <c r="E102" s="40"/>
      <c r="G102" s="483"/>
      <c r="K102" s="40"/>
      <c r="M102" s="483"/>
      <c r="Q102" s="40"/>
      <c r="S102" s="483"/>
      <c r="W102" s="40"/>
    </row>
    <row r="103" spans="1:23" ht="13.5" thickBot="1">
      <c r="A103" s="484"/>
      <c r="B103" s="489" t="s">
        <v>299</v>
      </c>
      <c r="C103" s="490">
        <f>C101-C93</f>
        <v>0</v>
      </c>
      <c r="D103" s="99"/>
      <c r="E103" s="157"/>
      <c r="G103" s="484"/>
      <c r="H103" s="489" t="s">
        <v>299</v>
      </c>
      <c r="I103" s="490">
        <f>I101-I93</f>
        <v>0</v>
      </c>
      <c r="J103" s="99"/>
      <c r="K103" s="157"/>
      <c r="M103" s="484"/>
      <c r="N103" s="489" t="s">
        <v>299</v>
      </c>
      <c r="O103" s="490">
        <f>O101-O93</f>
        <v>0</v>
      </c>
      <c r="P103" s="99"/>
      <c r="Q103" s="157"/>
      <c r="S103" s="484"/>
      <c r="T103" s="489" t="s">
        <v>299</v>
      </c>
      <c r="U103" s="490">
        <f>U101-U93</f>
        <v>0</v>
      </c>
      <c r="V103" s="99"/>
      <c r="W103" s="157"/>
    </row>
    <row r="104" spans="1:23" ht="13" thickBot="1"/>
    <row r="105" spans="1:23" ht="13">
      <c r="A105" s="480">
        <v>7</v>
      </c>
      <c r="B105" s="503" t="s">
        <v>533</v>
      </c>
      <c r="C105" s="503"/>
      <c r="D105" s="503"/>
      <c r="E105" s="504"/>
      <c r="G105" s="480">
        <v>7</v>
      </c>
      <c r="H105" s="503" t="s">
        <v>533</v>
      </c>
      <c r="I105" s="503"/>
      <c r="J105" s="503"/>
      <c r="K105" s="504"/>
      <c r="M105" s="480">
        <v>7</v>
      </c>
      <c r="N105" s="503" t="s">
        <v>533</v>
      </c>
      <c r="O105" s="503"/>
      <c r="P105" s="503"/>
      <c r="Q105" s="504"/>
      <c r="S105" s="480">
        <v>7</v>
      </c>
      <c r="T105" s="503" t="s">
        <v>533</v>
      </c>
      <c r="U105" s="503"/>
      <c r="V105" s="503"/>
      <c r="W105" s="504"/>
    </row>
    <row r="106" spans="1:23">
      <c r="A106" s="483"/>
      <c r="B106" t="s">
        <v>534</v>
      </c>
      <c r="C106" s="485">
        <f>SUMIF(Equipos!$Q$6:$Q$55,A105,Equipos!$O$6:$O$55)</f>
        <v>0</v>
      </c>
      <c r="D106" t="s">
        <v>535</v>
      </c>
      <c r="E106" s="487">
        <v>0.11</v>
      </c>
      <c r="G106" s="483"/>
      <c r="H106" t="s">
        <v>534</v>
      </c>
      <c r="I106" s="485">
        <f>SUMIF('Productos 2'!$P$6:$P$15,G105,'Productos 2'!$N$6:$N$15)</f>
        <v>0</v>
      </c>
      <c r="J106" t="s">
        <v>535</v>
      </c>
      <c r="K106" s="487">
        <v>0.11</v>
      </c>
      <c r="M106" s="483"/>
      <c r="N106" t="s">
        <v>534</v>
      </c>
      <c r="O106" s="485">
        <f>SUMIF(MATERIALES!$P$6:$P$44,M105,MATERIALES!$N$6:$N$44)</f>
        <v>0</v>
      </c>
      <c r="P106" t="s">
        <v>535</v>
      </c>
      <c r="Q106" s="487">
        <v>0.11</v>
      </c>
      <c r="S106" s="483"/>
      <c r="T106" t="s">
        <v>534</v>
      </c>
      <c r="U106" s="485">
        <f>SUMIF('OPEX GV'!$P$6:$P$15,S105,'OPEX GV'!$N$6:$N$15)</f>
        <v>0</v>
      </c>
      <c r="V106" t="s">
        <v>535</v>
      </c>
      <c r="W106" s="487">
        <v>0.11</v>
      </c>
    </row>
    <row r="107" spans="1:23">
      <c r="A107" s="483"/>
      <c r="B107" t="s">
        <v>536</v>
      </c>
      <c r="C107" s="499">
        <v>0</v>
      </c>
      <c r="D107" t="s">
        <v>537</v>
      </c>
      <c r="E107" s="487">
        <v>0</v>
      </c>
      <c r="G107" s="483"/>
      <c r="H107" t="s">
        <v>536</v>
      </c>
      <c r="I107" s="499">
        <v>0</v>
      </c>
      <c r="J107" t="s">
        <v>537</v>
      </c>
      <c r="K107" s="487">
        <v>0</v>
      </c>
      <c r="M107" s="483"/>
      <c r="N107" t="s">
        <v>536</v>
      </c>
      <c r="O107" s="499">
        <v>0</v>
      </c>
      <c r="P107" t="s">
        <v>537</v>
      </c>
      <c r="Q107" s="487">
        <v>0</v>
      </c>
      <c r="S107" s="483"/>
      <c r="T107" t="s">
        <v>536</v>
      </c>
      <c r="U107" s="499">
        <v>0</v>
      </c>
      <c r="V107" t="s">
        <v>537</v>
      </c>
      <c r="W107" s="487">
        <v>0</v>
      </c>
    </row>
    <row r="108" spans="1:23">
      <c r="A108" s="483"/>
      <c r="B108" t="s">
        <v>538</v>
      </c>
      <c r="C108" s="499">
        <v>0</v>
      </c>
      <c r="E108" s="40"/>
      <c r="G108" s="483"/>
      <c r="H108" t="s">
        <v>538</v>
      </c>
      <c r="I108" s="499">
        <v>0</v>
      </c>
      <c r="K108" s="40"/>
      <c r="M108" s="483"/>
      <c r="N108" t="s">
        <v>538</v>
      </c>
      <c r="O108" s="499">
        <v>0</v>
      </c>
      <c r="Q108" s="40"/>
      <c r="S108" s="483"/>
      <c r="T108" t="s">
        <v>538</v>
      </c>
      <c r="U108" s="499">
        <v>0</v>
      </c>
      <c r="W108" s="40"/>
    </row>
    <row r="109" spans="1:23">
      <c r="A109" s="483"/>
      <c r="E109" s="40"/>
      <c r="G109" s="483"/>
      <c r="K109" s="40"/>
      <c r="M109" s="483"/>
      <c r="Q109" s="40"/>
      <c r="S109" s="483"/>
      <c r="W109" s="40"/>
    </row>
    <row r="110" spans="1:23" ht="13">
      <c r="A110" s="483"/>
      <c r="B110" s="500" t="s">
        <v>539</v>
      </c>
      <c r="C110" s="501">
        <f>C106-C107-C108</f>
        <v>0</v>
      </c>
      <c r="E110" s="40"/>
      <c r="G110" s="483"/>
      <c r="H110" s="500" t="s">
        <v>539</v>
      </c>
      <c r="I110" s="501">
        <f>I106-I107-I108</f>
        <v>0</v>
      </c>
      <c r="K110" s="40"/>
      <c r="M110" s="483"/>
      <c r="N110" s="500" t="s">
        <v>539</v>
      </c>
      <c r="O110" s="501">
        <f>O106-O107-O108</f>
        <v>0</v>
      </c>
      <c r="Q110" s="40"/>
      <c r="S110" s="483"/>
      <c r="T110" s="500" t="s">
        <v>539</v>
      </c>
      <c r="U110" s="501">
        <f>U106-U107-U108</f>
        <v>0</v>
      </c>
      <c r="W110" s="40"/>
    </row>
    <row r="111" spans="1:23">
      <c r="A111" s="483"/>
      <c r="B111" t="s">
        <v>540</v>
      </c>
      <c r="C111" s="502">
        <v>4</v>
      </c>
      <c r="E111" s="40"/>
      <c r="G111" s="483"/>
      <c r="H111" t="s">
        <v>540</v>
      </c>
      <c r="I111" s="502">
        <v>4</v>
      </c>
      <c r="K111" s="40"/>
      <c r="M111" s="483"/>
      <c r="N111" t="s">
        <v>540</v>
      </c>
      <c r="O111" s="502">
        <v>4</v>
      </c>
      <c r="Q111" s="40"/>
      <c r="S111" s="483"/>
      <c r="T111" t="s">
        <v>540</v>
      </c>
      <c r="U111" s="502">
        <v>4</v>
      </c>
      <c r="W111" s="40"/>
    </row>
    <row r="112" spans="1:23">
      <c r="A112" s="483"/>
      <c r="B112" t="s">
        <v>541</v>
      </c>
      <c r="C112" s="486">
        <f>C111*12</f>
        <v>48</v>
      </c>
      <c r="E112" s="40"/>
      <c r="G112" s="483"/>
      <c r="H112" t="s">
        <v>541</v>
      </c>
      <c r="I112" s="486">
        <f>I111*12</f>
        <v>48</v>
      </c>
      <c r="K112" s="40"/>
      <c r="M112" s="483"/>
      <c r="N112" t="s">
        <v>541</v>
      </c>
      <c r="O112" s="486">
        <f>O111*12</f>
        <v>48</v>
      </c>
      <c r="Q112" s="40"/>
      <c r="S112" s="483"/>
      <c r="T112" t="s">
        <v>541</v>
      </c>
      <c r="U112" s="486">
        <f>U111*12</f>
        <v>48</v>
      </c>
      <c r="W112" s="40"/>
    </row>
    <row r="113" spans="1:23">
      <c r="A113" s="483"/>
      <c r="E113" s="40"/>
      <c r="G113" s="483"/>
      <c r="K113" s="40"/>
      <c r="M113" s="483"/>
      <c r="Q113" s="40"/>
      <c r="S113" s="483"/>
      <c r="W113" s="40"/>
    </row>
    <row r="114" spans="1:23" ht="13">
      <c r="A114" s="483"/>
      <c r="B114" s="500" t="s">
        <v>542</v>
      </c>
      <c r="C114" s="501">
        <f>-PMT(E106/12,C112,C110)</f>
        <v>0</v>
      </c>
      <c r="D114" s="500" t="s">
        <v>543</v>
      </c>
      <c r="E114" s="488">
        <f>C114*12</f>
        <v>0</v>
      </c>
      <c r="G114" s="483"/>
      <c r="H114" s="500" t="s">
        <v>542</v>
      </c>
      <c r="I114" s="501">
        <f>-PMT(K106/12,I112,I110)</f>
        <v>0</v>
      </c>
      <c r="J114" s="500" t="s">
        <v>543</v>
      </c>
      <c r="K114" s="488">
        <f>I114*12</f>
        <v>0</v>
      </c>
      <c r="M114" s="483"/>
      <c r="N114" s="500" t="s">
        <v>542</v>
      </c>
      <c r="O114" s="501">
        <f>-PMT(Q106/12,O112,O110)</f>
        <v>0</v>
      </c>
      <c r="P114" s="500" t="s">
        <v>543</v>
      </c>
      <c r="Q114" s="488">
        <f>O114*12</f>
        <v>0</v>
      </c>
      <c r="S114" s="483"/>
      <c r="T114" s="500" t="s">
        <v>542</v>
      </c>
      <c r="U114" s="501">
        <f>-PMT(W106/12,U112,U110)</f>
        <v>0</v>
      </c>
      <c r="V114" s="500" t="s">
        <v>543</v>
      </c>
      <c r="W114" s="488">
        <f>U114*12</f>
        <v>0</v>
      </c>
    </row>
    <row r="115" spans="1:23">
      <c r="A115" s="483"/>
      <c r="E115" s="40"/>
      <c r="G115" s="483"/>
      <c r="K115" s="40"/>
      <c r="M115" s="483"/>
      <c r="Q115" s="40"/>
      <c r="S115" s="483"/>
      <c r="W115" s="40"/>
    </row>
    <row r="116" spans="1:23">
      <c r="A116" s="483"/>
      <c r="E116" s="40"/>
      <c r="G116" s="483"/>
      <c r="K116" s="40"/>
      <c r="M116" s="483"/>
      <c r="Q116" s="40"/>
      <c r="S116" s="483"/>
      <c r="W116" s="40"/>
    </row>
    <row r="117" spans="1:23">
      <c r="A117" s="483"/>
      <c r="B117" t="s">
        <v>241</v>
      </c>
      <c r="E117" s="40"/>
      <c r="G117" s="483"/>
      <c r="H117" t="s">
        <v>241</v>
      </c>
      <c r="K117" s="40"/>
      <c r="M117" s="483"/>
      <c r="N117" t="s">
        <v>241</v>
      </c>
      <c r="Q117" s="40"/>
      <c r="S117" s="483"/>
      <c r="T117" t="s">
        <v>241</v>
      </c>
      <c r="W117" s="40"/>
    </row>
    <row r="118" spans="1:23">
      <c r="A118" s="483"/>
      <c r="B118" t="s">
        <v>544</v>
      </c>
      <c r="C118" s="485">
        <f>C114*C112</f>
        <v>0</v>
      </c>
      <c r="E118" s="40"/>
      <c r="G118" s="483"/>
      <c r="H118" t="s">
        <v>544</v>
      </c>
      <c r="I118" s="485">
        <f>I114*I112</f>
        <v>0</v>
      </c>
      <c r="K118" s="40"/>
      <c r="M118" s="483"/>
      <c r="N118" t="s">
        <v>544</v>
      </c>
      <c r="O118" s="485">
        <f>O114*O112</f>
        <v>0</v>
      </c>
      <c r="Q118" s="40"/>
      <c r="S118" s="483"/>
      <c r="T118" t="s">
        <v>544</v>
      </c>
      <c r="U118" s="485">
        <f>U114*U112</f>
        <v>0</v>
      </c>
      <c r="W118" s="40"/>
    </row>
    <row r="119" spans="1:23">
      <c r="A119" s="483"/>
      <c r="E119" s="40"/>
      <c r="G119" s="483"/>
      <c r="K119" s="40"/>
      <c r="M119" s="483"/>
      <c r="Q119" s="40"/>
      <c r="S119" s="483"/>
      <c r="W119" s="40"/>
    </row>
    <row r="120" spans="1:23" ht="13.5" thickBot="1">
      <c r="A120" s="484"/>
      <c r="B120" s="489" t="s">
        <v>299</v>
      </c>
      <c r="C120" s="490">
        <f>C118-C110</f>
        <v>0</v>
      </c>
      <c r="D120" s="99"/>
      <c r="E120" s="157"/>
      <c r="G120" s="484"/>
      <c r="H120" s="489" t="s">
        <v>299</v>
      </c>
      <c r="I120" s="490">
        <f>I118-I110</f>
        <v>0</v>
      </c>
      <c r="J120" s="99"/>
      <c r="K120" s="157"/>
      <c r="M120" s="484"/>
      <c r="N120" s="489" t="s">
        <v>299</v>
      </c>
      <c r="O120" s="490">
        <f>O118-O110</f>
        <v>0</v>
      </c>
      <c r="P120" s="99"/>
      <c r="Q120" s="157"/>
      <c r="S120" s="484"/>
      <c r="T120" s="489" t="s">
        <v>299</v>
      </c>
      <c r="U120" s="490">
        <f>U118-U110</f>
        <v>0</v>
      </c>
      <c r="V120" s="99"/>
      <c r="W120" s="157"/>
    </row>
    <row r="121" spans="1:23" ht="13" thickBot="1"/>
    <row r="122" spans="1:23" ht="13">
      <c r="A122" s="480">
        <v>8</v>
      </c>
      <c r="B122" s="503" t="s">
        <v>533</v>
      </c>
      <c r="C122" s="503"/>
      <c r="D122" s="503"/>
      <c r="E122" s="504"/>
      <c r="G122" s="480">
        <v>8</v>
      </c>
      <c r="H122" s="503" t="s">
        <v>533</v>
      </c>
      <c r="I122" s="503"/>
      <c r="J122" s="503"/>
      <c r="K122" s="504"/>
      <c r="M122" s="480">
        <v>8</v>
      </c>
      <c r="N122" s="503" t="s">
        <v>533</v>
      </c>
      <c r="O122" s="503"/>
      <c r="P122" s="503"/>
      <c r="Q122" s="504"/>
      <c r="S122" s="480">
        <v>8</v>
      </c>
      <c r="T122" s="503" t="s">
        <v>533</v>
      </c>
      <c r="U122" s="503"/>
      <c r="V122" s="503"/>
      <c r="W122" s="504"/>
    </row>
    <row r="123" spans="1:23">
      <c r="A123" s="483"/>
      <c r="B123" t="s">
        <v>534</v>
      </c>
      <c r="C123" s="485">
        <f>SUMIF(Equipos!$Q$6:$Q$55,A122,Equipos!$O$6:$O$55)</f>
        <v>0</v>
      </c>
      <c r="D123" t="s">
        <v>535</v>
      </c>
      <c r="E123" s="487">
        <v>0.11</v>
      </c>
      <c r="G123" s="483"/>
      <c r="H123" t="s">
        <v>534</v>
      </c>
      <c r="I123" s="485">
        <f>SUMIF('Productos 2'!$P$6:$P$15,G122,'Productos 2'!$N$6:$N$15)</f>
        <v>0</v>
      </c>
      <c r="J123" t="s">
        <v>535</v>
      </c>
      <c r="K123" s="487">
        <v>0.11</v>
      </c>
      <c r="M123" s="483"/>
      <c r="N123" t="s">
        <v>534</v>
      </c>
      <c r="O123" s="485">
        <f>SUMIF(MATERIALES!$P$6:$P$44,M122,MATERIALES!$N$6:$N$44)</f>
        <v>0</v>
      </c>
      <c r="P123" t="s">
        <v>535</v>
      </c>
      <c r="Q123" s="487">
        <v>0.11</v>
      </c>
      <c r="S123" s="483"/>
      <c r="T123" t="s">
        <v>534</v>
      </c>
      <c r="U123" s="485">
        <f>SUMIF('OPEX GV'!$P$6:$P$15,S122,'OPEX GV'!$N$6:$N$15)</f>
        <v>0</v>
      </c>
      <c r="V123" t="s">
        <v>535</v>
      </c>
      <c r="W123" s="487">
        <v>0.11</v>
      </c>
    </row>
    <row r="124" spans="1:23">
      <c r="A124" s="483"/>
      <c r="B124" t="s">
        <v>536</v>
      </c>
      <c r="C124" s="499">
        <v>0</v>
      </c>
      <c r="D124" t="s">
        <v>537</v>
      </c>
      <c r="E124" s="487">
        <v>0</v>
      </c>
      <c r="G124" s="483"/>
      <c r="H124" t="s">
        <v>536</v>
      </c>
      <c r="I124" s="499">
        <v>0</v>
      </c>
      <c r="J124" t="s">
        <v>537</v>
      </c>
      <c r="K124" s="487">
        <v>0</v>
      </c>
      <c r="M124" s="483"/>
      <c r="N124" t="s">
        <v>536</v>
      </c>
      <c r="O124" s="499">
        <v>0</v>
      </c>
      <c r="P124" t="s">
        <v>537</v>
      </c>
      <c r="Q124" s="487">
        <v>0</v>
      </c>
      <c r="S124" s="483"/>
      <c r="T124" t="s">
        <v>536</v>
      </c>
      <c r="U124" s="499">
        <v>0</v>
      </c>
      <c r="V124" t="s">
        <v>537</v>
      </c>
      <c r="W124" s="487">
        <v>0</v>
      </c>
    </row>
    <row r="125" spans="1:23">
      <c r="A125" s="483"/>
      <c r="B125" t="s">
        <v>538</v>
      </c>
      <c r="C125" s="499">
        <v>0</v>
      </c>
      <c r="E125" s="40"/>
      <c r="G125" s="483"/>
      <c r="H125" t="s">
        <v>538</v>
      </c>
      <c r="I125" s="499">
        <v>0</v>
      </c>
      <c r="K125" s="40"/>
      <c r="M125" s="483"/>
      <c r="N125" t="s">
        <v>538</v>
      </c>
      <c r="O125" s="499">
        <v>0</v>
      </c>
      <c r="Q125" s="40"/>
      <c r="S125" s="483"/>
      <c r="T125" t="s">
        <v>538</v>
      </c>
      <c r="U125" s="499">
        <v>0</v>
      </c>
      <c r="W125" s="40"/>
    </row>
    <row r="126" spans="1:23">
      <c r="A126" s="483"/>
      <c r="E126" s="40"/>
      <c r="G126" s="483"/>
      <c r="K126" s="40"/>
      <c r="M126" s="483"/>
      <c r="Q126" s="40"/>
      <c r="S126" s="483"/>
      <c r="W126" s="40"/>
    </row>
    <row r="127" spans="1:23" ht="13">
      <c r="A127" s="483"/>
      <c r="B127" s="500" t="s">
        <v>539</v>
      </c>
      <c r="C127" s="501">
        <f>C123-C124-C125</f>
        <v>0</v>
      </c>
      <c r="E127" s="40"/>
      <c r="G127" s="483"/>
      <c r="H127" s="500" t="s">
        <v>539</v>
      </c>
      <c r="I127" s="501">
        <f>I123-I124-I125</f>
        <v>0</v>
      </c>
      <c r="K127" s="40"/>
      <c r="M127" s="483"/>
      <c r="N127" s="500" t="s">
        <v>539</v>
      </c>
      <c r="O127" s="501">
        <f>O123-O124-O125</f>
        <v>0</v>
      </c>
      <c r="Q127" s="40"/>
      <c r="S127" s="483"/>
      <c r="T127" s="500" t="s">
        <v>539</v>
      </c>
      <c r="U127" s="501">
        <f>U123-U124-U125</f>
        <v>0</v>
      </c>
      <c r="W127" s="40"/>
    </row>
    <row r="128" spans="1:23">
      <c r="A128" s="483"/>
      <c r="B128" t="s">
        <v>540</v>
      </c>
      <c r="C128" s="502">
        <v>4</v>
      </c>
      <c r="E128" s="40"/>
      <c r="G128" s="483"/>
      <c r="H128" t="s">
        <v>540</v>
      </c>
      <c r="I128" s="502">
        <v>4</v>
      </c>
      <c r="K128" s="40"/>
      <c r="M128" s="483"/>
      <c r="N128" t="s">
        <v>540</v>
      </c>
      <c r="O128" s="502">
        <v>4</v>
      </c>
      <c r="Q128" s="40"/>
      <c r="S128" s="483"/>
      <c r="T128" t="s">
        <v>540</v>
      </c>
      <c r="U128" s="502">
        <v>4</v>
      </c>
      <c r="W128" s="40"/>
    </row>
    <row r="129" spans="1:23">
      <c r="A129" s="483"/>
      <c r="B129" t="s">
        <v>541</v>
      </c>
      <c r="C129" s="486">
        <f>C128*12</f>
        <v>48</v>
      </c>
      <c r="E129" s="40"/>
      <c r="G129" s="483"/>
      <c r="H129" t="s">
        <v>541</v>
      </c>
      <c r="I129" s="486">
        <f>I128*12</f>
        <v>48</v>
      </c>
      <c r="K129" s="40"/>
      <c r="M129" s="483"/>
      <c r="N129" t="s">
        <v>541</v>
      </c>
      <c r="O129" s="486">
        <f>O128*12</f>
        <v>48</v>
      </c>
      <c r="Q129" s="40"/>
      <c r="S129" s="483"/>
      <c r="T129" t="s">
        <v>541</v>
      </c>
      <c r="U129" s="486">
        <f>U128*12</f>
        <v>48</v>
      </c>
      <c r="W129" s="40"/>
    </row>
    <row r="130" spans="1:23">
      <c r="A130" s="483"/>
      <c r="E130" s="40"/>
      <c r="G130" s="483"/>
      <c r="K130" s="40"/>
      <c r="M130" s="483"/>
      <c r="Q130" s="40"/>
      <c r="S130" s="483"/>
      <c r="W130" s="40"/>
    </row>
    <row r="131" spans="1:23" ht="13">
      <c r="A131" s="483"/>
      <c r="B131" s="500" t="s">
        <v>542</v>
      </c>
      <c r="C131" s="501">
        <f>-PMT(E123/12,C129,C127)</f>
        <v>0</v>
      </c>
      <c r="D131" s="500" t="s">
        <v>543</v>
      </c>
      <c r="E131" s="488">
        <f>C131*12</f>
        <v>0</v>
      </c>
      <c r="G131" s="483"/>
      <c r="H131" s="500" t="s">
        <v>542</v>
      </c>
      <c r="I131" s="501">
        <f>-PMT(K123/12,I129,I127)</f>
        <v>0</v>
      </c>
      <c r="J131" s="500" t="s">
        <v>543</v>
      </c>
      <c r="K131" s="488">
        <f>I131*12</f>
        <v>0</v>
      </c>
      <c r="M131" s="483"/>
      <c r="N131" s="500" t="s">
        <v>542</v>
      </c>
      <c r="O131" s="501">
        <f>-PMT(Q123/12,O129,O127)</f>
        <v>0</v>
      </c>
      <c r="P131" s="500" t="s">
        <v>543</v>
      </c>
      <c r="Q131" s="488">
        <f>O131*12</f>
        <v>0</v>
      </c>
      <c r="S131" s="483"/>
      <c r="T131" s="500" t="s">
        <v>542</v>
      </c>
      <c r="U131" s="501">
        <f>-PMT(W123/12,U129,U127)</f>
        <v>0</v>
      </c>
      <c r="V131" s="500" t="s">
        <v>543</v>
      </c>
      <c r="W131" s="488">
        <f>U131*12</f>
        <v>0</v>
      </c>
    </row>
    <row r="132" spans="1:23">
      <c r="A132" s="483"/>
      <c r="E132" s="40"/>
      <c r="G132" s="483"/>
      <c r="K132" s="40"/>
      <c r="M132" s="483"/>
      <c r="Q132" s="40"/>
      <c r="S132" s="483"/>
      <c r="W132" s="40"/>
    </row>
    <row r="133" spans="1:23">
      <c r="A133" s="483"/>
      <c r="E133" s="40"/>
      <c r="G133" s="483"/>
      <c r="K133" s="40"/>
      <c r="M133" s="483"/>
      <c r="Q133" s="40"/>
      <c r="S133" s="483"/>
      <c r="W133" s="40"/>
    </row>
    <row r="134" spans="1:23">
      <c r="A134" s="483"/>
      <c r="B134" t="s">
        <v>241</v>
      </c>
      <c r="E134" s="40"/>
      <c r="G134" s="483"/>
      <c r="H134" t="s">
        <v>241</v>
      </c>
      <c r="K134" s="40"/>
      <c r="M134" s="483"/>
      <c r="N134" t="s">
        <v>241</v>
      </c>
      <c r="Q134" s="40"/>
      <c r="S134" s="483"/>
      <c r="T134" t="s">
        <v>241</v>
      </c>
      <c r="W134" s="40"/>
    </row>
    <row r="135" spans="1:23">
      <c r="A135" s="483"/>
      <c r="B135" t="s">
        <v>544</v>
      </c>
      <c r="C135" s="485">
        <f>C131*C129</f>
        <v>0</v>
      </c>
      <c r="E135" s="40"/>
      <c r="G135" s="483"/>
      <c r="H135" t="s">
        <v>544</v>
      </c>
      <c r="I135" s="485">
        <f>I131*I129</f>
        <v>0</v>
      </c>
      <c r="K135" s="40"/>
      <c r="M135" s="483"/>
      <c r="N135" t="s">
        <v>544</v>
      </c>
      <c r="O135" s="485">
        <f>O131*O129</f>
        <v>0</v>
      </c>
      <c r="Q135" s="40"/>
      <c r="S135" s="483"/>
      <c r="T135" t="s">
        <v>544</v>
      </c>
      <c r="U135" s="485">
        <f>U131*U129</f>
        <v>0</v>
      </c>
      <c r="W135" s="40"/>
    </row>
    <row r="136" spans="1:23">
      <c r="A136" s="483"/>
      <c r="E136" s="40"/>
      <c r="G136" s="483"/>
      <c r="K136" s="40"/>
      <c r="M136" s="483"/>
      <c r="Q136" s="40"/>
      <c r="S136" s="483"/>
      <c r="W136" s="40"/>
    </row>
    <row r="137" spans="1:23" ht="13.5" thickBot="1">
      <c r="A137" s="484"/>
      <c r="B137" s="489" t="s">
        <v>299</v>
      </c>
      <c r="C137" s="490">
        <f>C135-C127</f>
        <v>0</v>
      </c>
      <c r="D137" s="99"/>
      <c r="E137" s="157"/>
      <c r="G137" s="484"/>
      <c r="H137" s="489" t="s">
        <v>299</v>
      </c>
      <c r="I137" s="490">
        <f>I135-I127</f>
        <v>0</v>
      </c>
      <c r="J137" s="99"/>
      <c r="K137" s="157"/>
      <c r="M137" s="484"/>
      <c r="N137" s="489" t="s">
        <v>299</v>
      </c>
      <c r="O137" s="490">
        <f>O135-O127</f>
        <v>0</v>
      </c>
      <c r="P137" s="99"/>
      <c r="Q137" s="157"/>
      <c r="S137" s="484"/>
      <c r="T137" s="489" t="s">
        <v>299</v>
      </c>
      <c r="U137" s="490">
        <f>U135-U127</f>
        <v>0</v>
      </c>
      <c r="V137" s="99"/>
      <c r="W137" s="157"/>
    </row>
    <row r="138" spans="1:23" ht="13" thickBot="1"/>
    <row r="139" spans="1:23" ht="13">
      <c r="A139" s="480">
        <v>9</v>
      </c>
      <c r="B139" s="503" t="s">
        <v>533</v>
      </c>
      <c r="C139" s="503"/>
      <c r="D139" s="503"/>
      <c r="E139" s="504"/>
      <c r="G139" s="480">
        <v>9</v>
      </c>
      <c r="H139" s="503" t="s">
        <v>533</v>
      </c>
      <c r="I139" s="503"/>
      <c r="J139" s="503"/>
      <c r="K139" s="504"/>
      <c r="M139" s="480">
        <v>9</v>
      </c>
      <c r="N139" s="503" t="s">
        <v>533</v>
      </c>
      <c r="O139" s="503"/>
      <c r="P139" s="503"/>
      <c r="Q139" s="504"/>
      <c r="S139" s="480">
        <v>9</v>
      </c>
      <c r="T139" s="503" t="s">
        <v>533</v>
      </c>
      <c r="U139" s="503"/>
      <c r="V139" s="503"/>
      <c r="W139" s="504"/>
    </row>
    <row r="140" spans="1:23">
      <c r="A140" s="483"/>
      <c r="B140" t="s">
        <v>534</v>
      </c>
      <c r="C140" s="485">
        <f>SUMIF(Equipos!$Q$6:$Q$55,A139,Equipos!$O$6:$O$55)</f>
        <v>0</v>
      </c>
      <c r="D140" t="s">
        <v>535</v>
      </c>
      <c r="E140" s="487">
        <v>0.11</v>
      </c>
      <c r="G140" s="483"/>
      <c r="H140" t="s">
        <v>534</v>
      </c>
      <c r="I140" s="485">
        <f>SUMIF('Productos 2'!$P$6:$P$15,G139,'Productos 2'!$N$6:$N$15)</f>
        <v>0</v>
      </c>
      <c r="J140" t="s">
        <v>535</v>
      </c>
      <c r="K140" s="487">
        <v>0.11</v>
      </c>
      <c r="M140" s="483"/>
      <c r="N140" t="s">
        <v>534</v>
      </c>
      <c r="O140" s="485">
        <f>SUMIF(MATERIALES!$P$6:$P$44,M139,MATERIALES!$N$6:$N$44)</f>
        <v>0</v>
      </c>
      <c r="P140" t="s">
        <v>535</v>
      </c>
      <c r="Q140" s="487">
        <v>0.11</v>
      </c>
      <c r="S140" s="483"/>
      <c r="T140" t="s">
        <v>534</v>
      </c>
      <c r="U140" s="485">
        <f>SUMIF('OPEX GV'!$P$6:$P$15,S139,'OPEX GV'!$N$6:$N$15)</f>
        <v>0</v>
      </c>
      <c r="V140" t="s">
        <v>535</v>
      </c>
      <c r="W140" s="487">
        <v>0.11</v>
      </c>
    </row>
    <row r="141" spans="1:23">
      <c r="A141" s="483"/>
      <c r="B141" t="s">
        <v>536</v>
      </c>
      <c r="C141" s="499">
        <v>0</v>
      </c>
      <c r="D141" t="s">
        <v>537</v>
      </c>
      <c r="E141" s="487">
        <v>0</v>
      </c>
      <c r="G141" s="483"/>
      <c r="H141" t="s">
        <v>536</v>
      </c>
      <c r="I141" s="499">
        <v>0</v>
      </c>
      <c r="J141" t="s">
        <v>537</v>
      </c>
      <c r="K141" s="487">
        <v>0</v>
      </c>
      <c r="M141" s="483"/>
      <c r="N141" t="s">
        <v>536</v>
      </c>
      <c r="O141" s="499">
        <v>0</v>
      </c>
      <c r="P141" t="s">
        <v>537</v>
      </c>
      <c r="Q141" s="487">
        <v>0</v>
      </c>
      <c r="S141" s="483"/>
      <c r="T141" t="s">
        <v>536</v>
      </c>
      <c r="U141" s="499">
        <v>0</v>
      </c>
      <c r="V141" t="s">
        <v>537</v>
      </c>
      <c r="W141" s="487">
        <v>0</v>
      </c>
    </row>
    <row r="142" spans="1:23">
      <c r="A142" s="483"/>
      <c r="B142" t="s">
        <v>538</v>
      </c>
      <c r="C142" s="499">
        <v>0</v>
      </c>
      <c r="E142" s="40"/>
      <c r="G142" s="483"/>
      <c r="H142" t="s">
        <v>538</v>
      </c>
      <c r="I142" s="499">
        <v>0</v>
      </c>
      <c r="K142" s="40"/>
      <c r="M142" s="483"/>
      <c r="N142" t="s">
        <v>538</v>
      </c>
      <c r="O142" s="499">
        <v>0</v>
      </c>
      <c r="Q142" s="40"/>
      <c r="S142" s="483"/>
      <c r="T142" t="s">
        <v>538</v>
      </c>
      <c r="U142" s="499">
        <v>0</v>
      </c>
      <c r="W142" s="40"/>
    </row>
    <row r="143" spans="1:23">
      <c r="A143" s="483"/>
      <c r="E143" s="40"/>
      <c r="G143" s="483"/>
      <c r="K143" s="40"/>
      <c r="M143" s="483"/>
      <c r="Q143" s="40"/>
      <c r="S143" s="483"/>
      <c r="W143" s="40"/>
    </row>
    <row r="144" spans="1:23" ht="13">
      <c r="A144" s="483"/>
      <c r="B144" s="500" t="s">
        <v>539</v>
      </c>
      <c r="C144" s="501">
        <f>C140-C141-C142</f>
        <v>0</v>
      </c>
      <c r="E144" s="40"/>
      <c r="G144" s="483"/>
      <c r="H144" s="500" t="s">
        <v>539</v>
      </c>
      <c r="I144" s="501">
        <f>I140-I141-I142</f>
        <v>0</v>
      </c>
      <c r="K144" s="40"/>
      <c r="M144" s="483"/>
      <c r="N144" s="500" t="s">
        <v>539</v>
      </c>
      <c r="O144" s="501">
        <f>O140-O141-O142</f>
        <v>0</v>
      </c>
      <c r="Q144" s="40"/>
      <c r="S144" s="483"/>
      <c r="T144" s="500" t="s">
        <v>539</v>
      </c>
      <c r="U144" s="501">
        <f>U140-U141-U142</f>
        <v>0</v>
      </c>
      <c r="W144" s="40"/>
    </row>
    <row r="145" spans="1:23">
      <c r="A145" s="483"/>
      <c r="B145" t="s">
        <v>540</v>
      </c>
      <c r="C145" s="502">
        <v>4</v>
      </c>
      <c r="E145" s="40"/>
      <c r="G145" s="483"/>
      <c r="H145" t="s">
        <v>540</v>
      </c>
      <c r="I145" s="502">
        <v>4</v>
      </c>
      <c r="K145" s="40"/>
      <c r="M145" s="483"/>
      <c r="N145" t="s">
        <v>540</v>
      </c>
      <c r="O145" s="502">
        <v>4</v>
      </c>
      <c r="Q145" s="40"/>
      <c r="S145" s="483"/>
      <c r="T145" t="s">
        <v>540</v>
      </c>
      <c r="U145" s="502">
        <v>4</v>
      </c>
      <c r="W145" s="40"/>
    </row>
    <row r="146" spans="1:23">
      <c r="A146" s="483"/>
      <c r="B146" t="s">
        <v>541</v>
      </c>
      <c r="C146" s="486">
        <f>C145*12</f>
        <v>48</v>
      </c>
      <c r="E146" s="40"/>
      <c r="G146" s="483"/>
      <c r="H146" t="s">
        <v>541</v>
      </c>
      <c r="I146" s="486">
        <f>I145*12</f>
        <v>48</v>
      </c>
      <c r="K146" s="40"/>
      <c r="M146" s="483"/>
      <c r="N146" t="s">
        <v>541</v>
      </c>
      <c r="O146" s="486">
        <f>O145*12</f>
        <v>48</v>
      </c>
      <c r="Q146" s="40"/>
      <c r="S146" s="483"/>
      <c r="T146" t="s">
        <v>541</v>
      </c>
      <c r="U146" s="486">
        <f>U145*12</f>
        <v>48</v>
      </c>
      <c r="W146" s="40"/>
    </row>
    <row r="147" spans="1:23">
      <c r="A147" s="483"/>
      <c r="E147" s="40"/>
      <c r="G147" s="483"/>
      <c r="K147" s="40"/>
      <c r="M147" s="483"/>
      <c r="Q147" s="40"/>
      <c r="S147" s="483"/>
      <c r="W147" s="40"/>
    </row>
    <row r="148" spans="1:23" ht="13">
      <c r="A148" s="483"/>
      <c r="B148" s="500" t="s">
        <v>542</v>
      </c>
      <c r="C148" s="501">
        <f>-PMT(E140/12,C146,C144)</f>
        <v>0</v>
      </c>
      <c r="D148" s="500" t="s">
        <v>543</v>
      </c>
      <c r="E148" s="488">
        <f>C148*12</f>
        <v>0</v>
      </c>
      <c r="G148" s="483"/>
      <c r="H148" s="500" t="s">
        <v>542</v>
      </c>
      <c r="I148" s="501">
        <f>-PMT(K140/12,I146,I144)</f>
        <v>0</v>
      </c>
      <c r="J148" s="500" t="s">
        <v>543</v>
      </c>
      <c r="K148" s="488">
        <f>I148*12</f>
        <v>0</v>
      </c>
      <c r="M148" s="483"/>
      <c r="N148" s="500" t="s">
        <v>542</v>
      </c>
      <c r="O148" s="501">
        <f>-PMT(Q140/12,O146,O144)</f>
        <v>0</v>
      </c>
      <c r="P148" s="500" t="s">
        <v>543</v>
      </c>
      <c r="Q148" s="488">
        <f>O148*12</f>
        <v>0</v>
      </c>
      <c r="S148" s="483"/>
      <c r="T148" s="500" t="s">
        <v>542</v>
      </c>
      <c r="U148" s="501">
        <f>-PMT(W140/12,U146,U144)</f>
        <v>0</v>
      </c>
      <c r="V148" s="500" t="s">
        <v>543</v>
      </c>
      <c r="W148" s="488">
        <f>U148*12</f>
        <v>0</v>
      </c>
    </row>
    <row r="149" spans="1:23">
      <c r="A149" s="483"/>
      <c r="E149" s="40"/>
      <c r="G149" s="483"/>
      <c r="K149" s="40"/>
      <c r="M149" s="483"/>
      <c r="Q149" s="40"/>
      <c r="S149" s="483"/>
      <c r="W149" s="40"/>
    </row>
    <row r="150" spans="1:23">
      <c r="A150" s="483"/>
      <c r="E150" s="40"/>
      <c r="G150" s="483"/>
      <c r="K150" s="40"/>
      <c r="M150" s="483"/>
      <c r="Q150" s="40"/>
      <c r="S150" s="483"/>
      <c r="W150" s="40"/>
    </row>
    <row r="151" spans="1:23">
      <c r="A151" s="483"/>
      <c r="B151" t="s">
        <v>241</v>
      </c>
      <c r="E151" s="40"/>
      <c r="G151" s="483"/>
      <c r="H151" t="s">
        <v>241</v>
      </c>
      <c r="K151" s="40"/>
      <c r="M151" s="483"/>
      <c r="N151" t="s">
        <v>241</v>
      </c>
      <c r="Q151" s="40"/>
      <c r="S151" s="483"/>
      <c r="T151" t="s">
        <v>241</v>
      </c>
      <c r="W151" s="40"/>
    </row>
    <row r="152" spans="1:23">
      <c r="A152" s="483"/>
      <c r="B152" t="s">
        <v>544</v>
      </c>
      <c r="C152" s="485">
        <f>C148*C146</f>
        <v>0</v>
      </c>
      <c r="E152" s="40"/>
      <c r="G152" s="483"/>
      <c r="H152" t="s">
        <v>544</v>
      </c>
      <c r="I152" s="485">
        <f>I148*I146</f>
        <v>0</v>
      </c>
      <c r="K152" s="40"/>
      <c r="M152" s="483"/>
      <c r="N152" t="s">
        <v>544</v>
      </c>
      <c r="O152" s="485">
        <f>O148*O146</f>
        <v>0</v>
      </c>
      <c r="Q152" s="40"/>
      <c r="S152" s="483"/>
      <c r="T152" t="s">
        <v>544</v>
      </c>
      <c r="U152" s="485">
        <f>U148*U146</f>
        <v>0</v>
      </c>
      <c r="W152" s="40"/>
    </row>
    <row r="153" spans="1:23">
      <c r="A153" s="483"/>
      <c r="E153" s="40"/>
      <c r="G153" s="483"/>
      <c r="K153" s="40"/>
      <c r="M153" s="483"/>
      <c r="Q153" s="40"/>
      <c r="S153" s="483"/>
      <c r="W153" s="40"/>
    </row>
    <row r="154" spans="1:23" ht="13.5" thickBot="1">
      <c r="A154" s="484"/>
      <c r="B154" s="489" t="s">
        <v>299</v>
      </c>
      <c r="C154" s="490">
        <f>C152-C144</f>
        <v>0</v>
      </c>
      <c r="D154" s="99"/>
      <c r="E154" s="157"/>
      <c r="G154" s="484"/>
      <c r="H154" s="489" t="s">
        <v>299</v>
      </c>
      <c r="I154" s="490">
        <f>I152-I144</f>
        <v>0</v>
      </c>
      <c r="J154" s="99"/>
      <c r="K154" s="157"/>
      <c r="M154" s="484"/>
      <c r="N154" s="489" t="s">
        <v>299</v>
      </c>
      <c r="O154" s="490">
        <f>O152-O144</f>
        <v>0</v>
      </c>
      <c r="P154" s="99"/>
      <c r="Q154" s="157"/>
      <c r="S154" s="484"/>
      <c r="T154" s="489" t="s">
        <v>299</v>
      </c>
      <c r="U154" s="490">
        <f>U152-U144</f>
        <v>0</v>
      </c>
      <c r="V154" s="99"/>
      <c r="W154" s="157"/>
    </row>
    <row r="155" spans="1:23" ht="13" thickBot="1"/>
    <row r="156" spans="1:23" ht="13">
      <c r="A156" s="480">
        <v>10</v>
      </c>
      <c r="B156" s="503" t="s">
        <v>533</v>
      </c>
      <c r="C156" s="503"/>
      <c r="D156" s="503"/>
      <c r="E156" s="504"/>
      <c r="G156" s="480">
        <v>10</v>
      </c>
      <c r="H156" s="503" t="s">
        <v>533</v>
      </c>
      <c r="I156" s="503"/>
      <c r="J156" s="503"/>
      <c r="K156" s="504"/>
      <c r="M156" s="480">
        <v>10</v>
      </c>
      <c r="N156" s="503" t="s">
        <v>533</v>
      </c>
      <c r="O156" s="503"/>
      <c r="P156" s="503"/>
      <c r="Q156" s="504"/>
      <c r="S156" s="480">
        <v>10</v>
      </c>
      <c r="T156" s="503" t="s">
        <v>533</v>
      </c>
      <c r="U156" s="503"/>
      <c r="V156" s="503"/>
      <c r="W156" s="504"/>
    </row>
    <row r="157" spans="1:23">
      <c r="A157" s="483"/>
      <c r="B157" t="s">
        <v>534</v>
      </c>
      <c r="C157" s="485">
        <f>SUMIF(Equipos!$Q$6:$Q$55,A156,Equipos!$O$6:$O$55)</f>
        <v>0</v>
      </c>
      <c r="D157" t="s">
        <v>535</v>
      </c>
      <c r="E157" s="487">
        <v>0.11</v>
      </c>
      <c r="G157" s="483"/>
      <c r="H157" t="s">
        <v>534</v>
      </c>
      <c r="I157" s="485">
        <f>SUMIF('Productos 2'!$P$6:$P$15,G156,'Productos 2'!$N$6:$N$15)</f>
        <v>0</v>
      </c>
      <c r="J157" t="s">
        <v>535</v>
      </c>
      <c r="K157" s="487">
        <v>0.11</v>
      </c>
      <c r="M157" s="483"/>
      <c r="N157" t="s">
        <v>534</v>
      </c>
      <c r="O157" s="485">
        <f>SUMIF(MATERIALES!$P$6:$P$44,M156,MATERIALES!$N$6:$N$44)</f>
        <v>0</v>
      </c>
      <c r="P157" t="s">
        <v>535</v>
      </c>
      <c r="Q157" s="487">
        <v>0.11</v>
      </c>
      <c r="S157" s="483"/>
      <c r="T157" t="s">
        <v>534</v>
      </c>
      <c r="U157" s="485">
        <f>SUMIF('OPEX GV'!$P$6:$P$15,S156,'OPEX GV'!$N$6:$N$15)</f>
        <v>0</v>
      </c>
      <c r="V157" t="s">
        <v>535</v>
      </c>
      <c r="W157" s="487">
        <v>0.11</v>
      </c>
    </row>
    <row r="158" spans="1:23">
      <c r="A158" s="483"/>
      <c r="B158" t="s">
        <v>536</v>
      </c>
      <c r="C158" s="499">
        <v>0</v>
      </c>
      <c r="D158" t="s">
        <v>537</v>
      </c>
      <c r="E158" s="487">
        <v>0</v>
      </c>
      <c r="G158" s="483"/>
      <c r="H158" t="s">
        <v>536</v>
      </c>
      <c r="I158" s="499">
        <v>0</v>
      </c>
      <c r="J158" t="s">
        <v>537</v>
      </c>
      <c r="K158" s="487">
        <v>0</v>
      </c>
      <c r="M158" s="483"/>
      <c r="N158" t="s">
        <v>536</v>
      </c>
      <c r="O158" s="499">
        <v>0</v>
      </c>
      <c r="P158" t="s">
        <v>537</v>
      </c>
      <c r="Q158" s="487">
        <v>0</v>
      </c>
      <c r="S158" s="483"/>
      <c r="T158" t="s">
        <v>536</v>
      </c>
      <c r="U158" s="499">
        <v>0</v>
      </c>
      <c r="V158" t="s">
        <v>537</v>
      </c>
      <c r="W158" s="487">
        <v>0</v>
      </c>
    </row>
    <row r="159" spans="1:23">
      <c r="A159" s="483"/>
      <c r="B159" t="s">
        <v>538</v>
      </c>
      <c r="C159" s="499">
        <v>0</v>
      </c>
      <c r="E159" s="40"/>
      <c r="G159" s="483"/>
      <c r="H159" t="s">
        <v>538</v>
      </c>
      <c r="I159" s="499">
        <v>0</v>
      </c>
      <c r="K159" s="40"/>
      <c r="M159" s="483"/>
      <c r="N159" t="s">
        <v>538</v>
      </c>
      <c r="O159" s="499">
        <v>0</v>
      </c>
      <c r="Q159" s="40"/>
      <c r="S159" s="483"/>
      <c r="T159" t="s">
        <v>538</v>
      </c>
      <c r="U159" s="499">
        <v>0</v>
      </c>
      <c r="W159" s="40"/>
    </row>
    <row r="160" spans="1:23">
      <c r="A160" s="483"/>
      <c r="E160" s="40"/>
      <c r="G160" s="483"/>
      <c r="K160" s="40"/>
      <c r="M160" s="483"/>
      <c r="Q160" s="40"/>
      <c r="S160" s="483"/>
      <c r="W160" s="40"/>
    </row>
    <row r="161" spans="1:23" ht="13">
      <c r="A161" s="483"/>
      <c r="B161" s="500" t="s">
        <v>539</v>
      </c>
      <c r="C161" s="501">
        <f>C157-C158-C159</f>
        <v>0</v>
      </c>
      <c r="E161" s="40"/>
      <c r="G161" s="483"/>
      <c r="H161" s="500" t="s">
        <v>539</v>
      </c>
      <c r="I161" s="501">
        <f>I157-I158-I159</f>
        <v>0</v>
      </c>
      <c r="K161" s="40"/>
      <c r="M161" s="483"/>
      <c r="N161" s="500" t="s">
        <v>539</v>
      </c>
      <c r="O161" s="501">
        <f>O157-O158-O159</f>
        <v>0</v>
      </c>
      <c r="Q161" s="40"/>
      <c r="S161" s="483"/>
      <c r="T161" s="500" t="s">
        <v>539</v>
      </c>
      <c r="U161" s="501">
        <f>U157-U158-U159</f>
        <v>0</v>
      </c>
      <c r="W161" s="40"/>
    </row>
    <row r="162" spans="1:23">
      <c r="A162" s="483"/>
      <c r="B162" t="s">
        <v>540</v>
      </c>
      <c r="C162" s="502">
        <v>4</v>
      </c>
      <c r="E162" s="40"/>
      <c r="G162" s="483"/>
      <c r="H162" t="s">
        <v>540</v>
      </c>
      <c r="I162" s="502">
        <v>4</v>
      </c>
      <c r="K162" s="40"/>
      <c r="M162" s="483"/>
      <c r="N162" t="s">
        <v>540</v>
      </c>
      <c r="O162" s="502">
        <v>4</v>
      </c>
      <c r="Q162" s="40"/>
      <c r="S162" s="483"/>
      <c r="T162" t="s">
        <v>540</v>
      </c>
      <c r="U162" s="502">
        <v>4</v>
      </c>
      <c r="W162" s="40"/>
    </row>
    <row r="163" spans="1:23">
      <c r="A163" s="483"/>
      <c r="B163" t="s">
        <v>541</v>
      </c>
      <c r="C163" s="486">
        <f>C162*12</f>
        <v>48</v>
      </c>
      <c r="E163" s="40"/>
      <c r="G163" s="483"/>
      <c r="H163" t="s">
        <v>541</v>
      </c>
      <c r="I163" s="486">
        <f>I162*12</f>
        <v>48</v>
      </c>
      <c r="K163" s="40"/>
      <c r="M163" s="483"/>
      <c r="N163" t="s">
        <v>541</v>
      </c>
      <c r="O163" s="486">
        <f>O162*12</f>
        <v>48</v>
      </c>
      <c r="Q163" s="40"/>
      <c r="S163" s="483"/>
      <c r="T163" t="s">
        <v>541</v>
      </c>
      <c r="U163" s="486">
        <f>U162*12</f>
        <v>48</v>
      </c>
      <c r="W163" s="40"/>
    </row>
    <row r="164" spans="1:23">
      <c r="A164" s="483"/>
      <c r="E164" s="40"/>
      <c r="G164" s="483"/>
      <c r="K164" s="40"/>
      <c r="M164" s="483"/>
      <c r="Q164" s="40"/>
      <c r="S164" s="483"/>
      <c r="W164" s="40"/>
    </row>
    <row r="165" spans="1:23" ht="13">
      <c r="A165" s="483"/>
      <c r="B165" s="500" t="s">
        <v>542</v>
      </c>
      <c r="C165" s="501">
        <f>-PMT(E157/12,C163,C161)</f>
        <v>0</v>
      </c>
      <c r="D165" s="500" t="s">
        <v>543</v>
      </c>
      <c r="E165" s="488">
        <f>C165*12</f>
        <v>0</v>
      </c>
      <c r="G165" s="483"/>
      <c r="H165" s="500" t="s">
        <v>542</v>
      </c>
      <c r="I165" s="501">
        <f>-PMT(K157/12,I163,I161)</f>
        <v>0</v>
      </c>
      <c r="J165" s="500" t="s">
        <v>543</v>
      </c>
      <c r="K165" s="488">
        <f>I165*12</f>
        <v>0</v>
      </c>
      <c r="M165" s="483"/>
      <c r="N165" s="500" t="s">
        <v>542</v>
      </c>
      <c r="O165" s="501">
        <f>-PMT(Q157/12,O163,O161)</f>
        <v>0</v>
      </c>
      <c r="P165" s="500" t="s">
        <v>543</v>
      </c>
      <c r="Q165" s="488">
        <f>O165*12</f>
        <v>0</v>
      </c>
      <c r="S165" s="483"/>
      <c r="T165" s="500" t="s">
        <v>542</v>
      </c>
      <c r="U165" s="501">
        <f>-PMT(W157/12,U163,U161)</f>
        <v>0</v>
      </c>
      <c r="V165" s="500" t="s">
        <v>543</v>
      </c>
      <c r="W165" s="488">
        <f>U165*12</f>
        <v>0</v>
      </c>
    </row>
    <row r="166" spans="1:23">
      <c r="A166" s="483"/>
      <c r="E166" s="40"/>
      <c r="G166" s="483"/>
      <c r="K166" s="40"/>
      <c r="M166" s="483"/>
      <c r="Q166" s="40"/>
      <c r="S166" s="483"/>
      <c r="W166" s="40"/>
    </row>
    <row r="167" spans="1:23">
      <c r="A167" s="483"/>
      <c r="E167" s="40"/>
      <c r="G167" s="483"/>
      <c r="K167" s="40"/>
      <c r="M167" s="483"/>
      <c r="Q167" s="40"/>
      <c r="S167" s="483"/>
      <c r="W167" s="40"/>
    </row>
    <row r="168" spans="1:23">
      <c r="A168" s="483"/>
      <c r="B168" t="s">
        <v>241</v>
      </c>
      <c r="E168" s="40"/>
      <c r="G168" s="483"/>
      <c r="H168" t="s">
        <v>241</v>
      </c>
      <c r="K168" s="40"/>
      <c r="M168" s="483"/>
      <c r="N168" t="s">
        <v>241</v>
      </c>
      <c r="Q168" s="40"/>
      <c r="S168" s="483"/>
      <c r="T168" t="s">
        <v>241</v>
      </c>
      <c r="W168" s="40"/>
    </row>
    <row r="169" spans="1:23">
      <c r="A169" s="483"/>
      <c r="B169" t="s">
        <v>544</v>
      </c>
      <c r="C169" s="485">
        <f>C165*C163</f>
        <v>0</v>
      </c>
      <c r="E169" s="40"/>
      <c r="G169" s="483"/>
      <c r="H169" t="s">
        <v>544</v>
      </c>
      <c r="I169" s="485">
        <f>I165*I163</f>
        <v>0</v>
      </c>
      <c r="K169" s="40"/>
      <c r="M169" s="483"/>
      <c r="N169" t="s">
        <v>544</v>
      </c>
      <c r="O169" s="485">
        <f>O165*O163</f>
        <v>0</v>
      </c>
      <c r="Q169" s="40"/>
      <c r="S169" s="483"/>
      <c r="T169" t="s">
        <v>544</v>
      </c>
      <c r="U169" s="485">
        <f>U165*U163</f>
        <v>0</v>
      </c>
      <c r="W169" s="40"/>
    </row>
    <row r="170" spans="1:23">
      <c r="A170" s="483"/>
      <c r="E170" s="40"/>
      <c r="G170" s="483"/>
      <c r="K170" s="40"/>
      <c r="M170" s="483"/>
      <c r="Q170" s="40"/>
      <c r="S170" s="483"/>
      <c r="W170" s="40"/>
    </row>
    <row r="171" spans="1:23" ht="13.5" thickBot="1">
      <c r="A171" s="484"/>
      <c r="B171" s="489" t="s">
        <v>299</v>
      </c>
      <c r="C171" s="490">
        <f>C169-C161</f>
        <v>0</v>
      </c>
      <c r="D171" s="99"/>
      <c r="E171" s="157"/>
      <c r="G171" s="484"/>
      <c r="H171" s="489" t="s">
        <v>299</v>
      </c>
      <c r="I171" s="490">
        <f>I169-I161</f>
        <v>0</v>
      </c>
      <c r="J171" s="99"/>
      <c r="K171" s="157"/>
      <c r="M171" s="484"/>
      <c r="N171" s="489" t="s">
        <v>299</v>
      </c>
      <c r="O171" s="490">
        <f>O169-O161</f>
        <v>0</v>
      </c>
      <c r="P171" s="99"/>
      <c r="Q171" s="157"/>
      <c r="S171" s="484"/>
      <c r="T171" s="489" t="s">
        <v>299</v>
      </c>
      <c r="U171" s="490">
        <f>U169-U161</f>
        <v>0</v>
      </c>
      <c r="V171" s="99"/>
      <c r="W171" s="157"/>
    </row>
    <row r="172" spans="1:23" ht="13" thickBot="1"/>
    <row r="173" spans="1:23" ht="13">
      <c r="A173" s="480">
        <v>11</v>
      </c>
      <c r="B173" s="503" t="s">
        <v>533</v>
      </c>
      <c r="C173" s="503"/>
      <c r="D173" s="503"/>
      <c r="E173" s="504"/>
      <c r="M173" s="480">
        <v>11</v>
      </c>
      <c r="N173" s="503" t="s">
        <v>533</v>
      </c>
      <c r="O173" s="503"/>
      <c r="P173" s="503"/>
      <c r="Q173" s="504"/>
    </row>
    <row r="174" spans="1:23">
      <c r="A174" s="483"/>
      <c r="B174" t="s">
        <v>534</v>
      </c>
      <c r="C174" s="485">
        <f>SUMIF(Equipos!$Q$6:$Q$55,A173,Equipos!$O$6:$O$55)</f>
        <v>0</v>
      </c>
      <c r="D174" t="s">
        <v>535</v>
      </c>
      <c r="E174" s="487">
        <v>0.11</v>
      </c>
      <c r="M174" s="483"/>
      <c r="N174" t="s">
        <v>534</v>
      </c>
      <c r="O174" s="485">
        <f>SUMIF(MATERIALES!$P$6:$P$44,M173,MATERIALES!$N$6:$N$44)</f>
        <v>0</v>
      </c>
      <c r="P174" t="s">
        <v>535</v>
      </c>
      <c r="Q174" s="487">
        <v>0.11</v>
      </c>
    </row>
    <row r="175" spans="1:23">
      <c r="A175" s="483"/>
      <c r="B175" t="s">
        <v>536</v>
      </c>
      <c r="C175" s="499">
        <v>0</v>
      </c>
      <c r="D175" t="s">
        <v>537</v>
      </c>
      <c r="E175" s="487">
        <v>0</v>
      </c>
      <c r="M175" s="483"/>
      <c r="N175" t="s">
        <v>536</v>
      </c>
      <c r="O175" s="499">
        <v>0</v>
      </c>
      <c r="P175" t="s">
        <v>537</v>
      </c>
      <c r="Q175" s="487">
        <v>0</v>
      </c>
    </row>
    <row r="176" spans="1:23">
      <c r="A176" s="483"/>
      <c r="B176" t="s">
        <v>538</v>
      </c>
      <c r="C176" s="499">
        <v>0</v>
      </c>
      <c r="E176" s="40"/>
      <c r="M176" s="483"/>
      <c r="N176" t="s">
        <v>538</v>
      </c>
      <c r="O176" s="499">
        <v>0</v>
      </c>
      <c r="Q176" s="40"/>
    </row>
    <row r="177" spans="1:17">
      <c r="A177" s="483"/>
      <c r="E177" s="40"/>
      <c r="M177" s="483"/>
      <c r="Q177" s="40"/>
    </row>
    <row r="178" spans="1:17" ht="13">
      <c r="A178" s="483"/>
      <c r="B178" s="500" t="s">
        <v>539</v>
      </c>
      <c r="C178" s="501">
        <f>C174-C175-C176</f>
        <v>0</v>
      </c>
      <c r="E178" s="40"/>
      <c r="M178" s="483"/>
      <c r="N178" s="500" t="s">
        <v>539</v>
      </c>
      <c r="O178" s="501">
        <f>O174-O175-O176</f>
        <v>0</v>
      </c>
      <c r="Q178" s="40"/>
    </row>
    <row r="179" spans="1:17">
      <c r="A179" s="483"/>
      <c r="B179" t="s">
        <v>540</v>
      </c>
      <c r="C179" s="502">
        <v>4</v>
      </c>
      <c r="E179" s="40"/>
      <c r="M179" s="483"/>
      <c r="N179" t="s">
        <v>540</v>
      </c>
      <c r="O179" s="502">
        <v>4</v>
      </c>
      <c r="Q179" s="40"/>
    </row>
    <row r="180" spans="1:17">
      <c r="A180" s="483"/>
      <c r="B180" t="s">
        <v>541</v>
      </c>
      <c r="C180" s="486">
        <f>C179*12</f>
        <v>48</v>
      </c>
      <c r="E180" s="40"/>
      <c r="M180" s="483"/>
      <c r="N180" t="s">
        <v>541</v>
      </c>
      <c r="O180" s="486">
        <f>O179*12</f>
        <v>48</v>
      </c>
      <c r="Q180" s="40"/>
    </row>
    <row r="181" spans="1:17">
      <c r="A181" s="483"/>
      <c r="E181" s="40"/>
      <c r="M181" s="483"/>
      <c r="Q181" s="40"/>
    </row>
    <row r="182" spans="1:17" ht="13">
      <c r="A182" s="483"/>
      <c r="B182" s="500" t="s">
        <v>542</v>
      </c>
      <c r="C182" s="501">
        <f>-PMT(E174/12,C180,C178)</f>
        <v>0</v>
      </c>
      <c r="D182" s="500" t="s">
        <v>543</v>
      </c>
      <c r="E182" s="488">
        <f>C182*12</f>
        <v>0</v>
      </c>
      <c r="M182" s="483"/>
      <c r="N182" s="500" t="s">
        <v>542</v>
      </c>
      <c r="O182" s="501">
        <f>-PMT(Q174/12,O180,O178)</f>
        <v>0</v>
      </c>
      <c r="P182" s="500" t="s">
        <v>543</v>
      </c>
      <c r="Q182" s="488">
        <f>O182*12</f>
        <v>0</v>
      </c>
    </row>
    <row r="183" spans="1:17">
      <c r="A183" s="483"/>
      <c r="E183" s="40"/>
      <c r="M183" s="483"/>
      <c r="Q183" s="40"/>
    </row>
    <row r="184" spans="1:17">
      <c r="A184" s="483"/>
      <c r="E184" s="40"/>
      <c r="M184" s="483"/>
      <c r="Q184" s="40"/>
    </row>
    <row r="185" spans="1:17">
      <c r="A185" s="483"/>
      <c r="B185" t="s">
        <v>241</v>
      </c>
      <c r="E185" s="40"/>
      <c r="M185" s="483"/>
      <c r="N185" t="s">
        <v>241</v>
      </c>
      <c r="Q185" s="40"/>
    </row>
    <row r="186" spans="1:17">
      <c r="A186" s="483"/>
      <c r="B186" t="s">
        <v>544</v>
      </c>
      <c r="C186" s="485">
        <f>C182*C180</f>
        <v>0</v>
      </c>
      <c r="E186" s="40"/>
      <c r="M186" s="483"/>
      <c r="N186" t="s">
        <v>544</v>
      </c>
      <c r="O186" s="485">
        <f>O182*O180</f>
        <v>0</v>
      </c>
      <c r="Q186" s="40"/>
    </row>
    <row r="187" spans="1:17">
      <c r="A187" s="483"/>
      <c r="E187" s="40"/>
      <c r="M187" s="483"/>
      <c r="Q187" s="40"/>
    </row>
    <row r="188" spans="1:17" ht="13.5" thickBot="1">
      <c r="A188" s="484"/>
      <c r="B188" s="489" t="s">
        <v>299</v>
      </c>
      <c r="C188" s="490">
        <f>C186-C178</f>
        <v>0</v>
      </c>
      <c r="D188" s="99"/>
      <c r="E188" s="157"/>
      <c r="M188" s="484"/>
      <c r="N188" s="489" t="s">
        <v>299</v>
      </c>
      <c r="O188" s="490">
        <f>O186-O178</f>
        <v>0</v>
      </c>
      <c r="P188" s="99"/>
      <c r="Q188" s="157"/>
    </row>
    <row r="189" spans="1:17" ht="13" thickBot="1"/>
    <row r="190" spans="1:17" ht="13">
      <c r="A190" s="480">
        <v>12</v>
      </c>
      <c r="B190" s="503" t="s">
        <v>533</v>
      </c>
      <c r="C190" s="503"/>
      <c r="D190" s="503"/>
      <c r="E190" s="504"/>
      <c r="M190" s="480">
        <v>12</v>
      </c>
      <c r="N190" s="503" t="s">
        <v>533</v>
      </c>
      <c r="O190" s="503"/>
      <c r="P190" s="503"/>
      <c r="Q190" s="504"/>
    </row>
    <row r="191" spans="1:17">
      <c r="A191" s="483"/>
      <c r="B191" t="s">
        <v>534</v>
      </c>
      <c r="C191" s="485">
        <f>SUMIF(Equipos!$Q$6:$Q$55,A190,Equipos!$O$6:$O$55)</f>
        <v>0</v>
      </c>
      <c r="D191" t="s">
        <v>535</v>
      </c>
      <c r="E191" s="487">
        <v>0.11</v>
      </c>
      <c r="M191" s="483"/>
      <c r="N191" t="s">
        <v>534</v>
      </c>
      <c r="O191" s="485">
        <f>SUMIF(MATERIALES!$P$6:$P$44,M190,MATERIALES!$N$6:$N$44)</f>
        <v>0</v>
      </c>
      <c r="P191" t="s">
        <v>535</v>
      </c>
      <c r="Q191" s="487">
        <v>0.11</v>
      </c>
    </row>
    <row r="192" spans="1:17">
      <c r="A192" s="483"/>
      <c r="B192" t="s">
        <v>536</v>
      </c>
      <c r="C192" s="499">
        <v>0</v>
      </c>
      <c r="D192" t="s">
        <v>537</v>
      </c>
      <c r="E192" s="487">
        <v>0</v>
      </c>
      <c r="M192" s="483"/>
      <c r="N192" t="s">
        <v>536</v>
      </c>
      <c r="O192" s="499">
        <v>0</v>
      </c>
      <c r="P192" t="s">
        <v>537</v>
      </c>
      <c r="Q192" s="487">
        <v>0</v>
      </c>
    </row>
    <row r="193" spans="1:17">
      <c r="A193" s="483"/>
      <c r="B193" t="s">
        <v>538</v>
      </c>
      <c r="C193" s="499">
        <v>0</v>
      </c>
      <c r="E193" s="40"/>
      <c r="M193" s="483"/>
      <c r="N193" t="s">
        <v>538</v>
      </c>
      <c r="O193" s="499">
        <v>0</v>
      </c>
      <c r="Q193" s="40"/>
    </row>
    <row r="194" spans="1:17">
      <c r="A194" s="483"/>
      <c r="E194" s="40"/>
      <c r="M194" s="483"/>
      <c r="Q194" s="40"/>
    </row>
    <row r="195" spans="1:17" ht="13">
      <c r="A195" s="483"/>
      <c r="B195" s="500" t="s">
        <v>539</v>
      </c>
      <c r="C195" s="501">
        <f>C191-C192-C193</f>
        <v>0</v>
      </c>
      <c r="E195" s="40"/>
      <c r="M195" s="483"/>
      <c r="N195" s="500" t="s">
        <v>539</v>
      </c>
      <c r="O195" s="501">
        <f>O191-O192-O193</f>
        <v>0</v>
      </c>
      <c r="Q195" s="40"/>
    </row>
    <row r="196" spans="1:17">
      <c r="A196" s="483"/>
      <c r="B196" t="s">
        <v>540</v>
      </c>
      <c r="C196" s="502">
        <v>4</v>
      </c>
      <c r="E196" s="40"/>
      <c r="M196" s="483"/>
      <c r="N196" t="s">
        <v>540</v>
      </c>
      <c r="O196" s="502">
        <v>4</v>
      </c>
      <c r="Q196" s="40"/>
    </row>
    <row r="197" spans="1:17">
      <c r="A197" s="483"/>
      <c r="B197" t="s">
        <v>541</v>
      </c>
      <c r="C197" s="486">
        <f>C196*12</f>
        <v>48</v>
      </c>
      <c r="E197" s="40"/>
      <c r="M197" s="483"/>
      <c r="N197" t="s">
        <v>541</v>
      </c>
      <c r="O197" s="486">
        <f>O196*12</f>
        <v>48</v>
      </c>
      <c r="Q197" s="40"/>
    </row>
    <row r="198" spans="1:17">
      <c r="A198" s="483"/>
      <c r="E198" s="40"/>
      <c r="M198" s="483"/>
      <c r="Q198" s="40"/>
    </row>
    <row r="199" spans="1:17" ht="13">
      <c r="A199" s="483"/>
      <c r="B199" s="500" t="s">
        <v>542</v>
      </c>
      <c r="C199" s="501">
        <f>-PMT(E191/12,C197,C195)</f>
        <v>0</v>
      </c>
      <c r="D199" s="500" t="s">
        <v>543</v>
      </c>
      <c r="E199" s="488">
        <f>C199*12</f>
        <v>0</v>
      </c>
      <c r="M199" s="483"/>
      <c r="N199" s="500" t="s">
        <v>542</v>
      </c>
      <c r="O199" s="501">
        <f>-PMT(Q191/12,O197,O195)</f>
        <v>0</v>
      </c>
      <c r="P199" s="500" t="s">
        <v>543</v>
      </c>
      <c r="Q199" s="488">
        <f>O199*12</f>
        <v>0</v>
      </c>
    </row>
    <row r="200" spans="1:17">
      <c r="A200" s="483"/>
      <c r="E200" s="40"/>
      <c r="M200" s="483"/>
      <c r="Q200" s="40"/>
    </row>
    <row r="201" spans="1:17">
      <c r="A201" s="483"/>
      <c r="E201" s="40"/>
      <c r="M201" s="483"/>
      <c r="Q201" s="40"/>
    </row>
    <row r="202" spans="1:17">
      <c r="A202" s="483"/>
      <c r="B202" t="s">
        <v>241</v>
      </c>
      <c r="E202" s="40"/>
      <c r="M202" s="483"/>
      <c r="N202" t="s">
        <v>241</v>
      </c>
      <c r="Q202" s="40"/>
    </row>
    <row r="203" spans="1:17">
      <c r="A203" s="483"/>
      <c r="B203" t="s">
        <v>544</v>
      </c>
      <c r="C203" s="485">
        <f>C199*C197</f>
        <v>0</v>
      </c>
      <c r="E203" s="40"/>
      <c r="M203" s="483"/>
      <c r="N203" t="s">
        <v>544</v>
      </c>
      <c r="O203" s="485">
        <f>O199*O197</f>
        <v>0</v>
      </c>
      <c r="Q203" s="40"/>
    </row>
    <row r="204" spans="1:17">
      <c r="A204" s="483"/>
      <c r="E204" s="40"/>
      <c r="M204" s="483"/>
      <c r="Q204" s="40"/>
    </row>
    <row r="205" spans="1:17" ht="13.5" thickBot="1">
      <c r="A205" s="484"/>
      <c r="B205" s="489" t="s">
        <v>299</v>
      </c>
      <c r="C205" s="490">
        <f>C203-C195</f>
        <v>0</v>
      </c>
      <c r="D205" s="99"/>
      <c r="E205" s="157"/>
      <c r="M205" s="484"/>
      <c r="N205" s="489" t="s">
        <v>299</v>
      </c>
      <c r="O205" s="490">
        <f>O203-O195</f>
        <v>0</v>
      </c>
      <c r="P205" s="99"/>
      <c r="Q205" s="157"/>
    </row>
    <row r="206" spans="1:17" ht="13" thickBot="1"/>
    <row r="207" spans="1:17" ht="13">
      <c r="A207" s="480">
        <v>13</v>
      </c>
      <c r="B207" s="503" t="s">
        <v>533</v>
      </c>
      <c r="C207" s="503"/>
      <c r="D207" s="503"/>
      <c r="E207" s="504"/>
      <c r="M207" s="480">
        <v>13</v>
      </c>
      <c r="N207" s="503" t="s">
        <v>533</v>
      </c>
      <c r="O207" s="503"/>
      <c r="P207" s="503"/>
      <c r="Q207" s="504"/>
    </row>
    <row r="208" spans="1:17">
      <c r="A208" s="483"/>
      <c r="B208" t="s">
        <v>534</v>
      </c>
      <c r="C208" s="485">
        <f>SUMIF(Equipos!$Q$6:$Q$55,A207,Equipos!$O$6:$O$55)</f>
        <v>0</v>
      </c>
      <c r="D208" t="s">
        <v>535</v>
      </c>
      <c r="E208" s="487">
        <v>0.11</v>
      </c>
      <c r="M208" s="483"/>
      <c r="N208" t="s">
        <v>534</v>
      </c>
      <c r="O208" s="485">
        <f>SUMIF(MATERIALES!$P$6:$P$44,M207,MATERIALES!$N$6:$N$44)</f>
        <v>0</v>
      </c>
      <c r="P208" t="s">
        <v>535</v>
      </c>
      <c r="Q208" s="487">
        <v>0.11</v>
      </c>
    </row>
    <row r="209" spans="1:17">
      <c r="A209" s="483"/>
      <c r="B209" t="s">
        <v>536</v>
      </c>
      <c r="C209" s="499">
        <v>0</v>
      </c>
      <c r="D209" t="s">
        <v>537</v>
      </c>
      <c r="E209" s="487">
        <v>0</v>
      </c>
      <c r="M209" s="483"/>
      <c r="N209" t="s">
        <v>536</v>
      </c>
      <c r="O209" s="499">
        <v>0</v>
      </c>
      <c r="P209" t="s">
        <v>537</v>
      </c>
      <c r="Q209" s="487">
        <v>0</v>
      </c>
    </row>
    <row r="210" spans="1:17">
      <c r="A210" s="483"/>
      <c r="B210" t="s">
        <v>538</v>
      </c>
      <c r="C210" s="499">
        <v>0</v>
      </c>
      <c r="E210" s="40"/>
      <c r="M210" s="483"/>
      <c r="N210" t="s">
        <v>538</v>
      </c>
      <c r="O210" s="499">
        <v>0</v>
      </c>
      <c r="Q210" s="40"/>
    </row>
    <row r="211" spans="1:17">
      <c r="A211" s="483"/>
      <c r="E211" s="40"/>
      <c r="M211" s="483"/>
      <c r="Q211" s="40"/>
    </row>
    <row r="212" spans="1:17" ht="13">
      <c r="A212" s="483"/>
      <c r="B212" s="500" t="s">
        <v>539</v>
      </c>
      <c r="C212" s="501">
        <f>C208-C209-C210</f>
        <v>0</v>
      </c>
      <c r="E212" s="40"/>
      <c r="M212" s="483"/>
      <c r="N212" s="500" t="s">
        <v>539</v>
      </c>
      <c r="O212" s="501">
        <f>O208-O209-O210</f>
        <v>0</v>
      </c>
      <c r="Q212" s="40"/>
    </row>
    <row r="213" spans="1:17">
      <c r="A213" s="483"/>
      <c r="B213" t="s">
        <v>540</v>
      </c>
      <c r="C213" s="502">
        <v>4</v>
      </c>
      <c r="E213" s="40"/>
      <c r="M213" s="483"/>
      <c r="N213" t="s">
        <v>540</v>
      </c>
      <c r="O213" s="502">
        <v>4</v>
      </c>
      <c r="Q213" s="40"/>
    </row>
    <row r="214" spans="1:17">
      <c r="A214" s="483"/>
      <c r="B214" t="s">
        <v>541</v>
      </c>
      <c r="C214" s="486">
        <f>C213*12</f>
        <v>48</v>
      </c>
      <c r="E214" s="40"/>
      <c r="M214" s="483"/>
      <c r="N214" t="s">
        <v>541</v>
      </c>
      <c r="O214" s="486">
        <f>O213*12</f>
        <v>48</v>
      </c>
      <c r="Q214" s="40"/>
    </row>
    <row r="215" spans="1:17">
      <c r="A215" s="483"/>
      <c r="E215" s="40"/>
      <c r="M215" s="483"/>
      <c r="Q215" s="40"/>
    </row>
    <row r="216" spans="1:17" ht="13">
      <c r="A216" s="483"/>
      <c r="B216" s="500" t="s">
        <v>542</v>
      </c>
      <c r="C216" s="501">
        <f>-PMT(E208/12,C214,C212)</f>
        <v>0</v>
      </c>
      <c r="D216" s="500" t="s">
        <v>543</v>
      </c>
      <c r="E216" s="488">
        <f>C216*12</f>
        <v>0</v>
      </c>
      <c r="M216" s="483"/>
      <c r="N216" s="500" t="s">
        <v>542</v>
      </c>
      <c r="O216" s="501">
        <f>-PMT(Q208/12,O214,O212)</f>
        <v>0</v>
      </c>
      <c r="P216" s="500" t="s">
        <v>543</v>
      </c>
      <c r="Q216" s="488">
        <f>O216*12</f>
        <v>0</v>
      </c>
    </row>
    <row r="217" spans="1:17">
      <c r="A217" s="483"/>
      <c r="E217" s="40"/>
      <c r="M217" s="483"/>
      <c r="Q217" s="40"/>
    </row>
    <row r="218" spans="1:17">
      <c r="A218" s="483"/>
      <c r="E218" s="40"/>
      <c r="M218" s="483"/>
      <c r="Q218" s="40"/>
    </row>
    <row r="219" spans="1:17">
      <c r="A219" s="483"/>
      <c r="B219" t="s">
        <v>241</v>
      </c>
      <c r="E219" s="40"/>
      <c r="M219" s="483"/>
      <c r="N219" t="s">
        <v>241</v>
      </c>
      <c r="Q219" s="40"/>
    </row>
    <row r="220" spans="1:17">
      <c r="A220" s="483"/>
      <c r="B220" t="s">
        <v>544</v>
      </c>
      <c r="C220" s="485">
        <f>C216*C214</f>
        <v>0</v>
      </c>
      <c r="E220" s="40"/>
      <c r="M220" s="483"/>
      <c r="N220" t="s">
        <v>544</v>
      </c>
      <c r="O220" s="485">
        <f>O216*O214</f>
        <v>0</v>
      </c>
      <c r="Q220" s="40"/>
    </row>
    <row r="221" spans="1:17">
      <c r="A221" s="483"/>
      <c r="E221" s="40"/>
      <c r="M221" s="483"/>
      <c r="Q221" s="40"/>
    </row>
    <row r="222" spans="1:17" ht="13.5" thickBot="1">
      <c r="A222" s="484"/>
      <c r="B222" s="489" t="s">
        <v>299</v>
      </c>
      <c r="C222" s="490">
        <f>C220-C212</f>
        <v>0</v>
      </c>
      <c r="D222" s="99"/>
      <c r="E222" s="157"/>
      <c r="M222" s="484"/>
      <c r="N222" s="489" t="s">
        <v>299</v>
      </c>
      <c r="O222" s="490">
        <f>O220-O212</f>
        <v>0</v>
      </c>
      <c r="P222" s="99"/>
      <c r="Q222" s="157"/>
    </row>
    <row r="223" spans="1:17" ht="13" thickBot="1"/>
    <row r="224" spans="1:17" ht="13">
      <c r="A224" s="480">
        <v>14</v>
      </c>
      <c r="B224" s="503" t="s">
        <v>533</v>
      </c>
      <c r="C224" s="503"/>
      <c r="D224" s="503"/>
      <c r="E224" s="504"/>
      <c r="M224" s="480">
        <v>14</v>
      </c>
      <c r="N224" s="503" t="s">
        <v>533</v>
      </c>
      <c r="O224" s="503"/>
      <c r="P224" s="503"/>
      <c r="Q224" s="504"/>
    </row>
    <row r="225" spans="1:17">
      <c r="A225" s="483"/>
      <c r="B225" t="s">
        <v>534</v>
      </c>
      <c r="C225" s="485">
        <f>SUMIF(Equipos!$Q$6:$Q$55,A224,Equipos!$O$6:$O$55)</f>
        <v>0</v>
      </c>
      <c r="D225" t="s">
        <v>535</v>
      </c>
      <c r="E225" s="487">
        <v>0.11</v>
      </c>
      <c r="M225" s="483"/>
      <c r="N225" t="s">
        <v>534</v>
      </c>
      <c r="O225" s="485">
        <f>SUMIF(MATERIALES!$P$6:$P$44,M224,MATERIALES!$N$6:$N$44)</f>
        <v>0</v>
      </c>
      <c r="P225" t="s">
        <v>535</v>
      </c>
      <c r="Q225" s="487">
        <v>0.11</v>
      </c>
    </row>
    <row r="226" spans="1:17">
      <c r="A226" s="483"/>
      <c r="B226" t="s">
        <v>536</v>
      </c>
      <c r="C226" s="499">
        <v>0</v>
      </c>
      <c r="D226" t="s">
        <v>537</v>
      </c>
      <c r="E226" s="487">
        <v>0</v>
      </c>
      <c r="M226" s="483"/>
      <c r="N226" t="s">
        <v>536</v>
      </c>
      <c r="O226" s="499">
        <v>0</v>
      </c>
      <c r="P226" t="s">
        <v>537</v>
      </c>
      <c r="Q226" s="487">
        <v>0</v>
      </c>
    </row>
    <row r="227" spans="1:17">
      <c r="A227" s="483"/>
      <c r="B227" t="s">
        <v>538</v>
      </c>
      <c r="C227" s="499">
        <v>0</v>
      </c>
      <c r="E227" s="40"/>
      <c r="M227" s="483"/>
      <c r="N227" t="s">
        <v>538</v>
      </c>
      <c r="O227" s="499">
        <v>0</v>
      </c>
      <c r="Q227" s="40"/>
    </row>
    <row r="228" spans="1:17">
      <c r="A228" s="483"/>
      <c r="E228" s="40"/>
      <c r="M228" s="483"/>
      <c r="Q228" s="40"/>
    </row>
    <row r="229" spans="1:17" ht="13">
      <c r="A229" s="483"/>
      <c r="B229" s="500" t="s">
        <v>539</v>
      </c>
      <c r="C229" s="501">
        <f>C225-C226-C227</f>
        <v>0</v>
      </c>
      <c r="E229" s="40"/>
      <c r="M229" s="483"/>
      <c r="N229" s="500" t="s">
        <v>539</v>
      </c>
      <c r="O229" s="501">
        <f>O225-O226-O227</f>
        <v>0</v>
      </c>
      <c r="Q229" s="40"/>
    </row>
    <row r="230" spans="1:17">
      <c r="A230" s="483"/>
      <c r="B230" t="s">
        <v>540</v>
      </c>
      <c r="C230" s="502">
        <v>4</v>
      </c>
      <c r="E230" s="40"/>
      <c r="M230" s="483"/>
      <c r="N230" t="s">
        <v>540</v>
      </c>
      <c r="O230" s="502">
        <v>4</v>
      </c>
      <c r="Q230" s="40"/>
    </row>
    <row r="231" spans="1:17">
      <c r="A231" s="483"/>
      <c r="B231" t="s">
        <v>541</v>
      </c>
      <c r="C231" s="486">
        <f>C230*12</f>
        <v>48</v>
      </c>
      <c r="E231" s="40"/>
      <c r="M231" s="483"/>
      <c r="N231" t="s">
        <v>541</v>
      </c>
      <c r="O231" s="486">
        <f>O230*12</f>
        <v>48</v>
      </c>
      <c r="Q231" s="40"/>
    </row>
    <row r="232" spans="1:17">
      <c r="A232" s="483"/>
      <c r="E232" s="40"/>
      <c r="M232" s="483"/>
      <c r="Q232" s="40"/>
    </row>
    <row r="233" spans="1:17" ht="13">
      <c r="A233" s="483"/>
      <c r="B233" s="500" t="s">
        <v>542</v>
      </c>
      <c r="C233" s="501">
        <f>-PMT(E225/12,C231,C229)</f>
        <v>0</v>
      </c>
      <c r="D233" s="500" t="s">
        <v>543</v>
      </c>
      <c r="E233" s="488">
        <f>C233*12</f>
        <v>0</v>
      </c>
      <c r="M233" s="483"/>
      <c r="N233" s="500" t="s">
        <v>542</v>
      </c>
      <c r="O233" s="501">
        <f>-PMT(Q225/12,O231,O229)</f>
        <v>0</v>
      </c>
      <c r="P233" s="500" t="s">
        <v>543</v>
      </c>
      <c r="Q233" s="488">
        <f>O233*12</f>
        <v>0</v>
      </c>
    </row>
    <row r="234" spans="1:17">
      <c r="A234" s="483"/>
      <c r="E234" s="40"/>
      <c r="M234" s="483"/>
      <c r="Q234" s="40"/>
    </row>
    <row r="235" spans="1:17">
      <c r="A235" s="483"/>
      <c r="E235" s="40"/>
      <c r="M235" s="483"/>
      <c r="Q235" s="40"/>
    </row>
    <row r="236" spans="1:17">
      <c r="A236" s="483"/>
      <c r="B236" t="s">
        <v>241</v>
      </c>
      <c r="E236" s="40"/>
      <c r="M236" s="483"/>
      <c r="N236" t="s">
        <v>241</v>
      </c>
      <c r="Q236" s="40"/>
    </row>
    <row r="237" spans="1:17">
      <c r="A237" s="483"/>
      <c r="B237" t="s">
        <v>544</v>
      </c>
      <c r="C237" s="485">
        <f>C233*C231</f>
        <v>0</v>
      </c>
      <c r="E237" s="40"/>
      <c r="M237" s="483"/>
      <c r="N237" t="s">
        <v>544</v>
      </c>
      <c r="O237" s="485">
        <f>O233*O231</f>
        <v>0</v>
      </c>
      <c r="Q237" s="40"/>
    </row>
    <row r="238" spans="1:17">
      <c r="A238" s="483"/>
      <c r="E238" s="40"/>
      <c r="M238" s="483"/>
      <c r="Q238" s="40"/>
    </row>
    <row r="239" spans="1:17" ht="13.5" thickBot="1">
      <c r="A239" s="484"/>
      <c r="B239" s="489" t="s">
        <v>299</v>
      </c>
      <c r="C239" s="490">
        <f>C237-C229</f>
        <v>0</v>
      </c>
      <c r="D239" s="99"/>
      <c r="E239" s="157"/>
      <c r="M239" s="484"/>
      <c r="N239" s="489" t="s">
        <v>299</v>
      </c>
      <c r="O239" s="490">
        <f>O237-O229</f>
        <v>0</v>
      </c>
      <c r="P239" s="99"/>
      <c r="Q239" s="157"/>
    </row>
    <row r="240" spans="1:17" ht="13" thickBot="1"/>
    <row r="241" spans="1:17" ht="13">
      <c r="A241" s="480">
        <v>15</v>
      </c>
      <c r="B241" s="503" t="s">
        <v>533</v>
      </c>
      <c r="C241" s="503"/>
      <c r="D241" s="503"/>
      <c r="E241" s="504"/>
      <c r="M241" s="480">
        <v>15</v>
      </c>
      <c r="N241" s="503" t="s">
        <v>533</v>
      </c>
      <c r="O241" s="503"/>
      <c r="P241" s="503"/>
      <c r="Q241" s="504"/>
    </row>
    <row r="242" spans="1:17">
      <c r="A242" s="483"/>
      <c r="B242" t="s">
        <v>534</v>
      </c>
      <c r="C242" s="485">
        <f>SUMIF(Equipos!$Q$6:$Q$55,A241,Equipos!$O$6:$O$55)</f>
        <v>0</v>
      </c>
      <c r="D242" t="s">
        <v>535</v>
      </c>
      <c r="E242" s="487">
        <v>0.11</v>
      </c>
      <c r="M242" s="483"/>
      <c r="N242" t="s">
        <v>534</v>
      </c>
      <c r="O242" s="485">
        <f>SUMIF(MATERIALES!$P$6:$P$44,M241,MATERIALES!$N$6:$N$44)</f>
        <v>0</v>
      </c>
      <c r="P242" t="s">
        <v>535</v>
      </c>
      <c r="Q242" s="487">
        <v>0.11</v>
      </c>
    </row>
    <row r="243" spans="1:17">
      <c r="A243" s="483"/>
      <c r="B243" t="s">
        <v>536</v>
      </c>
      <c r="C243" s="499">
        <v>0</v>
      </c>
      <c r="D243" t="s">
        <v>537</v>
      </c>
      <c r="E243" s="487">
        <v>0</v>
      </c>
      <c r="M243" s="483"/>
      <c r="N243" t="s">
        <v>536</v>
      </c>
      <c r="O243" s="499">
        <v>0</v>
      </c>
      <c r="P243" t="s">
        <v>537</v>
      </c>
      <c r="Q243" s="487">
        <v>0</v>
      </c>
    </row>
    <row r="244" spans="1:17">
      <c r="A244" s="483"/>
      <c r="B244" t="s">
        <v>538</v>
      </c>
      <c r="C244" s="499">
        <v>0</v>
      </c>
      <c r="E244" s="40"/>
      <c r="M244" s="483"/>
      <c r="N244" t="s">
        <v>538</v>
      </c>
      <c r="O244" s="499">
        <v>0</v>
      </c>
      <c r="Q244" s="40"/>
    </row>
    <row r="245" spans="1:17">
      <c r="A245" s="483"/>
      <c r="E245" s="40"/>
      <c r="M245" s="483"/>
      <c r="Q245" s="40"/>
    </row>
    <row r="246" spans="1:17" ht="13">
      <c r="A246" s="483"/>
      <c r="B246" s="500" t="s">
        <v>539</v>
      </c>
      <c r="C246" s="501">
        <f>C242-C243-C244</f>
        <v>0</v>
      </c>
      <c r="E246" s="40"/>
      <c r="M246" s="483"/>
      <c r="N246" s="500" t="s">
        <v>539</v>
      </c>
      <c r="O246" s="501">
        <f>O242-O243-O244</f>
        <v>0</v>
      </c>
      <c r="Q246" s="40"/>
    </row>
    <row r="247" spans="1:17">
      <c r="A247" s="483"/>
      <c r="B247" t="s">
        <v>540</v>
      </c>
      <c r="C247" s="502">
        <v>4</v>
      </c>
      <c r="E247" s="40"/>
      <c r="M247" s="483"/>
      <c r="N247" t="s">
        <v>540</v>
      </c>
      <c r="O247" s="502">
        <v>4</v>
      </c>
      <c r="Q247" s="40"/>
    </row>
    <row r="248" spans="1:17">
      <c r="A248" s="483"/>
      <c r="B248" t="s">
        <v>541</v>
      </c>
      <c r="C248" s="486">
        <f>C247*12</f>
        <v>48</v>
      </c>
      <c r="E248" s="40"/>
      <c r="M248" s="483"/>
      <c r="N248" t="s">
        <v>541</v>
      </c>
      <c r="O248" s="486">
        <f>O247*12</f>
        <v>48</v>
      </c>
      <c r="Q248" s="40"/>
    </row>
    <row r="249" spans="1:17">
      <c r="A249" s="483"/>
      <c r="E249" s="40"/>
      <c r="M249" s="483"/>
      <c r="Q249" s="40"/>
    </row>
    <row r="250" spans="1:17" ht="13">
      <c r="A250" s="483"/>
      <c r="B250" s="500" t="s">
        <v>542</v>
      </c>
      <c r="C250" s="501">
        <f>-PMT(E242/12,C248,C246)</f>
        <v>0</v>
      </c>
      <c r="D250" s="500" t="s">
        <v>543</v>
      </c>
      <c r="E250" s="488">
        <f>C250*12</f>
        <v>0</v>
      </c>
      <c r="M250" s="483"/>
      <c r="N250" s="500" t="s">
        <v>542</v>
      </c>
      <c r="O250" s="501">
        <f>-PMT(Q242/12,O248,O246)</f>
        <v>0</v>
      </c>
      <c r="P250" s="500" t="s">
        <v>543</v>
      </c>
      <c r="Q250" s="488">
        <f>O250*12</f>
        <v>0</v>
      </c>
    </row>
    <row r="251" spans="1:17">
      <c r="A251" s="483"/>
      <c r="E251" s="40"/>
      <c r="M251" s="483"/>
      <c r="Q251" s="40"/>
    </row>
    <row r="252" spans="1:17">
      <c r="A252" s="483"/>
      <c r="E252" s="40"/>
      <c r="M252" s="483"/>
      <c r="Q252" s="40"/>
    </row>
    <row r="253" spans="1:17">
      <c r="A253" s="483"/>
      <c r="B253" t="s">
        <v>241</v>
      </c>
      <c r="E253" s="40"/>
      <c r="M253" s="483"/>
      <c r="N253" t="s">
        <v>241</v>
      </c>
      <c r="Q253" s="40"/>
    </row>
    <row r="254" spans="1:17">
      <c r="A254" s="483"/>
      <c r="B254" t="s">
        <v>544</v>
      </c>
      <c r="C254" s="485">
        <f>C250*C248</f>
        <v>0</v>
      </c>
      <c r="E254" s="40"/>
      <c r="M254" s="483"/>
      <c r="N254" t="s">
        <v>544</v>
      </c>
      <c r="O254" s="485">
        <f>O250*O248</f>
        <v>0</v>
      </c>
      <c r="Q254" s="40"/>
    </row>
    <row r="255" spans="1:17">
      <c r="A255" s="483"/>
      <c r="E255" s="40"/>
      <c r="M255" s="483"/>
      <c r="Q255" s="40"/>
    </row>
    <row r="256" spans="1:17" ht="13.5" thickBot="1">
      <c r="A256" s="484"/>
      <c r="B256" s="489" t="s">
        <v>299</v>
      </c>
      <c r="C256" s="490">
        <f>C254-C246</f>
        <v>0</v>
      </c>
      <c r="D256" s="99"/>
      <c r="E256" s="157"/>
      <c r="M256" s="484"/>
      <c r="N256" s="489" t="s">
        <v>299</v>
      </c>
      <c r="O256" s="490">
        <f>O254-O246</f>
        <v>0</v>
      </c>
      <c r="P256" s="99"/>
      <c r="Q256" s="157"/>
    </row>
    <row r="257" spans="1:17" ht="13" thickBot="1"/>
    <row r="258" spans="1:17" ht="13">
      <c r="A258" s="480">
        <v>16</v>
      </c>
      <c r="B258" s="503" t="s">
        <v>533</v>
      </c>
      <c r="C258" s="503"/>
      <c r="D258" s="503"/>
      <c r="E258" s="504"/>
      <c r="M258" s="480">
        <v>16</v>
      </c>
      <c r="N258" s="503" t="s">
        <v>533</v>
      </c>
      <c r="O258" s="503"/>
      <c r="P258" s="503"/>
      <c r="Q258" s="504"/>
    </row>
    <row r="259" spans="1:17">
      <c r="A259" s="483"/>
      <c r="B259" t="s">
        <v>534</v>
      </c>
      <c r="C259" s="485">
        <f>SUMIF(Equipos!$Q$6:$Q$55,A258,Equipos!$O$6:$O$55)</f>
        <v>0</v>
      </c>
      <c r="D259" t="s">
        <v>535</v>
      </c>
      <c r="E259" s="487">
        <v>0.11</v>
      </c>
      <c r="M259" s="483"/>
      <c r="N259" t="s">
        <v>534</v>
      </c>
      <c r="O259" s="485">
        <f>SUMIF(MATERIALES!$P$6:$P$44,M258,MATERIALES!$N$6:$N$44)</f>
        <v>0</v>
      </c>
      <c r="P259" t="s">
        <v>535</v>
      </c>
      <c r="Q259" s="487">
        <v>0.11</v>
      </c>
    </row>
    <row r="260" spans="1:17">
      <c r="A260" s="483"/>
      <c r="B260" t="s">
        <v>536</v>
      </c>
      <c r="C260" s="499">
        <v>0</v>
      </c>
      <c r="D260" t="s">
        <v>537</v>
      </c>
      <c r="E260" s="487">
        <v>0</v>
      </c>
      <c r="M260" s="483"/>
      <c r="N260" t="s">
        <v>536</v>
      </c>
      <c r="O260" s="499">
        <v>0</v>
      </c>
      <c r="P260" t="s">
        <v>537</v>
      </c>
      <c r="Q260" s="487">
        <v>0</v>
      </c>
    </row>
    <row r="261" spans="1:17">
      <c r="A261" s="483"/>
      <c r="B261" t="s">
        <v>538</v>
      </c>
      <c r="C261" s="499">
        <v>0</v>
      </c>
      <c r="E261" s="40"/>
      <c r="M261" s="483"/>
      <c r="N261" t="s">
        <v>538</v>
      </c>
      <c r="O261" s="499">
        <v>0</v>
      </c>
      <c r="Q261" s="40"/>
    </row>
    <row r="262" spans="1:17">
      <c r="A262" s="483"/>
      <c r="E262" s="40"/>
      <c r="M262" s="483"/>
      <c r="Q262" s="40"/>
    </row>
    <row r="263" spans="1:17" ht="13">
      <c r="A263" s="483"/>
      <c r="B263" s="500" t="s">
        <v>539</v>
      </c>
      <c r="C263" s="501">
        <f>C259-C260-C261</f>
        <v>0</v>
      </c>
      <c r="E263" s="40"/>
      <c r="M263" s="483"/>
      <c r="N263" s="500" t="s">
        <v>539</v>
      </c>
      <c r="O263" s="501">
        <f>O259-O260-O261</f>
        <v>0</v>
      </c>
      <c r="Q263" s="40"/>
    </row>
    <row r="264" spans="1:17">
      <c r="A264" s="483"/>
      <c r="B264" t="s">
        <v>540</v>
      </c>
      <c r="C264" s="502">
        <v>4</v>
      </c>
      <c r="E264" s="40"/>
      <c r="M264" s="483"/>
      <c r="N264" t="s">
        <v>540</v>
      </c>
      <c r="O264" s="502">
        <v>4</v>
      </c>
      <c r="Q264" s="40"/>
    </row>
    <row r="265" spans="1:17">
      <c r="A265" s="483"/>
      <c r="B265" t="s">
        <v>541</v>
      </c>
      <c r="C265" s="486">
        <f>C264*12</f>
        <v>48</v>
      </c>
      <c r="E265" s="40"/>
      <c r="M265" s="483"/>
      <c r="N265" t="s">
        <v>541</v>
      </c>
      <c r="O265" s="486">
        <f>O264*12</f>
        <v>48</v>
      </c>
      <c r="Q265" s="40"/>
    </row>
    <row r="266" spans="1:17">
      <c r="A266" s="483"/>
      <c r="E266" s="40"/>
      <c r="M266" s="483"/>
      <c r="Q266" s="40"/>
    </row>
    <row r="267" spans="1:17" ht="13">
      <c r="A267" s="483"/>
      <c r="B267" s="500" t="s">
        <v>542</v>
      </c>
      <c r="C267" s="501">
        <f>-PMT(E259/12,C265,C263)</f>
        <v>0</v>
      </c>
      <c r="D267" s="500" t="s">
        <v>543</v>
      </c>
      <c r="E267" s="488">
        <f>C267*12</f>
        <v>0</v>
      </c>
      <c r="M267" s="483"/>
      <c r="N267" s="500" t="s">
        <v>542</v>
      </c>
      <c r="O267" s="501">
        <f>-PMT(Q259/12,O265,O263)</f>
        <v>0</v>
      </c>
      <c r="P267" s="500" t="s">
        <v>543</v>
      </c>
      <c r="Q267" s="488">
        <f>O267*12</f>
        <v>0</v>
      </c>
    </row>
    <row r="268" spans="1:17">
      <c r="A268" s="483"/>
      <c r="E268" s="40"/>
      <c r="M268" s="483"/>
      <c r="Q268" s="40"/>
    </row>
    <row r="269" spans="1:17">
      <c r="A269" s="483"/>
      <c r="E269" s="40"/>
      <c r="M269" s="483"/>
      <c r="Q269" s="40"/>
    </row>
    <row r="270" spans="1:17">
      <c r="A270" s="483"/>
      <c r="B270" t="s">
        <v>241</v>
      </c>
      <c r="E270" s="40"/>
      <c r="M270" s="483"/>
      <c r="N270" t="s">
        <v>241</v>
      </c>
      <c r="Q270" s="40"/>
    </row>
    <row r="271" spans="1:17">
      <c r="A271" s="483"/>
      <c r="B271" t="s">
        <v>544</v>
      </c>
      <c r="C271" s="485">
        <f>C267*C265</f>
        <v>0</v>
      </c>
      <c r="E271" s="40"/>
      <c r="M271" s="483"/>
      <c r="N271" t="s">
        <v>544</v>
      </c>
      <c r="O271" s="485">
        <f>O267*O265</f>
        <v>0</v>
      </c>
      <c r="Q271" s="40"/>
    </row>
    <row r="272" spans="1:17">
      <c r="A272" s="483"/>
      <c r="E272" s="40"/>
      <c r="M272" s="483"/>
      <c r="Q272" s="40"/>
    </row>
    <row r="273" spans="1:17" ht="13.5" thickBot="1">
      <c r="A273" s="484"/>
      <c r="B273" s="489" t="s">
        <v>299</v>
      </c>
      <c r="C273" s="490">
        <f>C271-C263</f>
        <v>0</v>
      </c>
      <c r="D273" s="99"/>
      <c r="E273" s="157"/>
      <c r="M273" s="484"/>
      <c r="N273" s="489" t="s">
        <v>299</v>
      </c>
      <c r="O273" s="490">
        <f>O271-O263</f>
        <v>0</v>
      </c>
      <c r="P273" s="99"/>
      <c r="Q273" s="157"/>
    </row>
    <row r="274" spans="1:17" ht="13" thickBot="1"/>
    <row r="275" spans="1:17" ht="13">
      <c r="A275" s="480">
        <v>17</v>
      </c>
      <c r="B275" s="503" t="s">
        <v>533</v>
      </c>
      <c r="C275" s="503"/>
      <c r="D275" s="503"/>
      <c r="E275" s="504"/>
      <c r="M275" s="480">
        <v>17</v>
      </c>
      <c r="N275" s="503" t="s">
        <v>533</v>
      </c>
      <c r="O275" s="503"/>
      <c r="P275" s="503"/>
      <c r="Q275" s="504"/>
    </row>
    <row r="276" spans="1:17">
      <c r="A276" s="483"/>
      <c r="B276" t="s">
        <v>534</v>
      </c>
      <c r="C276" s="485">
        <f>SUMIF(Equipos!$Q$6:$Q$55,A275,Equipos!$O$6:$O$55)</f>
        <v>0</v>
      </c>
      <c r="D276" t="s">
        <v>535</v>
      </c>
      <c r="E276" s="487">
        <v>0.11</v>
      </c>
      <c r="M276" s="483"/>
      <c r="N276" t="s">
        <v>534</v>
      </c>
      <c r="O276" s="485">
        <f>SUMIF(MATERIALES!$P$6:$P$44,M275,MATERIALES!$N$6:$N$44)</f>
        <v>0</v>
      </c>
      <c r="P276" t="s">
        <v>535</v>
      </c>
      <c r="Q276" s="487">
        <v>0.11</v>
      </c>
    </row>
    <row r="277" spans="1:17">
      <c r="A277" s="483"/>
      <c r="B277" t="s">
        <v>536</v>
      </c>
      <c r="C277" s="499">
        <v>0</v>
      </c>
      <c r="D277" t="s">
        <v>537</v>
      </c>
      <c r="E277" s="487">
        <v>0</v>
      </c>
      <c r="M277" s="483"/>
      <c r="N277" t="s">
        <v>536</v>
      </c>
      <c r="O277" s="499">
        <v>0</v>
      </c>
      <c r="P277" t="s">
        <v>537</v>
      </c>
      <c r="Q277" s="487">
        <v>0</v>
      </c>
    </row>
    <row r="278" spans="1:17">
      <c r="A278" s="483"/>
      <c r="B278" t="s">
        <v>538</v>
      </c>
      <c r="C278" s="499">
        <v>0</v>
      </c>
      <c r="E278" s="40"/>
      <c r="M278" s="483"/>
      <c r="N278" t="s">
        <v>538</v>
      </c>
      <c r="O278" s="499">
        <v>0</v>
      </c>
      <c r="Q278" s="40"/>
    </row>
    <row r="279" spans="1:17">
      <c r="A279" s="483"/>
      <c r="E279" s="40"/>
      <c r="M279" s="483"/>
      <c r="Q279" s="40"/>
    </row>
    <row r="280" spans="1:17" ht="13">
      <c r="A280" s="483"/>
      <c r="B280" s="500" t="s">
        <v>539</v>
      </c>
      <c r="C280" s="501">
        <f>C276-C277-C278</f>
        <v>0</v>
      </c>
      <c r="E280" s="40"/>
      <c r="M280" s="483"/>
      <c r="N280" s="500" t="s">
        <v>539</v>
      </c>
      <c r="O280" s="501">
        <f>O276-O277-O278</f>
        <v>0</v>
      </c>
      <c r="Q280" s="40"/>
    </row>
    <row r="281" spans="1:17">
      <c r="A281" s="483"/>
      <c r="B281" t="s">
        <v>540</v>
      </c>
      <c r="C281" s="502">
        <v>4</v>
      </c>
      <c r="E281" s="40"/>
      <c r="M281" s="483"/>
      <c r="N281" t="s">
        <v>540</v>
      </c>
      <c r="O281" s="502">
        <v>4</v>
      </c>
      <c r="Q281" s="40"/>
    </row>
    <row r="282" spans="1:17">
      <c r="A282" s="483"/>
      <c r="B282" t="s">
        <v>541</v>
      </c>
      <c r="C282" s="486">
        <f>C281*12</f>
        <v>48</v>
      </c>
      <c r="E282" s="40"/>
      <c r="M282" s="483"/>
      <c r="N282" t="s">
        <v>541</v>
      </c>
      <c r="O282" s="486">
        <f>O281*12</f>
        <v>48</v>
      </c>
      <c r="Q282" s="40"/>
    </row>
    <row r="283" spans="1:17">
      <c r="A283" s="483"/>
      <c r="E283" s="40"/>
      <c r="M283" s="483"/>
      <c r="Q283" s="40"/>
    </row>
    <row r="284" spans="1:17" ht="13">
      <c r="A284" s="483"/>
      <c r="B284" s="500" t="s">
        <v>542</v>
      </c>
      <c r="C284" s="501">
        <f>-PMT(E276/12,C282,C280)</f>
        <v>0</v>
      </c>
      <c r="D284" s="500" t="s">
        <v>543</v>
      </c>
      <c r="E284" s="488">
        <f>C284*12</f>
        <v>0</v>
      </c>
      <c r="M284" s="483"/>
      <c r="N284" s="500" t="s">
        <v>542</v>
      </c>
      <c r="O284" s="501">
        <f>-PMT(Q276/12,O282,O280)</f>
        <v>0</v>
      </c>
      <c r="P284" s="500" t="s">
        <v>543</v>
      </c>
      <c r="Q284" s="488">
        <f>O284*12</f>
        <v>0</v>
      </c>
    </row>
    <row r="285" spans="1:17">
      <c r="A285" s="483"/>
      <c r="E285" s="40"/>
      <c r="M285" s="483"/>
      <c r="Q285" s="40"/>
    </row>
    <row r="286" spans="1:17">
      <c r="A286" s="483"/>
      <c r="E286" s="40"/>
      <c r="M286" s="483"/>
      <c r="Q286" s="40"/>
    </row>
    <row r="287" spans="1:17">
      <c r="A287" s="483"/>
      <c r="B287" t="s">
        <v>241</v>
      </c>
      <c r="E287" s="40"/>
      <c r="M287" s="483"/>
      <c r="N287" t="s">
        <v>241</v>
      </c>
      <c r="Q287" s="40"/>
    </row>
    <row r="288" spans="1:17">
      <c r="A288" s="483"/>
      <c r="B288" t="s">
        <v>544</v>
      </c>
      <c r="C288" s="485">
        <f>C284*C282</f>
        <v>0</v>
      </c>
      <c r="E288" s="40"/>
      <c r="M288" s="483"/>
      <c r="N288" t="s">
        <v>544</v>
      </c>
      <c r="O288" s="485">
        <f>O284*O282</f>
        <v>0</v>
      </c>
      <c r="Q288" s="40"/>
    </row>
    <row r="289" spans="1:17">
      <c r="A289" s="483"/>
      <c r="E289" s="40"/>
      <c r="M289" s="483"/>
      <c r="Q289" s="40"/>
    </row>
    <row r="290" spans="1:17" ht="13.5" thickBot="1">
      <c r="A290" s="484"/>
      <c r="B290" s="489" t="s">
        <v>299</v>
      </c>
      <c r="C290" s="490">
        <f>C288-C280</f>
        <v>0</v>
      </c>
      <c r="D290" s="99"/>
      <c r="E290" s="157"/>
      <c r="M290" s="484"/>
      <c r="N290" s="489" t="s">
        <v>299</v>
      </c>
      <c r="O290" s="490">
        <f>O288-O280</f>
        <v>0</v>
      </c>
      <c r="P290" s="99"/>
      <c r="Q290" s="157"/>
    </row>
    <row r="291" spans="1:17" ht="13" thickBot="1"/>
    <row r="292" spans="1:17" ht="13">
      <c r="A292" s="480">
        <v>18</v>
      </c>
      <c r="B292" s="503" t="s">
        <v>533</v>
      </c>
      <c r="C292" s="503"/>
      <c r="D292" s="503"/>
      <c r="E292" s="504"/>
      <c r="M292" s="480">
        <v>18</v>
      </c>
      <c r="N292" s="503" t="s">
        <v>533</v>
      </c>
      <c r="O292" s="503"/>
      <c r="P292" s="503"/>
      <c r="Q292" s="504"/>
    </row>
    <row r="293" spans="1:17">
      <c r="A293" s="483"/>
      <c r="B293" t="s">
        <v>534</v>
      </c>
      <c r="C293" s="485">
        <f>SUMIF(Equipos!$Q$6:$Q$55,A292,Equipos!$O$6:$O$55)</f>
        <v>0</v>
      </c>
      <c r="D293" t="s">
        <v>535</v>
      </c>
      <c r="E293" s="487">
        <v>0.11</v>
      </c>
      <c r="M293" s="483"/>
      <c r="N293" t="s">
        <v>534</v>
      </c>
      <c r="O293" s="485">
        <f>SUMIF(MATERIALES!$P$6:$P$44,M292,MATERIALES!$N$6:$N$44)</f>
        <v>0</v>
      </c>
      <c r="P293" t="s">
        <v>535</v>
      </c>
      <c r="Q293" s="487">
        <v>0.11</v>
      </c>
    </row>
    <row r="294" spans="1:17">
      <c r="A294" s="483"/>
      <c r="B294" t="s">
        <v>536</v>
      </c>
      <c r="C294" s="499">
        <v>0</v>
      </c>
      <c r="D294" t="s">
        <v>537</v>
      </c>
      <c r="E294" s="487">
        <v>0</v>
      </c>
      <c r="M294" s="483"/>
      <c r="N294" t="s">
        <v>536</v>
      </c>
      <c r="O294" s="499">
        <v>0</v>
      </c>
      <c r="P294" t="s">
        <v>537</v>
      </c>
      <c r="Q294" s="487">
        <v>0</v>
      </c>
    </row>
    <row r="295" spans="1:17">
      <c r="A295" s="483"/>
      <c r="B295" t="s">
        <v>538</v>
      </c>
      <c r="C295" s="499">
        <v>0</v>
      </c>
      <c r="E295" s="40"/>
      <c r="M295" s="483"/>
      <c r="N295" t="s">
        <v>538</v>
      </c>
      <c r="O295" s="499">
        <v>0</v>
      </c>
      <c r="Q295" s="40"/>
    </row>
    <row r="296" spans="1:17">
      <c r="A296" s="483"/>
      <c r="E296" s="40"/>
      <c r="M296" s="483"/>
      <c r="Q296" s="40"/>
    </row>
    <row r="297" spans="1:17" ht="13">
      <c r="A297" s="483"/>
      <c r="B297" s="500" t="s">
        <v>539</v>
      </c>
      <c r="C297" s="501">
        <f>C293-C294-C295</f>
        <v>0</v>
      </c>
      <c r="E297" s="40"/>
      <c r="M297" s="483"/>
      <c r="N297" s="500" t="s">
        <v>539</v>
      </c>
      <c r="O297" s="501">
        <f>O293-O294-O295</f>
        <v>0</v>
      </c>
      <c r="Q297" s="40"/>
    </row>
    <row r="298" spans="1:17">
      <c r="A298" s="483"/>
      <c r="B298" t="s">
        <v>540</v>
      </c>
      <c r="C298" s="502">
        <v>4</v>
      </c>
      <c r="E298" s="40"/>
      <c r="M298" s="483"/>
      <c r="N298" t="s">
        <v>540</v>
      </c>
      <c r="O298" s="502">
        <v>4</v>
      </c>
      <c r="Q298" s="40"/>
    </row>
    <row r="299" spans="1:17">
      <c r="A299" s="483"/>
      <c r="B299" t="s">
        <v>541</v>
      </c>
      <c r="C299" s="486">
        <f>C298*12</f>
        <v>48</v>
      </c>
      <c r="E299" s="40"/>
      <c r="M299" s="483"/>
      <c r="N299" t="s">
        <v>541</v>
      </c>
      <c r="O299" s="486">
        <f>O298*12</f>
        <v>48</v>
      </c>
      <c r="Q299" s="40"/>
    </row>
    <row r="300" spans="1:17">
      <c r="A300" s="483"/>
      <c r="E300" s="40"/>
      <c r="M300" s="483"/>
      <c r="Q300" s="40"/>
    </row>
    <row r="301" spans="1:17" ht="13">
      <c r="A301" s="483"/>
      <c r="B301" s="500" t="s">
        <v>542</v>
      </c>
      <c r="C301" s="501">
        <f>-PMT(E293/12,C299,C297)</f>
        <v>0</v>
      </c>
      <c r="D301" s="500" t="s">
        <v>543</v>
      </c>
      <c r="E301" s="488">
        <f>C301*12</f>
        <v>0</v>
      </c>
      <c r="M301" s="483"/>
      <c r="N301" s="500" t="s">
        <v>542</v>
      </c>
      <c r="O301" s="501">
        <f>-PMT(Q293/12,O299,O297)</f>
        <v>0</v>
      </c>
      <c r="P301" s="500" t="s">
        <v>543</v>
      </c>
      <c r="Q301" s="488">
        <f>O301*12</f>
        <v>0</v>
      </c>
    </row>
    <row r="302" spans="1:17">
      <c r="A302" s="483"/>
      <c r="E302" s="40"/>
      <c r="M302" s="483"/>
      <c r="Q302" s="40"/>
    </row>
    <row r="303" spans="1:17">
      <c r="A303" s="483"/>
      <c r="E303" s="40"/>
      <c r="M303" s="483"/>
      <c r="Q303" s="40"/>
    </row>
    <row r="304" spans="1:17">
      <c r="A304" s="483"/>
      <c r="B304" t="s">
        <v>241</v>
      </c>
      <c r="E304" s="40"/>
      <c r="M304" s="483"/>
      <c r="N304" t="s">
        <v>241</v>
      </c>
      <c r="Q304" s="40"/>
    </row>
    <row r="305" spans="1:17">
      <c r="A305" s="483"/>
      <c r="B305" t="s">
        <v>544</v>
      </c>
      <c r="C305" s="485">
        <f>C301*C299</f>
        <v>0</v>
      </c>
      <c r="E305" s="40"/>
      <c r="M305" s="483"/>
      <c r="N305" t="s">
        <v>544</v>
      </c>
      <c r="O305" s="485">
        <f>O301*O299</f>
        <v>0</v>
      </c>
      <c r="Q305" s="40"/>
    </row>
    <row r="306" spans="1:17">
      <c r="A306" s="483"/>
      <c r="E306" s="40"/>
      <c r="M306" s="483"/>
      <c r="Q306" s="40"/>
    </row>
    <row r="307" spans="1:17" ht="13.5" thickBot="1">
      <c r="A307" s="484"/>
      <c r="B307" s="489" t="s">
        <v>299</v>
      </c>
      <c r="C307" s="490">
        <f>C305-C297</f>
        <v>0</v>
      </c>
      <c r="D307" s="99"/>
      <c r="E307" s="157"/>
      <c r="M307" s="484"/>
      <c r="N307" s="489" t="s">
        <v>299</v>
      </c>
      <c r="O307" s="490">
        <f>O305-O297</f>
        <v>0</v>
      </c>
      <c r="P307" s="99"/>
      <c r="Q307" s="157"/>
    </row>
    <row r="308" spans="1:17" ht="13" thickBot="1"/>
    <row r="309" spans="1:17" ht="13">
      <c r="A309" s="480">
        <v>19</v>
      </c>
      <c r="B309" s="503" t="s">
        <v>533</v>
      </c>
      <c r="C309" s="503"/>
      <c r="D309" s="503"/>
      <c r="E309" s="504"/>
      <c r="M309" s="480">
        <v>19</v>
      </c>
      <c r="N309" s="503" t="s">
        <v>533</v>
      </c>
      <c r="O309" s="503"/>
      <c r="P309" s="503"/>
      <c r="Q309" s="504"/>
    </row>
    <row r="310" spans="1:17">
      <c r="A310" s="483"/>
      <c r="B310" t="s">
        <v>534</v>
      </c>
      <c r="C310" s="485">
        <f>SUMIF(Equipos!$Q$6:$Q$55,A309,Equipos!$O$6:$O$55)</f>
        <v>0</v>
      </c>
      <c r="D310" t="s">
        <v>535</v>
      </c>
      <c r="E310" s="487">
        <v>0.11</v>
      </c>
      <c r="M310" s="483"/>
      <c r="N310" t="s">
        <v>534</v>
      </c>
      <c r="O310" s="485">
        <f>SUMIF(MATERIALES!$P$6:$P$44,M309,MATERIALES!$N$6:$N$44)</f>
        <v>0</v>
      </c>
      <c r="P310" t="s">
        <v>535</v>
      </c>
      <c r="Q310" s="487">
        <v>0.11</v>
      </c>
    </row>
    <row r="311" spans="1:17">
      <c r="A311" s="483"/>
      <c r="B311" t="s">
        <v>536</v>
      </c>
      <c r="C311" s="499">
        <v>0</v>
      </c>
      <c r="D311" t="s">
        <v>537</v>
      </c>
      <c r="E311" s="487">
        <v>0</v>
      </c>
      <c r="M311" s="483"/>
      <c r="N311" t="s">
        <v>536</v>
      </c>
      <c r="O311" s="499">
        <v>0</v>
      </c>
      <c r="P311" t="s">
        <v>537</v>
      </c>
      <c r="Q311" s="487">
        <v>0</v>
      </c>
    </row>
    <row r="312" spans="1:17">
      <c r="A312" s="483"/>
      <c r="B312" t="s">
        <v>538</v>
      </c>
      <c r="C312" s="499">
        <v>0</v>
      </c>
      <c r="E312" s="40"/>
      <c r="M312" s="483"/>
      <c r="N312" t="s">
        <v>538</v>
      </c>
      <c r="O312" s="499">
        <v>0</v>
      </c>
      <c r="Q312" s="40"/>
    </row>
    <row r="313" spans="1:17">
      <c r="A313" s="483"/>
      <c r="E313" s="40"/>
      <c r="M313" s="483"/>
      <c r="Q313" s="40"/>
    </row>
    <row r="314" spans="1:17" ht="13">
      <c r="A314" s="483"/>
      <c r="B314" s="500" t="s">
        <v>539</v>
      </c>
      <c r="C314" s="501">
        <f>C310-C311-C312</f>
        <v>0</v>
      </c>
      <c r="E314" s="40"/>
      <c r="M314" s="483"/>
      <c r="N314" s="500" t="s">
        <v>539</v>
      </c>
      <c r="O314" s="501">
        <f>O310-O311-O312</f>
        <v>0</v>
      </c>
      <c r="Q314" s="40"/>
    </row>
    <row r="315" spans="1:17">
      <c r="A315" s="483"/>
      <c r="B315" t="s">
        <v>540</v>
      </c>
      <c r="C315" s="502">
        <v>4</v>
      </c>
      <c r="E315" s="40"/>
      <c r="M315" s="483"/>
      <c r="N315" t="s">
        <v>540</v>
      </c>
      <c r="O315" s="502">
        <v>4</v>
      </c>
      <c r="Q315" s="40"/>
    </row>
    <row r="316" spans="1:17">
      <c r="A316" s="483"/>
      <c r="B316" t="s">
        <v>541</v>
      </c>
      <c r="C316" s="486">
        <f>C315*12</f>
        <v>48</v>
      </c>
      <c r="E316" s="40"/>
      <c r="M316" s="483"/>
      <c r="N316" t="s">
        <v>541</v>
      </c>
      <c r="O316" s="486">
        <f>O315*12</f>
        <v>48</v>
      </c>
      <c r="Q316" s="40"/>
    </row>
    <row r="317" spans="1:17">
      <c r="A317" s="483"/>
      <c r="E317" s="40"/>
      <c r="M317" s="483"/>
      <c r="Q317" s="40"/>
    </row>
    <row r="318" spans="1:17" ht="13">
      <c r="A318" s="483"/>
      <c r="B318" s="500" t="s">
        <v>542</v>
      </c>
      <c r="C318" s="501">
        <f>-PMT(E310/12,C316,C314)</f>
        <v>0</v>
      </c>
      <c r="D318" s="500" t="s">
        <v>543</v>
      </c>
      <c r="E318" s="488">
        <f>C318*12</f>
        <v>0</v>
      </c>
      <c r="M318" s="483"/>
      <c r="N318" s="500" t="s">
        <v>542</v>
      </c>
      <c r="O318" s="501">
        <f>-PMT(Q310/12,O316,O314)</f>
        <v>0</v>
      </c>
      <c r="P318" s="500" t="s">
        <v>543</v>
      </c>
      <c r="Q318" s="488">
        <f>O318*12</f>
        <v>0</v>
      </c>
    </row>
    <row r="319" spans="1:17">
      <c r="A319" s="483"/>
      <c r="E319" s="40"/>
      <c r="M319" s="483"/>
      <c r="Q319" s="40"/>
    </row>
    <row r="320" spans="1:17">
      <c r="A320" s="483"/>
      <c r="E320" s="40"/>
      <c r="M320" s="483"/>
      <c r="Q320" s="40"/>
    </row>
    <row r="321" spans="1:17">
      <c r="A321" s="483"/>
      <c r="B321" t="s">
        <v>241</v>
      </c>
      <c r="E321" s="40"/>
      <c r="M321" s="483"/>
      <c r="N321" t="s">
        <v>241</v>
      </c>
      <c r="Q321" s="40"/>
    </row>
    <row r="322" spans="1:17">
      <c r="A322" s="483"/>
      <c r="B322" t="s">
        <v>544</v>
      </c>
      <c r="C322" s="485">
        <f>C318*C316</f>
        <v>0</v>
      </c>
      <c r="E322" s="40"/>
      <c r="M322" s="483"/>
      <c r="N322" t="s">
        <v>544</v>
      </c>
      <c r="O322" s="485">
        <f>O318*O316</f>
        <v>0</v>
      </c>
      <c r="Q322" s="40"/>
    </row>
    <row r="323" spans="1:17">
      <c r="A323" s="483"/>
      <c r="E323" s="40"/>
      <c r="M323" s="483"/>
      <c r="Q323" s="40"/>
    </row>
    <row r="324" spans="1:17" ht="13.5" thickBot="1">
      <c r="A324" s="484"/>
      <c r="B324" s="489" t="s">
        <v>299</v>
      </c>
      <c r="C324" s="490">
        <f>C322-C314</f>
        <v>0</v>
      </c>
      <c r="D324" s="99"/>
      <c r="E324" s="157"/>
      <c r="M324" s="484"/>
      <c r="N324" s="489" t="s">
        <v>299</v>
      </c>
      <c r="O324" s="490">
        <f>O322-O314</f>
        <v>0</v>
      </c>
      <c r="P324" s="99"/>
      <c r="Q324" s="157"/>
    </row>
    <row r="325" spans="1:17" ht="13" thickBot="1"/>
    <row r="326" spans="1:17" ht="13">
      <c r="A326" s="480">
        <v>20</v>
      </c>
      <c r="B326" s="503" t="s">
        <v>533</v>
      </c>
      <c r="C326" s="503"/>
      <c r="D326" s="503"/>
      <c r="E326" s="504"/>
      <c r="M326" s="480">
        <v>20</v>
      </c>
      <c r="N326" s="503" t="s">
        <v>533</v>
      </c>
      <c r="O326" s="503"/>
      <c r="P326" s="503"/>
      <c r="Q326" s="504"/>
    </row>
    <row r="327" spans="1:17">
      <c r="A327" s="483"/>
      <c r="B327" t="s">
        <v>534</v>
      </c>
      <c r="C327" s="485">
        <f>SUMIF(Equipos!$Q$6:$Q$55,A326,Equipos!$O$6:$O$55)</f>
        <v>0</v>
      </c>
      <c r="D327" t="s">
        <v>535</v>
      </c>
      <c r="E327" s="487">
        <v>0.11</v>
      </c>
      <c r="M327" s="483"/>
      <c r="N327" t="s">
        <v>534</v>
      </c>
      <c r="O327" s="485">
        <f>SUMIF(MATERIALES!$P$6:$P$44,M326,MATERIALES!$N$6:$N$44)</f>
        <v>0</v>
      </c>
      <c r="P327" t="s">
        <v>535</v>
      </c>
      <c r="Q327" s="487">
        <v>0.11</v>
      </c>
    </row>
    <row r="328" spans="1:17">
      <c r="A328" s="483"/>
      <c r="B328" t="s">
        <v>536</v>
      </c>
      <c r="C328" s="499">
        <v>0</v>
      </c>
      <c r="D328" t="s">
        <v>537</v>
      </c>
      <c r="E328" s="487">
        <v>0</v>
      </c>
      <c r="M328" s="483"/>
      <c r="N328" t="s">
        <v>536</v>
      </c>
      <c r="O328" s="499">
        <v>0</v>
      </c>
      <c r="P328" t="s">
        <v>537</v>
      </c>
      <c r="Q328" s="487">
        <v>0</v>
      </c>
    </row>
    <row r="329" spans="1:17">
      <c r="A329" s="483"/>
      <c r="B329" t="s">
        <v>538</v>
      </c>
      <c r="C329" s="499">
        <v>0</v>
      </c>
      <c r="E329" s="40"/>
      <c r="M329" s="483"/>
      <c r="N329" t="s">
        <v>538</v>
      </c>
      <c r="O329" s="499">
        <v>0</v>
      </c>
      <c r="Q329" s="40"/>
    </row>
    <row r="330" spans="1:17">
      <c r="A330" s="483"/>
      <c r="E330" s="40"/>
      <c r="M330" s="483"/>
      <c r="Q330" s="40"/>
    </row>
    <row r="331" spans="1:17" ht="13">
      <c r="A331" s="483"/>
      <c r="B331" s="500" t="s">
        <v>539</v>
      </c>
      <c r="C331" s="501">
        <f>C327-C328-C329</f>
        <v>0</v>
      </c>
      <c r="E331" s="40"/>
      <c r="M331" s="483"/>
      <c r="N331" s="500" t="s">
        <v>539</v>
      </c>
      <c r="O331" s="501">
        <f>O327-O328-O329</f>
        <v>0</v>
      </c>
      <c r="Q331" s="40"/>
    </row>
    <row r="332" spans="1:17">
      <c r="A332" s="483"/>
      <c r="B332" t="s">
        <v>540</v>
      </c>
      <c r="C332" s="502">
        <v>4</v>
      </c>
      <c r="E332" s="40"/>
      <c r="M332" s="483"/>
      <c r="N332" t="s">
        <v>540</v>
      </c>
      <c r="O332" s="502">
        <v>4</v>
      </c>
      <c r="Q332" s="40"/>
    </row>
    <row r="333" spans="1:17">
      <c r="A333" s="483"/>
      <c r="B333" t="s">
        <v>541</v>
      </c>
      <c r="C333" s="486">
        <f>C332*12</f>
        <v>48</v>
      </c>
      <c r="E333" s="40"/>
      <c r="M333" s="483"/>
      <c r="N333" t="s">
        <v>541</v>
      </c>
      <c r="O333" s="486">
        <f>O332*12</f>
        <v>48</v>
      </c>
      <c r="Q333" s="40"/>
    </row>
    <row r="334" spans="1:17">
      <c r="A334" s="483"/>
      <c r="E334" s="40"/>
      <c r="M334" s="483"/>
      <c r="Q334" s="40"/>
    </row>
    <row r="335" spans="1:17" ht="13">
      <c r="A335" s="483"/>
      <c r="B335" s="500" t="s">
        <v>542</v>
      </c>
      <c r="C335" s="501">
        <f>-PMT(E327/12,C333,C331)</f>
        <v>0</v>
      </c>
      <c r="D335" s="500" t="s">
        <v>543</v>
      </c>
      <c r="E335" s="488">
        <f>C335*12</f>
        <v>0</v>
      </c>
      <c r="M335" s="483"/>
      <c r="N335" s="500" t="s">
        <v>542</v>
      </c>
      <c r="O335" s="501">
        <f>-PMT(Q327/12,O333,O331)</f>
        <v>0</v>
      </c>
      <c r="P335" s="500" t="s">
        <v>543</v>
      </c>
      <c r="Q335" s="488">
        <f>O335*12</f>
        <v>0</v>
      </c>
    </row>
    <row r="336" spans="1:17">
      <c r="A336" s="483"/>
      <c r="E336" s="40"/>
      <c r="M336" s="483"/>
      <c r="Q336" s="40"/>
    </row>
    <row r="337" spans="1:17">
      <c r="A337" s="483"/>
      <c r="E337" s="40"/>
      <c r="M337" s="483"/>
      <c r="Q337" s="40"/>
    </row>
    <row r="338" spans="1:17">
      <c r="A338" s="483"/>
      <c r="B338" t="s">
        <v>241</v>
      </c>
      <c r="E338" s="40"/>
      <c r="M338" s="483"/>
      <c r="N338" t="s">
        <v>241</v>
      </c>
      <c r="Q338" s="40"/>
    </row>
    <row r="339" spans="1:17">
      <c r="A339" s="483"/>
      <c r="B339" t="s">
        <v>544</v>
      </c>
      <c r="C339" s="485">
        <f>C335*C333</f>
        <v>0</v>
      </c>
      <c r="E339" s="40"/>
      <c r="M339" s="483"/>
      <c r="N339" t="s">
        <v>544</v>
      </c>
      <c r="O339" s="485">
        <f>O335*O333</f>
        <v>0</v>
      </c>
      <c r="Q339" s="40"/>
    </row>
    <row r="340" spans="1:17">
      <c r="A340" s="483"/>
      <c r="E340" s="40"/>
      <c r="M340" s="483"/>
      <c r="Q340" s="40"/>
    </row>
    <row r="341" spans="1:17" ht="13.5" thickBot="1">
      <c r="A341" s="484"/>
      <c r="B341" s="489" t="s">
        <v>299</v>
      </c>
      <c r="C341" s="490">
        <f>C339-C331</f>
        <v>0</v>
      </c>
      <c r="D341" s="99"/>
      <c r="E341" s="157"/>
      <c r="M341" s="484"/>
      <c r="N341" s="489" t="s">
        <v>299</v>
      </c>
      <c r="O341" s="490">
        <f>O339-O331</f>
        <v>0</v>
      </c>
      <c r="P341" s="99"/>
      <c r="Q341" s="157"/>
    </row>
    <row r="342" spans="1:17" ht="13" thickBot="1"/>
    <row r="343" spans="1:17" ht="13">
      <c r="A343" s="480">
        <v>21</v>
      </c>
      <c r="B343" s="503" t="s">
        <v>533</v>
      </c>
      <c r="C343" s="503"/>
      <c r="D343" s="503"/>
      <c r="E343" s="504"/>
      <c r="M343" s="480">
        <v>21</v>
      </c>
      <c r="N343" s="503" t="s">
        <v>533</v>
      </c>
      <c r="O343" s="503"/>
      <c r="P343" s="503"/>
      <c r="Q343" s="504"/>
    </row>
    <row r="344" spans="1:17">
      <c r="A344" s="483"/>
      <c r="B344" t="s">
        <v>534</v>
      </c>
      <c r="C344" s="485">
        <f>SUMIF(Equipos!$Q$6:$Q$55,A343,Equipos!$O$6:$O$55)</f>
        <v>0</v>
      </c>
      <c r="D344" t="s">
        <v>535</v>
      </c>
      <c r="E344" s="487">
        <v>0.11</v>
      </c>
      <c r="M344" s="483"/>
      <c r="N344" t="s">
        <v>534</v>
      </c>
      <c r="O344" s="485">
        <f>SUMIF(MATERIALES!$P$6:$P$44,M343,MATERIALES!$N$6:$N$44)</f>
        <v>0</v>
      </c>
      <c r="P344" t="s">
        <v>535</v>
      </c>
      <c r="Q344" s="487">
        <v>0.11</v>
      </c>
    </row>
    <row r="345" spans="1:17">
      <c r="A345" s="483"/>
      <c r="B345" t="s">
        <v>536</v>
      </c>
      <c r="C345" s="499">
        <v>0</v>
      </c>
      <c r="D345" t="s">
        <v>537</v>
      </c>
      <c r="E345" s="487">
        <v>0</v>
      </c>
      <c r="M345" s="483"/>
      <c r="N345" t="s">
        <v>536</v>
      </c>
      <c r="O345" s="499">
        <v>0</v>
      </c>
      <c r="P345" t="s">
        <v>537</v>
      </c>
      <c r="Q345" s="487">
        <v>0</v>
      </c>
    </row>
    <row r="346" spans="1:17">
      <c r="A346" s="483"/>
      <c r="B346" t="s">
        <v>538</v>
      </c>
      <c r="C346" s="499">
        <v>0</v>
      </c>
      <c r="E346" s="40"/>
      <c r="M346" s="483"/>
      <c r="N346" t="s">
        <v>538</v>
      </c>
      <c r="O346" s="499">
        <v>0</v>
      </c>
      <c r="Q346" s="40"/>
    </row>
    <row r="347" spans="1:17">
      <c r="A347" s="483"/>
      <c r="E347" s="40"/>
      <c r="M347" s="483"/>
      <c r="Q347" s="40"/>
    </row>
    <row r="348" spans="1:17" ht="13">
      <c r="A348" s="483"/>
      <c r="B348" s="500" t="s">
        <v>539</v>
      </c>
      <c r="C348" s="501">
        <f>C344-C345-C346</f>
        <v>0</v>
      </c>
      <c r="E348" s="40"/>
      <c r="M348" s="483"/>
      <c r="N348" s="500" t="s">
        <v>539</v>
      </c>
      <c r="O348" s="501">
        <f>O344-O345-O346</f>
        <v>0</v>
      </c>
      <c r="Q348" s="40"/>
    </row>
    <row r="349" spans="1:17">
      <c r="A349" s="483"/>
      <c r="B349" t="s">
        <v>540</v>
      </c>
      <c r="C349" s="502">
        <v>4</v>
      </c>
      <c r="E349" s="40"/>
      <c r="M349" s="483"/>
      <c r="N349" t="s">
        <v>540</v>
      </c>
      <c r="O349" s="502">
        <v>4</v>
      </c>
      <c r="Q349" s="40"/>
    </row>
    <row r="350" spans="1:17">
      <c r="A350" s="483"/>
      <c r="B350" t="s">
        <v>541</v>
      </c>
      <c r="C350" s="486">
        <f>C349*12</f>
        <v>48</v>
      </c>
      <c r="E350" s="40"/>
      <c r="M350" s="483"/>
      <c r="N350" t="s">
        <v>541</v>
      </c>
      <c r="O350" s="486">
        <f>O349*12</f>
        <v>48</v>
      </c>
      <c r="Q350" s="40"/>
    </row>
    <row r="351" spans="1:17">
      <c r="A351" s="483"/>
      <c r="E351" s="40"/>
      <c r="M351" s="483"/>
      <c r="Q351" s="40"/>
    </row>
    <row r="352" spans="1:17" ht="13">
      <c r="A352" s="483"/>
      <c r="B352" s="500" t="s">
        <v>542</v>
      </c>
      <c r="C352" s="501">
        <f>-PMT(E344/12,C350,C348)</f>
        <v>0</v>
      </c>
      <c r="D352" s="500" t="s">
        <v>543</v>
      </c>
      <c r="E352" s="488">
        <f>C352*12</f>
        <v>0</v>
      </c>
      <c r="M352" s="483"/>
      <c r="N352" s="500" t="s">
        <v>542</v>
      </c>
      <c r="O352" s="501">
        <f>-PMT(Q344/12,O350,O348)</f>
        <v>0</v>
      </c>
      <c r="P352" s="500" t="s">
        <v>543</v>
      </c>
      <c r="Q352" s="488">
        <f>O352*12</f>
        <v>0</v>
      </c>
    </row>
    <row r="353" spans="1:17">
      <c r="A353" s="483"/>
      <c r="E353" s="40"/>
      <c r="M353" s="483"/>
      <c r="Q353" s="40"/>
    </row>
    <row r="354" spans="1:17">
      <c r="A354" s="483"/>
      <c r="E354" s="40"/>
      <c r="M354" s="483"/>
      <c r="Q354" s="40"/>
    </row>
    <row r="355" spans="1:17">
      <c r="A355" s="483"/>
      <c r="B355" t="s">
        <v>241</v>
      </c>
      <c r="E355" s="40"/>
      <c r="M355" s="483"/>
      <c r="N355" t="s">
        <v>241</v>
      </c>
      <c r="Q355" s="40"/>
    </row>
    <row r="356" spans="1:17">
      <c r="A356" s="483"/>
      <c r="B356" t="s">
        <v>544</v>
      </c>
      <c r="C356" s="485">
        <f>C352*C350</f>
        <v>0</v>
      </c>
      <c r="E356" s="40"/>
      <c r="M356" s="483"/>
      <c r="N356" t="s">
        <v>544</v>
      </c>
      <c r="O356" s="485">
        <f>O352*O350</f>
        <v>0</v>
      </c>
      <c r="Q356" s="40"/>
    </row>
    <row r="357" spans="1:17">
      <c r="A357" s="483"/>
      <c r="E357" s="40"/>
      <c r="M357" s="483"/>
      <c r="Q357" s="40"/>
    </row>
    <row r="358" spans="1:17" ht="13.5" thickBot="1">
      <c r="A358" s="484"/>
      <c r="B358" s="489" t="s">
        <v>299</v>
      </c>
      <c r="C358" s="490">
        <f>C356-C348</f>
        <v>0</v>
      </c>
      <c r="D358" s="99"/>
      <c r="E358" s="157"/>
      <c r="M358" s="484"/>
      <c r="N358" s="489" t="s">
        <v>299</v>
      </c>
      <c r="O358" s="490">
        <f>O356-O348</f>
        <v>0</v>
      </c>
      <c r="P358" s="99"/>
      <c r="Q358" s="157"/>
    </row>
    <row r="359" spans="1:17" ht="13" thickBot="1"/>
    <row r="360" spans="1:17" ht="13">
      <c r="A360" s="480">
        <v>22</v>
      </c>
      <c r="B360" s="503" t="s">
        <v>533</v>
      </c>
      <c r="C360" s="503"/>
      <c r="D360" s="503"/>
      <c r="E360" s="504"/>
      <c r="M360" s="480">
        <v>22</v>
      </c>
      <c r="N360" s="503" t="s">
        <v>533</v>
      </c>
      <c r="O360" s="503"/>
      <c r="P360" s="503"/>
      <c r="Q360" s="504"/>
    </row>
    <row r="361" spans="1:17">
      <c r="A361" s="483"/>
      <c r="B361" t="s">
        <v>534</v>
      </c>
      <c r="C361" s="485">
        <f>SUMIF(Equipos!$Q$6:$Q$55,A360,Equipos!$O$6:$O$55)</f>
        <v>0</v>
      </c>
      <c r="D361" t="s">
        <v>535</v>
      </c>
      <c r="E361" s="487">
        <v>0.11</v>
      </c>
      <c r="M361" s="483"/>
      <c r="N361" t="s">
        <v>534</v>
      </c>
      <c r="O361" s="485">
        <f>SUMIF(MATERIALES!$P$6:$P$44,M360,MATERIALES!$N$6:$N$44)</f>
        <v>0</v>
      </c>
      <c r="P361" t="s">
        <v>535</v>
      </c>
      <c r="Q361" s="487">
        <v>0.11</v>
      </c>
    </row>
    <row r="362" spans="1:17">
      <c r="A362" s="483"/>
      <c r="B362" t="s">
        <v>536</v>
      </c>
      <c r="C362" s="499">
        <v>0</v>
      </c>
      <c r="D362" t="s">
        <v>537</v>
      </c>
      <c r="E362" s="487">
        <v>0</v>
      </c>
      <c r="M362" s="483"/>
      <c r="N362" t="s">
        <v>536</v>
      </c>
      <c r="O362" s="499">
        <v>0</v>
      </c>
      <c r="P362" t="s">
        <v>537</v>
      </c>
      <c r="Q362" s="487">
        <v>0</v>
      </c>
    </row>
    <row r="363" spans="1:17">
      <c r="A363" s="483"/>
      <c r="B363" t="s">
        <v>538</v>
      </c>
      <c r="C363" s="499">
        <v>0</v>
      </c>
      <c r="E363" s="40"/>
      <c r="M363" s="483"/>
      <c r="N363" t="s">
        <v>538</v>
      </c>
      <c r="O363" s="499">
        <v>0</v>
      </c>
      <c r="Q363" s="40"/>
    </row>
    <row r="364" spans="1:17">
      <c r="A364" s="483"/>
      <c r="E364" s="40"/>
      <c r="M364" s="483"/>
      <c r="Q364" s="40"/>
    </row>
    <row r="365" spans="1:17" ht="13">
      <c r="A365" s="483"/>
      <c r="B365" s="500" t="s">
        <v>539</v>
      </c>
      <c r="C365" s="501">
        <f>C361-C362-C363</f>
        <v>0</v>
      </c>
      <c r="E365" s="40"/>
      <c r="M365" s="483"/>
      <c r="N365" s="500" t="s">
        <v>539</v>
      </c>
      <c r="O365" s="501">
        <f>O361-O362-O363</f>
        <v>0</v>
      </c>
      <c r="Q365" s="40"/>
    </row>
    <row r="366" spans="1:17">
      <c r="A366" s="483"/>
      <c r="B366" t="s">
        <v>540</v>
      </c>
      <c r="C366" s="502">
        <v>4</v>
      </c>
      <c r="E366" s="40"/>
      <c r="M366" s="483"/>
      <c r="N366" t="s">
        <v>540</v>
      </c>
      <c r="O366" s="502">
        <v>4</v>
      </c>
      <c r="Q366" s="40"/>
    </row>
    <row r="367" spans="1:17">
      <c r="A367" s="483"/>
      <c r="B367" t="s">
        <v>541</v>
      </c>
      <c r="C367" s="486">
        <f>C366*12</f>
        <v>48</v>
      </c>
      <c r="E367" s="40"/>
      <c r="M367" s="483"/>
      <c r="N367" t="s">
        <v>541</v>
      </c>
      <c r="O367" s="486">
        <f>O366*12</f>
        <v>48</v>
      </c>
      <c r="Q367" s="40"/>
    </row>
    <row r="368" spans="1:17">
      <c r="A368" s="483"/>
      <c r="E368" s="40"/>
      <c r="M368" s="483"/>
      <c r="Q368" s="40"/>
    </row>
    <row r="369" spans="1:17" ht="13">
      <c r="A369" s="483"/>
      <c r="B369" s="500" t="s">
        <v>542</v>
      </c>
      <c r="C369" s="501">
        <f>-PMT(E361/12,C367,C365)</f>
        <v>0</v>
      </c>
      <c r="D369" s="500" t="s">
        <v>543</v>
      </c>
      <c r="E369" s="488">
        <f>C369*12</f>
        <v>0</v>
      </c>
      <c r="M369" s="483"/>
      <c r="N369" s="500" t="s">
        <v>542</v>
      </c>
      <c r="O369" s="501">
        <f>-PMT(Q361/12,O367,O365)</f>
        <v>0</v>
      </c>
      <c r="P369" s="500" t="s">
        <v>543</v>
      </c>
      <c r="Q369" s="488">
        <f>O369*12</f>
        <v>0</v>
      </c>
    </row>
    <row r="370" spans="1:17">
      <c r="A370" s="483"/>
      <c r="E370" s="40"/>
      <c r="M370" s="483"/>
      <c r="Q370" s="40"/>
    </row>
    <row r="371" spans="1:17">
      <c r="A371" s="483"/>
      <c r="E371" s="40"/>
      <c r="M371" s="483"/>
      <c r="Q371" s="40"/>
    </row>
    <row r="372" spans="1:17">
      <c r="A372" s="483"/>
      <c r="B372" t="s">
        <v>241</v>
      </c>
      <c r="E372" s="40"/>
      <c r="M372" s="483"/>
      <c r="N372" t="s">
        <v>241</v>
      </c>
      <c r="Q372" s="40"/>
    </row>
    <row r="373" spans="1:17">
      <c r="A373" s="483"/>
      <c r="B373" t="s">
        <v>544</v>
      </c>
      <c r="C373" s="485">
        <f>C369*C367</f>
        <v>0</v>
      </c>
      <c r="E373" s="40"/>
      <c r="M373" s="483"/>
      <c r="N373" t="s">
        <v>544</v>
      </c>
      <c r="O373" s="485">
        <f>O369*O367</f>
        <v>0</v>
      </c>
      <c r="Q373" s="40"/>
    </row>
    <row r="374" spans="1:17">
      <c r="A374" s="483"/>
      <c r="E374" s="40"/>
      <c r="M374" s="483"/>
      <c r="Q374" s="40"/>
    </row>
    <row r="375" spans="1:17" ht="13.5" thickBot="1">
      <c r="A375" s="484"/>
      <c r="B375" s="489" t="s">
        <v>299</v>
      </c>
      <c r="C375" s="490">
        <f>C373-C365</f>
        <v>0</v>
      </c>
      <c r="D375" s="99"/>
      <c r="E375" s="157"/>
      <c r="M375" s="484"/>
      <c r="N375" s="489" t="s">
        <v>299</v>
      </c>
      <c r="O375" s="490">
        <f>O373-O365</f>
        <v>0</v>
      </c>
      <c r="P375" s="99"/>
      <c r="Q375" s="157"/>
    </row>
    <row r="376" spans="1:17" ht="13" thickBot="1"/>
    <row r="377" spans="1:17" ht="13">
      <c r="A377" s="480">
        <v>23</v>
      </c>
      <c r="B377" s="503" t="s">
        <v>533</v>
      </c>
      <c r="C377" s="503"/>
      <c r="D377" s="503"/>
      <c r="E377" s="504"/>
      <c r="M377" s="480">
        <v>23</v>
      </c>
      <c r="N377" s="503" t="s">
        <v>533</v>
      </c>
      <c r="O377" s="503"/>
      <c r="P377" s="503"/>
      <c r="Q377" s="504"/>
    </row>
    <row r="378" spans="1:17">
      <c r="A378" s="483"/>
      <c r="B378" t="s">
        <v>534</v>
      </c>
      <c r="C378" s="485">
        <f>SUMIF(Equipos!$Q$6:$Q$55,A377,Equipos!$O$6:$O$55)</f>
        <v>0</v>
      </c>
      <c r="D378" t="s">
        <v>535</v>
      </c>
      <c r="E378" s="487">
        <v>0.11</v>
      </c>
      <c r="M378" s="483"/>
      <c r="N378" t="s">
        <v>534</v>
      </c>
      <c r="O378" s="485">
        <f>SUMIF(MATERIALES!$P$6:$P$44,M377,MATERIALES!$N$6:$N$44)</f>
        <v>0</v>
      </c>
      <c r="P378" t="s">
        <v>535</v>
      </c>
      <c r="Q378" s="487">
        <v>0.11</v>
      </c>
    </row>
    <row r="379" spans="1:17">
      <c r="A379" s="483"/>
      <c r="B379" t="s">
        <v>536</v>
      </c>
      <c r="C379" s="499">
        <v>0</v>
      </c>
      <c r="D379" t="s">
        <v>537</v>
      </c>
      <c r="E379" s="487">
        <v>0</v>
      </c>
      <c r="M379" s="483"/>
      <c r="N379" t="s">
        <v>536</v>
      </c>
      <c r="O379" s="499">
        <v>0</v>
      </c>
      <c r="P379" t="s">
        <v>537</v>
      </c>
      <c r="Q379" s="487">
        <v>0</v>
      </c>
    </row>
    <row r="380" spans="1:17">
      <c r="A380" s="483"/>
      <c r="B380" t="s">
        <v>538</v>
      </c>
      <c r="C380" s="499">
        <v>0</v>
      </c>
      <c r="E380" s="40"/>
      <c r="M380" s="483"/>
      <c r="N380" t="s">
        <v>538</v>
      </c>
      <c r="O380" s="499">
        <v>0</v>
      </c>
      <c r="Q380" s="40"/>
    </row>
    <row r="381" spans="1:17">
      <c r="A381" s="483"/>
      <c r="E381" s="40"/>
      <c r="M381" s="483"/>
      <c r="Q381" s="40"/>
    </row>
    <row r="382" spans="1:17" ht="13">
      <c r="A382" s="483"/>
      <c r="B382" s="500" t="s">
        <v>539</v>
      </c>
      <c r="C382" s="501">
        <f>C378-C379-C380</f>
        <v>0</v>
      </c>
      <c r="E382" s="40"/>
      <c r="M382" s="483"/>
      <c r="N382" s="500" t="s">
        <v>539</v>
      </c>
      <c r="O382" s="501">
        <f>O378-O379-O380</f>
        <v>0</v>
      </c>
      <c r="Q382" s="40"/>
    </row>
    <row r="383" spans="1:17">
      <c r="A383" s="483"/>
      <c r="B383" t="s">
        <v>540</v>
      </c>
      <c r="C383" s="502">
        <v>4</v>
      </c>
      <c r="E383" s="40"/>
      <c r="M383" s="483"/>
      <c r="N383" t="s">
        <v>540</v>
      </c>
      <c r="O383" s="502">
        <v>4</v>
      </c>
      <c r="Q383" s="40"/>
    </row>
    <row r="384" spans="1:17">
      <c r="A384" s="483"/>
      <c r="B384" t="s">
        <v>541</v>
      </c>
      <c r="C384" s="486">
        <f>C383*12</f>
        <v>48</v>
      </c>
      <c r="E384" s="40"/>
      <c r="M384" s="483"/>
      <c r="N384" t="s">
        <v>541</v>
      </c>
      <c r="O384" s="486">
        <f>O383*12</f>
        <v>48</v>
      </c>
      <c r="Q384" s="40"/>
    </row>
    <row r="385" spans="1:17">
      <c r="A385" s="483"/>
      <c r="E385" s="40"/>
      <c r="M385" s="483"/>
      <c r="Q385" s="40"/>
    </row>
    <row r="386" spans="1:17" ht="13">
      <c r="A386" s="483"/>
      <c r="B386" s="500" t="s">
        <v>542</v>
      </c>
      <c r="C386" s="501">
        <f>-PMT(E378/12,C384,C382)</f>
        <v>0</v>
      </c>
      <c r="D386" s="500" t="s">
        <v>543</v>
      </c>
      <c r="E386" s="488">
        <f>C386*12</f>
        <v>0</v>
      </c>
      <c r="M386" s="483"/>
      <c r="N386" s="500" t="s">
        <v>542</v>
      </c>
      <c r="O386" s="501">
        <f>-PMT(Q378/12,O384,O382)</f>
        <v>0</v>
      </c>
      <c r="P386" s="500" t="s">
        <v>543</v>
      </c>
      <c r="Q386" s="488">
        <f>O386*12</f>
        <v>0</v>
      </c>
    </row>
    <row r="387" spans="1:17">
      <c r="A387" s="483"/>
      <c r="E387" s="40"/>
      <c r="M387" s="483"/>
      <c r="Q387" s="40"/>
    </row>
    <row r="388" spans="1:17">
      <c r="A388" s="483"/>
      <c r="E388" s="40"/>
      <c r="M388" s="483"/>
      <c r="Q388" s="40"/>
    </row>
    <row r="389" spans="1:17">
      <c r="A389" s="483"/>
      <c r="B389" t="s">
        <v>241</v>
      </c>
      <c r="E389" s="40"/>
      <c r="M389" s="483"/>
      <c r="N389" t="s">
        <v>241</v>
      </c>
      <c r="Q389" s="40"/>
    </row>
    <row r="390" spans="1:17">
      <c r="A390" s="483"/>
      <c r="B390" t="s">
        <v>544</v>
      </c>
      <c r="C390" s="485">
        <f>C386*C384</f>
        <v>0</v>
      </c>
      <c r="E390" s="40"/>
      <c r="M390" s="483"/>
      <c r="N390" t="s">
        <v>544</v>
      </c>
      <c r="O390" s="485">
        <f>O386*O384</f>
        <v>0</v>
      </c>
      <c r="Q390" s="40"/>
    </row>
    <row r="391" spans="1:17">
      <c r="A391" s="483"/>
      <c r="E391" s="40"/>
      <c r="M391" s="483"/>
      <c r="Q391" s="40"/>
    </row>
    <row r="392" spans="1:17" ht="13.5" thickBot="1">
      <c r="A392" s="484"/>
      <c r="B392" s="489" t="s">
        <v>299</v>
      </c>
      <c r="C392" s="490">
        <f>C390-C382</f>
        <v>0</v>
      </c>
      <c r="D392" s="99"/>
      <c r="E392" s="157"/>
      <c r="M392" s="484"/>
      <c r="N392" s="489" t="s">
        <v>299</v>
      </c>
      <c r="O392" s="490">
        <f>O390-O382</f>
        <v>0</v>
      </c>
      <c r="P392" s="99"/>
      <c r="Q392" s="157"/>
    </row>
    <row r="393" spans="1:17" ht="13" thickBot="1"/>
    <row r="394" spans="1:17" ht="13">
      <c r="A394" s="480">
        <v>24</v>
      </c>
      <c r="B394" s="503" t="s">
        <v>533</v>
      </c>
      <c r="C394" s="503"/>
      <c r="D394" s="503"/>
      <c r="E394" s="504"/>
      <c r="M394" s="480">
        <v>24</v>
      </c>
      <c r="N394" s="503" t="s">
        <v>533</v>
      </c>
      <c r="O394" s="503"/>
      <c r="P394" s="503"/>
      <c r="Q394" s="504"/>
    </row>
    <row r="395" spans="1:17">
      <c r="A395" s="483"/>
      <c r="B395" t="s">
        <v>534</v>
      </c>
      <c r="C395" s="485">
        <f>SUMIF(Equipos!$Q$6:$Q$55,A394,Equipos!$O$6:$O$55)</f>
        <v>0</v>
      </c>
      <c r="D395" t="s">
        <v>535</v>
      </c>
      <c r="E395" s="487">
        <v>0.11</v>
      </c>
      <c r="M395" s="483"/>
      <c r="N395" t="s">
        <v>534</v>
      </c>
      <c r="O395" s="485">
        <f>SUMIF(MATERIALES!$P$6:$P$44,M394,MATERIALES!$N$6:$N$44)</f>
        <v>0</v>
      </c>
      <c r="P395" t="s">
        <v>535</v>
      </c>
      <c r="Q395" s="487">
        <v>0.11</v>
      </c>
    </row>
    <row r="396" spans="1:17">
      <c r="A396" s="483"/>
      <c r="B396" t="s">
        <v>536</v>
      </c>
      <c r="C396" s="499">
        <v>0</v>
      </c>
      <c r="D396" t="s">
        <v>537</v>
      </c>
      <c r="E396" s="487">
        <v>0</v>
      </c>
      <c r="M396" s="483"/>
      <c r="N396" t="s">
        <v>536</v>
      </c>
      <c r="O396" s="499">
        <v>0</v>
      </c>
      <c r="P396" t="s">
        <v>537</v>
      </c>
      <c r="Q396" s="487">
        <v>0</v>
      </c>
    </row>
    <row r="397" spans="1:17">
      <c r="A397" s="483"/>
      <c r="B397" t="s">
        <v>538</v>
      </c>
      <c r="C397" s="499">
        <v>0</v>
      </c>
      <c r="E397" s="40"/>
      <c r="M397" s="483"/>
      <c r="N397" t="s">
        <v>538</v>
      </c>
      <c r="O397" s="499">
        <v>0</v>
      </c>
      <c r="Q397" s="40"/>
    </row>
    <row r="398" spans="1:17">
      <c r="A398" s="483"/>
      <c r="E398" s="40"/>
      <c r="M398" s="483"/>
      <c r="Q398" s="40"/>
    </row>
    <row r="399" spans="1:17" ht="13">
      <c r="A399" s="483"/>
      <c r="B399" s="500" t="s">
        <v>539</v>
      </c>
      <c r="C399" s="501">
        <f>C395-C396-C397</f>
        <v>0</v>
      </c>
      <c r="E399" s="40"/>
      <c r="M399" s="483"/>
      <c r="N399" s="500" t="s">
        <v>539</v>
      </c>
      <c r="O399" s="501">
        <f>O395-O396-O397</f>
        <v>0</v>
      </c>
      <c r="Q399" s="40"/>
    </row>
    <row r="400" spans="1:17">
      <c r="A400" s="483"/>
      <c r="B400" t="s">
        <v>540</v>
      </c>
      <c r="C400" s="502">
        <v>4</v>
      </c>
      <c r="E400" s="40"/>
      <c r="M400" s="483"/>
      <c r="N400" t="s">
        <v>540</v>
      </c>
      <c r="O400" s="502">
        <v>4</v>
      </c>
      <c r="Q400" s="40"/>
    </row>
    <row r="401" spans="1:17">
      <c r="A401" s="483"/>
      <c r="B401" t="s">
        <v>541</v>
      </c>
      <c r="C401" s="486">
        <f>C400*12</f>
        <v>48</v>
      </c>
      <c r="E401" s="40"/>
      <c r="M401" s="483"/>
      <c r="N401" t="s">
        <v>541</v>
      </c>
      <c r="O401" s="486">
        <f>O400*12</f>
        <v>48</v>
      </c>
      <c r="Q401" s="40"/>
    </row>
    <row r="402" spans="1:17">
      <c r="A402" s="483"/>
      <c r="E402" s="40"/>
      <c r="M402" s="483"/>
      <c r="Q402" s="40"/>
    </row>
    <row r="403" spans="1:17" ht="13">
      <c r="A403" s="483"/>
      <c r="B403" s="500" t="s">
        <v>542</v>
      </c>
      <c r="C403" s="501">
        <f>-PMT(E395/12,C401,C399)</f>
        <v>0</v>
      </c>
      <c r="D403" s="500" t="s">
        <v>543</v>
      </c>
      <c r="E403" s="488">
        <f>C403*12</f>
        <v>0</v>
      </c>
      <c r="M403" s="483"/>
      <c r="N403" s="500" t="s">
        <v>542</v>
      </c>
      <c r="O403" s="501">
        <f>-PMT(Q395/12,O401,O399)</f>
        <v>0</v>
      </c>
      <c r="P403" s="500" t="s">
        <v>543</v>
      </c>
      <c r="Q403" s="488">
        <f>O403*12</f>
        <v>0</v>
      </c>
    </row>
    <row r="404" spans="1:17">
      <c r="A404" s="483"/>
      <c r="E404" s="40"/>
      <c r="M404" s="483"/>
      <c r="Q404" s="40"/>
    </row>
    <row r="405" spans="1:17">
      <c r="A405" s="483"/>
      <c r="E405" s="40"/>
      <c r="M405" s="483"/>
      <c r="Q405" s="40"/>
    </row>
    <row r="406" spans="1:17">
      <c r="A406" s="483"/>
      <c r="B406" t="s">
        <v>241</v>
      </c>
      <c r="E406" s="40"/>
      <c r="M406" s="483"/>
      <c r="N406" t="s">
        <v>241</v>
      </c>
      <c r="Q406" s="40"/>
    </row>
    <row r="407" spans="1:17">
      <c r="A407" s="483"/>
      <c r="B407" t="s">
        <v>544</v>
      </c>
      <c r="C407" s="485">
        <f>C403*C401</f>
        <v>0</v>
      </c>
      <c r="E407" s="40"/>
      <c r="M407" s="483"/>
      <c r="N407" t="s">
        <v>544</v>
      </c>
      <c r="O407" s="485">
        <f>O403*O401</f>
        <v>0</v>
      </c>
      <c r="Q407" s="40"/>
    </row>
    <row r="408" spans="1:17">
      <c r="A408" s="483"/>
      <c r="E408" s="40"/>
      <c r="M408" s="483"/>
      <c r="Q408" s="40"/>
    </row>
    <row r="409" spans="1:17" ht="13.5" thickBot="1">
      <c r="A409" s="484"/>
      <c r="B409" s="489" t="s">
        <v>299</v>
      </c>
      <c r="C409" s="490">
        <f>C407-C399</f>
        <v>0</v>
      </c>
      <c r="D409" s="99"/>
      <c r="E409" s="157"/>
      <c r="M409" s="484"/>
      <c r="N409" s="489" t="s">
        <v>299</v>
      </c>
      <c r="O409" s="490">
        <f>O407-O399</f>
        <v>0</v>
      </c>
      <c r="P409" s="99"/>
      <c r="Q409" s="157"/>
    </row>
    <row r="410" spans="1:17" ht="13" thickBot="1"/>
    <row r="411" spans="1:17" ht="13">
      <c r="A411" s="480">
        <v>25</v>
      </c>
      <c r="B411" s="503" t="s">
        <v>533</v>
      </c>
      <c r="C411" s="503"/>
      <c r="D411" s="503"/>
      <c r="E411" s="504"/>
      <c r="M411" s="480">
        <v>25</v>
      </c>
      <c r="N411" s="503" t="s">
        <v>533</v>
      </c>
      <c r="O411" s="503"/>
      <c r="P411" s="503"/>
      <c r="Q411" s="504"/>
    </row>
    <row r="412" spans="1:17">
      <c r="A412" s="483"/>
      <c r="B412" t="s">
        <v>534</v>
      </c>
      <c r="C412" s="485">
        <f>SUMIF(Equipos!$Q$6:$Q$55,A411,Equipos!$O$6:$O$55)</f>
        <v>0</v>
      </c>
      <c r="D412" t="s">
        <v>535</v>
      </c>
      <c r="E412" s="487">
        <v>0.11</v>
      </c>
      <c r="M412" s="483"/>
      <c r="N412" t="s">
        <v>534</v>
      </c>
      <c r="O412" s="485">
        <f>SUMIF(MATERIALES!$P$6:$P$44,M411,MATERIALES!$N$6:$N$44)</f>
        <v>0</v>
      </c>
      <c r="P412" t="s">
        <v>535</v>
      </c>
      <c r="Q412" s="487">
        <v>0.11</v>
      </c>
    </row>
    <row r="413" spans="1:17">
      <c r="A413" s="483"/>
      <c r="B413" t="s">
        <v>536</v>
      </c>
      <c r="C413" s="499">
        <v>0</v>
      </c>
      <c r="D413" t="s">
        <v>537</v>
      </c>
      <c r="E413" s="487">
        <v>0</v>
      </c>
      <c r="M413" s="483"/>
      <c r="N413" t="s">
        <v>536</v>
      </c>
      <c r="O413" s="499">
        <v>0</v>
      </c>
      <c r="P413" t="s">
        <v>537</v>
      </c>
      <c r="Q413" s="487">
        <v>0</v>
      </c>
    </row>
    <row r="414" spans="1:17">
      <c r="A414" s="483"/>
      <c r="B414" t="s">
        <v>538</v>
      </c>
      <c r="C414" s="499">
        <v>0</v>
      </c>
      <c r="E414" s="40"/>
      <c r="M414" s="483"/>
      <c r="N414" t="s">
        <v>538</v>
      </c>
      <c r="O414" s="499">
        <v>0</v>
      </c>
      <c r="Q414" s="40"/>
    </row>
    <row r="415" spans="1:17">
      <c r="A415" s="483"/>
      <c r="E415" s="40"/>
      <c r="M415" s="483"/>
      <c r="Q415" s="40"/>
    </row>
    <row r="416" spans="1:17" ht="13">
      <c r="A416" s="483"/>
      <c r="B416" s="500" t="s">
        <v>539</v>
      </c>
      <c r="C416" s="501">
        <f>C412-C413-C414</f>
        <v>0</v>
      </c>
      <c r="E416" s="40"/>
      <c r="M416" s="483"/>
      <c r="N416" s="500" t="s">
        <v>539</v>
      </c>
      <c r="O416" s="501">
        <f>O412-O413-O414</f>
        <v>0</v>
      </c>
      <c r="Q416" s="40"/>
    </row>
    <row r="417" spans="1:17">
      <c r="A417" s="483"/>
      <c r="B417" t="s">
        <v>540</v>
      </c>
      <c r="C417" s="502">
        <v>4</v>
      </c>
      <c r="E417" s="40"/>
      <c r="M417" s="483"/>
      <c r="N417" t="s">
        <v>540</v>
      </c>
      <c r="O417" s="502">
        <v>4</v>
      </c>
      <c r="Q417" s="40"/>
    </row>
    <row r="418" spans="1:17">
      <c r="A418" s="483"/>
      <c r="B418" t="s">
        <v>541</v>
      </c>
      <c r="C418" s="486">
        <f>C417*12</f>
        <v>48</v>
      </c>
      <c r="E418" s="40"/>
      <c r="M418" s="483"/>
      <c r="N418" t="s">
        <v>541</v>
      </c>
      <c r="O418" s="486">
        <f>O417*12</f>
        <v>48</v>
      </c>
      <c r="Q418" s="40"/>
    </row>
    <row r="419" spans="1:17">
      <c r="A419" s="483"/>
      <c r="E419" s="40"/>
      <c r="M419" s="483"/>
      <c r="Q419" s="40"/>
    </row>
    <row r="420" spans="1:17" ht="13">
      <c r="A420" s="483"/>
      <c r="B420" s="500" t="s">
        <v>542</v>
      </c>
      <c r="C420" s="501">
        <f>-PMT(E412/12,C418,C416)</f>
        <v>0</v>
      </c>
      <c r="D420" s="500" t="s">
        <v>543</v>
      </c>
      <c r="E420" s="488">
        <f>C420*12</f>
        <v>0</v>
      </c>
      <c r="M420" s="483"/>
      <c r="N420" s="500" t="s">
        <v>542</v>
      </c>
      <c r="O420" s="501">
        <f>-PMT(Q412/12,O418,O416)</f>
        <v>0</v>
      </c>
      <c r="P420" s="500" t="s">
        <v>543</v>
      </c>
      <c r="Q420" s="488">
        <f>O420*12</f>
        <v>0</v>
      </c>
    </row>
    <row r="421" spans="1:17">
      <c r="A421" s="483"/>
      <c r="E421" s="40"/>
      <c r="M421" s="483"/>
      <c r="Q421" s="40"/>
    </row>
    <row r="422" spans="1:17">
      <c r="A422" s="483"/>
      <c r="E422" s="40"/>
      <c r="M422" s="483"/>
      <c r="Q422" s="40"/>
    </row>
    <row r="423" spans="1:17">
      <c r="A423" s="483"/>
      <c r="B423" t="s">
        <v>241</v>
      </c>
      <c r="E423" s="40"/>
      <c r="M423" s="483"/>
      <c r="N423" t="s">
        <v>241</v>
      </c>
      <c r="Q423" s="40"/>
    </row>
    <row r="424" spans="1:17">
      <c r="A424" s="483"/>
      <c r="B424" t="s">
        <v>544</v>
      </c>
      <c r="C424" s="485">
        <f>C420*C418</f>
        <v>0</v>
      </c>
      <c r="E424" s="40"/>
      <c r="M424" s="483"/>
      <c r="N424" t="s">
        <v>544</v>
      </c>
      <c r="O424" s="485">
        <f>O420*O418</f>
        <v>0</v>
      </c>
      <c r="Q424" s="40"/>
    </row>
    <row r="425" spans="1:17">
      <c r="A425" s="483"/>
      <c r="E425" s="40"/>
      <c r="M425" s="483"/>
      <c r="Q425" s="40"/>
    </row>
    <row r="426" spans="1:17" ht="13.5" thickBot="1">
      <c r="A426" s="484"/>
      <c r="B426" s="489" t="s">
        <v>299</v>
      </c>
      <c r="C426" s="490">
        <f>C424-C416</f>
        <v>0</v>
      </c>
      <c r="D426" s="99"/>
      <c r="E426" s="157"/>
      <c r="M426" s="484"/>
      <c r="N426" s="489" t="s">
        <v>299</v>
      </c>
      <c r="O426" s="490">
        <f>O424-O416</f>
        <v>0</v>
      </c>
      <c r="P426" s="99"/>
      <c r="Q426" s="157"/>
    </row>
    <row r="427" spans="1:17" ht="13" thickBot="1"/>
    <row r="428" spans="1:17" ht="13">
      <c r="A428" s="480">
        <v>26</v>
      </c>
      <c r="B428" s="503" t="s">
        <v>533</v>
      </c>
      <c r="C428" s="503"/>
      <c r="D428" s="503"/>
      <c r="E428" s="504"/>
      <c r="M428" s="480">
        <v>26</v>
      </c>
      <c r="N428" s="503" t="s">
        <v>533</v>
      </c>
      <c r="O428" s="503"/>
      <c r="P428" s="503"/>
      <c r="Q428" s="504"/>
    </row>
    <row r="429" spans="1:17">
      <c r="A429" s="483"/>
      <c r="B429" t="s">
        <v>534</v>
      </c>
      <c r="C429" s="485">
        <f>SUMIF(Equipos!$Q$6:$Q$55,A428,Equipos!$O$6:$O$55)</f>
        <v>0</v>
      </c>
      <c r="D429" t="s">
        <v>535</v>
      </c>
      <c r="E429" s="487">
        <v>0.11</v>
      </c>
      <c r="M429" s="483"/>
      <c r="N429" t="s">
        <v>534</v>
      </c>
      <c r="O429" s="485">
        <f>SUMIF(MATERIALES!$P$6:$P$44,M428,MATERIALES!$N$6:$N$44)</f>
        <v>0</v>
      </c>
      <c r="P429" t="s">
        <v>535</v>
      </c>
      <c r="Q429" s="487">
        <v>0.11</v>
      </c>
    </row>
    <row r="430" spans="1:17">
      <c r="A430" s="483"/>
      <c r="B430" t="s">
        <v>536</v>
      </c>
      <c r="C430" s="499">
        <v>0</v>
      </c>
      <c r="D430" t="s">
        <v>537</v>
      </c>
      <c r="E430" s="487">
        <v>0</v>
      </c>
      <c r="M430" s="483"/>
      <c r="N430" t="s">
        <v>536</v>
      </c>
      <c r="O430" s="499">
        <v>0</v>
      </c>
      <c r="P430" t="s">
        <v>537</v>
      </c>
      <c r="Q430" s="487">
        <v>0</v>
      </c>
    </row>
    <row r="431" spans="1:17">
      <c r="A431" s="483"/>
      <c r="B431" t="s">
        <v>538</v>
      </c>
      <c r="C431" s="499">
        <v>0</v>
      </c>
      <c r="E431" s="40"/>
      <c r="M431" s="483"/>
      <c r="N431" t="s">
        <v>538</v>
      </c>
      <c r="O431" s="499">
        <v>0</v>
      </c>
      <c r="Q431" s="40"/>
    </row>
    <row r="432" spans="1:17">
      <c r="A432" s="483"/>
      <c r="E432" s="40"/>
      <c r="M432" s="483"/>
      <c r="Q432" s="40"/>
    </row>
    <row r="433" spans="1:17" ht="13">
      <c r="A433" s="483"/>
      <c r="B433" s="500" t="s">
        <v>539</v>
      </c>
      <c r="C433" s="501">
        <f>C429-C430-C431</f>
        <v>0</v>
      </c>
      <c r="E433" s="40"/>
      <c r="M433" s="483"/>
      <c r="N433" s="500" t="s">
        <v>539</v>
      </c>
      <c r="O433" s="501">
        <f>O429-O430-O431</f>
        <v>0</v>
      </c>
      <c r="Q433" s="40"/>
    </row>
    <row r="434" spans="1:17">
      <c r="A434" s="483"/>
      <c r="B434" t="s">
        <v>540</v>
      </c>
      <c r="C434" s="502">
        <v>4</v>
      </c>
      <c r="E434" s="40"/>
      <c r="M434" s="483"/>
      <c r="N434" t="s">
        <v>540</v>
      </c>
      <c r="O434" s="502">
        <v>4</v>
      </c>
      <c r="Q434" s="40"/>
    </row>
    <row r="435" spans="1:17">
      <c r="A435" s="483"/>
      <c r="B435" t="s">
        <v>541</v>
      </c>
      <c r="C435" s="486">
        <f>C434*12</f>
        <v>48</v>
      </c>
      <c r="E435" s="40"/>
      <c r="M435" s="483"/>
      <c r="N435" t="s">
        <v>541</v>
      </c>
      <c r="O435" s="486">
        <f>O434*12</f>
        <v>48</v>
      </c>
      <c r="Q435" s="40"/>
    </row>
    <row r="436" spans="1:17">
      <c r="A436" s="483"/>
      <c r="E436" s="40"/>
      <c r="M436" s="483"/>
      <c r="Q436" s="40"/>
    </row>
    <row r="437" spans="1:17" ht="13">
      <c r="A437" s="483"/>
      <c r="B437" s="500" t="s">
        <v>542</v>
      </c>
      <c r="C437" s="501">
        <f>-PMT(E429/12,C435,C433)</f>
        <v>0</v>
      </c>
      <c r="D437" s="500" t="s">
        <v>543</v>
      </c>
      <c r="E437" s="488">
        <f>C437*12</f>
        <v>0</v>
      </c>
      <c r="M437" s="483"/>
      <c r="N437" s="500" t="s">
        <v>542</v>
      </c>
      <c r="O437" s="501">
        <f>-PMT(Q429/12,O435,O433)</f>
        <v>0</v>
      </c>
      <c r="P437" s="500" t="s">
        <v>543</v>
      </c>
      <c r="Q437" s="488">
        <f>O437*12</f>
        <v>0</v>
      </c>
    </row>
    <row r="438" spans="1:17">
      <c r="A438" s="483"/>
      <c r="E438" s="40"/>
      <c r="M438" s="483"/>
      <c r="Q438" s="40"/>
    </row>
    <row r="439" spans="1:17">
      <c r="A439" s="483"/>
      <c r="E439" s="40"/>
      <c r="M439" s="483"/>
      <c r="Q439" s="40"/>
    </row>
    <row r="440" spans="1:17">
      <c r="A440" s="483"/>
      <c r="B440" t="s">
        <v>241</v>
      </c>
      <c r="E440" s="40"/>
      <c r="M440" s="483"/>
      <c r="N440" t="s">
        <v>241</v>
      </c>
      <c r="Q440" s="40"/>
    </row>
    <row r="441" spans="1:17">
      <c r="A441" s="483"/>
      <c r="B441" t="s">
        <v>544</v>
      </c>
      <c r="C441" s="485">
        <f>C437*C435</f>
        <v>0</v>
      </c>
      <c r="E441" s="40"/>
      <c r="M441" s="483"/>
      <c r="N441" t="s">
        <v>544</v>
      </c>
      <c r="O441" s="485">
        <f>O437*O435</f>
        <v>0</v>
      </c>
      <c r="Q441" s="40"/>
    </row>
    <row r="442" spans="1:17">
      <c r="A442" s="483"/>
      <c r="E442" s="40"/>
      <c r="M442" s="483"/>
      <c r="Q442" s="40"/>
    </row>
    <row r="443" spans="1:17" ht="13.5" thickBot="1">
      <c r="A443" s="484"/>
      <c r="B443" s="489" t="s">
        <v>299</v>
      </c>
      <c r="C443" s="490">
        <f>C441-C433</f>
        <v>0</v>
      </c>
      <c r="D443" s="99"/>
      <c r="E443" s="157"/>
      <c r="M443" s="484"/>
      <c r="N443" s="489" t="s">
        <v>299</v>
      </c>
      <c r="O443" s="490">
        <f>O441-O433</f>
        <v>0</v>
      </c>
      <c r="P443" s="99"/>
      <c r="Q443" s="157"/>
    </row>
    <row r="444" spans="1:17" ht="13" thickBot="1"/>
    <row r="445" spans="1:17" ht="13">
      <c r="A445" s="480">
        <v>27</v>
      </c>
      <c r="B445" s="503" t="s">
        <v>533</v>
      </c>
      <c r="C445" s="503"/>
      <c r="D445" s="503"/>
      <c r="E445" s="504"/>
      <c r="M445" s="480">
        <v>27</v>
      </c>
      <c r="N445" s="503" t="s">
        <v>533</v>
      </c>
      <c r="O445" s="503"/>
      <c r="P445" s="503"/>
      <c r="Q445" s="504"/>
    </row>
    <row r="446" spans="1:17">
      <c r="A446" s="483"/>
      <c r="B446" t="s">
        <v>534</v>
      </c>
      <c r="C446" s="485">
        <f>SUMIF(Equipos!$Q$6:$Q$55,A445,Equipos!$O$6:$O$55)</f>
        <v>0</v>
      </c>
      <c r="D446" t="s">
        <v>535</v>
      </c>
      <c r="E446" s="487">
        <v>0.11</v>
      </c>
      <c r="M446" s="483"/>
      <c r="N446" t="s">
        <v>534</v>
      </c>
      <c r="O446" s="485">
        <f>SUMIF(MATERIALES!$P$6:$P$44,M445,MATERIALES!$N$6:$N$44)</f>
        <v>0</v>
      </c>
      <c r="P446" t="s">
        <v>535</v>
      </c>
      <c r="Q446" s="487">
        <v>0.11</v>
      </c>
    </row>
    <row r="447" spans="1:17">
      <c r="A447" s="483"/>
      <c r="B447" t="s">
        <v>536</v>
      </c>
      <c r="C447" s="499">
        <v>0</v>
      </c>
      <c r="D447" t="s">
        <v>537</v>
      </c>
      <c r="E447" s="487">
        <v>0</v>
      </c>
      <c r="M447" s="483"/>
      <c r="N447" t="s">
        <v>536</v>
      </c>
      <c r="O447" s="499">
        <v>0</v>
      </c>
      <c r="P447" t="s">
        <v>537</v>
      </c>
      <c r="Q447" s="487">
        <v>0</v>
      </c>
    </row>
    <row r="448" spans="1:17">
      <c r="A448" s="483"/>
      <c r="B448" t="s">
        <v>538</v>
      </c>
      <c r="C448" s="499">
        <v>0</v>
      </c>
      <c r="E448" s="40"/>
      <c r="M448" s="483"/>
      <c r="N448" t="s">
        <v>538</v>
      </c>
      <c r="O448" s="499">
        <v>0</v>
      </c>
      <c r="Q448" s="40"/>
    </row>
    <row r="449" spans="1:17">
      <c r="A449" s="483"/>
      <c r="E449" s="40"/>
      <c r="M449" s="483"/>
      <c r="Q449" s="40"/>
    </row>
    <row r="450" spans="1:17" ht="13">
      <c r="A450" s="483"/>
      <c r="B450" s="500" t="s">
        <v>539</v>
      </c>
      <c r="C450" s="501">
        <f>C446-C447-C448</f>
        <v>0</v>
      </c>
      <c r="E450" s="40"/>
      <c r="M450" s="483"/>
      <c r="N450" s="500" t="s">
        <v>539</v>
      </c>
      <c r="O450" s="501">
        <f>O446-O447-O448</f>
        <v>0</v>
      </c>
      <c r="Q450" s="40"/>
    </row>
    <row r="451" spans="1:17">
      <c r="A451" s="483"/>
      <c r="B451" t="s">
        <v>540</v>
      </c>
      <c r="C451" s="502">
        <v>4</v>
      </c>
      <c r="E451" s="40"/>
      <c r="M451" s="483"/>
      <c r="N451" t="s">
        <v>540</v>
      </c>
      <c r="O451" s="502">
        <v>4</v>
      </c>
      <c r="Q451" s="40"/>
    </row>
    <row r="452" spans="1:17">
      <c r="A452" s="483"/>
      <c r="B452" t="s">
        <v>541</v>
      </c>
      <c r="C452" s="486">
        <f>C451*12</f>
        <v>48</v>
      </c>
      <c r="E452" s="40"/>
      <c r="M452" s="483"/>
      <c r="N452" t="s">
        <v>541</v>
      </c>
      <c r="O452" s="486">
        <f>O451*12</f>
        <v>48</v>
      </c>
      <c r="Q452" s="40"/>
    </row>
    <row r="453" spans="1:17">
      <c r="A453" s="483"/>
      <c r="E453" s="40"/>
      <c r="M453" s="483"/>
      <c r="Q453" s="40"/>
    </row>
    <row r="454" spans="1:17" ht="13">
      <c r="A454" s="483"/>
      <c r="B454" s="500" t="s">
        <v>542</v>
      </c>
      <c r="C454" s="501">
        <f>-PMT(E446/12,C452,C450)</f>
        <v>0</v>
      </c>
      <c r="D454" s="500" t="s">
        <v>543</v>
      </c>
      <c r="E454" s="488">
        <f>C454*12</f>
        <v>0</v>
      </c>
      <c r="M454" s="483"/>
      <c r="N454" s="500" t="s">
        <v>542</v>
      </c>
      <c r="O454" s="501">
        <f>-PMT(Q446/12,O452,O450)</f>
        <v>0</v>
      </c>
      <c r="P454" s="500" t="s">
        <v>543</v>
      </c>
      <c r="Q454" s="488">
        <f>O454*12</f>
        <v>0</v>
      </c>
    </row>
    <row r="455" spans="1:17">
      <c r="A455" s="483"/>
      <c r="E455" s="40"/>
      <c r="M455" s="483"/>
      <c r="Q455" s="40"/>
    </row>
    <row r="456" spans="1:17">
      <c r="A456" s="483"/>
      <c r="E456" s="40"/>
      <c r="M456" s="483"/>
      <c r="Q456" s="40"/>
    </row>
    <row r="457" spans="1:17">
      <c r="A457" s="483"/>
      <c r="B457" t="s">
        <v>241</v>
      </c>
      <c r="E457" s="40"/>
      <c r="M457" s="483"/>
      <c r="N457" t="s">
        <v>241</v>
      </c>
      <c r="Q457" s="40"/>
    </row>
    <row r="458" spans="1:17">
      <c r="A458" s="483"/>
      <c r="B458" t="s">
        <v>544</v>
      </c>
      <c r="C458" s="485">
        <f>C454*C452</f>
        <v>0</v>
      </c>
      <c r="E458" s="40"/>
      <c r="M458" s="483"/>
      <c r="N458" t="s">
        <v>544</v>
      </c>
      <c r="O458" s="485">
        <f>O454*O452</f>
        <v>0</v>
      </c>
      <c r="Q458" s="40"/>
    </row>
    <row r="459" spans="1:17">
      <c r="A459" s="483"/>
      <c r="E459" s="40"/>
      <c r="M459" s="483"/>
      <c r="Q459" s="40"/>
    </row>
    <row r="460" spans="1:17" ht="13.5" thickBot="1">
      <c r="A460" s="484"/>
      <c r="B460" s="489" t="s">
        <v>299</v>
      </c>
      <c r="C460" s="490">
        <f>C458-C450</f>
        <v>0</v>
      </c>
      <c r="D460" s="99"/>
      <c r="E460" s="157"/>
      <c r="M460" s="484"/>
      <c r="N460" s="489" t="s">
        <v>299</v>
      </c>
      <c r="O460" s="490">
        <f>O458-O450</f>
        <v>0</v>
      </c>
      <c r="P460" s="99"/>
      <c r="Q460" s="157"/>
    </row>
    <row r="461" spans="1:17" ht="13" thickBot="1"/>
    <row r="462" spans="1:17" ht="13">
      <c r="A462" s="480">
        <v>28</v>
      </c>
      <c r="B462" s="503" t="s">
        <v>533</v>
      </c>
      <c r="C462" s="503"/>
      <c r="D462" s="503"/>
      <c r="E462" s="504"/>
      <c r="M462" s="480">
        <v>28</v>
      </c>
      <c r="N462" s="503" t="s">
        <v>533</v>
      </c>
      <c r="O462" s="503"/>
      <c r="P462" s="503"/>
      <c r="Q462" s="504"/>
    </row>
    <row r="463" spans="1:17">
      <c r="A463" s="483"/>
      <c r="B463" t="s">
        <v>534</v>
      </c>
      <c r="C463" s="485">
        <f>SUMIF(Equipos!$Q$6:$Q$55,A462,Equipos!$O$6:$O$55)</f>
        <v>0</v>
      </c>
      <c r="D463" t="s">
        <v>535</v>
      </c>
      <c r="E463" s="487">
        <v>0.11</v>
      </c>
      <c r="M463" s="483"/>
      <c r="N463" t="s">
        <v>534</v>
      </c>
      <c r="O463" s="485">
        <f>SUMIF(MATERIALES!$P$6:$P$44,M462,MATERIALES!$N$6:$N$44)</f>
        <v>0</v>
      </c>
      <c r="P463" t="s">
        <v>535</v>
      </c>
      <c r="Q463" s="487">
        <v>0.11</v>
      </c>
    </row>
    <row r="464" spans="1:17">
      <c r="A464" s="483"/>
      <c r="B464" t="s">
        <v>536</v>
      </c>
      <c r="C464" s="499">
        <v>0</v>
      </c>
      <c r="D464" t="s">
        <v>537</v>
      </c>
      <c r="E464" s="487">
        <v>0</v>
      </c>
      <c r="M464" s="483"/>
      <c r="N464" t="s">
        <v>536</v>
      </c>
      <c r="O464" s="499">
        <v>0</v>
      </c>
      <c r="P464" t="s">
        <v>537</v>
      </c>
      <c r="Q464" s="487">
        <v>0</v>
      </c>
    </row>
    <row r="465" spans="1:17">
      <c r="A465" s="483"/>
      <c r="B465" t="s">
        <v>538</v>
      </c>
      <c r="C465" s="499">
        <v>0</v>
      </c>
      <c r="E465" s="40"/>
      <c r="M465" s="483"/>
      <c r="N465" t="s">
        <v>538</v>
      </c>
      <c r="O465" s="499">
        <v>0</v>
      </c>
      <c r="Q465" s="40"/>
    </row>
    <row r="466" spans="1:17">
      <c r="A466" s="483"/>
      <c r="E466" s="40"/>
      <c r="M466" s="483"/>
      <c r="Q466" s="40"/>
    </row>
    <row r="467" spans="1:17" ht="13">
      <c r="A467" s="483"/>
      <c r="B467" s="500" t="s">
        <v>539</v>
      </c>
      <c r="C467" s="501">
        <f>C463-C464-C465</f>
        <v>0</v>
      </c>
      <c r="E467" s="40"/>
      <c r="M467" s="483"/>
      <c r="N467" s="500" t="s">
        <v>539</v>
      </c>
      <c r="O467" s="501">
        <f>O463-O464-O465</f>
        <v>0</v>
      </c>
      <c r="Q467" s="40"/>
    </row>
    <row r="468" spans="1:17">
      <c r="A468" s="483"/>
      <c r="B468" t="s">
        <v>540</v>
      </c>
      <c r="C468" s="502">
        <v>4</v>
      </c>
      <c r="E468" s="40"/>
      <c r="M468" s="483"/>
      <c r="N468" t="s">
        <v>540</v>
      </c>
      <c r="O468" s="502">
        <v>4</v>
      </c>
      <c r="Q468" s="40"/>
    </row>
    <row r="469" spans="1:17">
      <c r="A469" s="483"/>
      <c r="B469" t="s">
        <v>541</v>
      </c>
      <c r="C469" s="486">
        <f>C468*12</f>
        <v>48</v>
      </c>
      <c r="E469" s="40"/>
      <c r="M469" s="483"/>
      <c r="N469" t="s">
        <v>541</v>
      </c>
      <c r="O469" s="486">
        <f>O468*12</f>
        <v>48</v>
      </c>
      <c r="Q469" s="40"/>
    </row>
    <row r="470" spans="1:17">
      <c r="A470" s="483"/>
      <c r="E470" s="40"/>
      <c r="M470" s="483"/>
      <c r="Q470" s="40"/>
    </row>
    <row r="471" spans="1:17" ht="13">
      <c r="A471" s="483"/>
      <c r="B471" s="500" t="s">
        <v>542</v>
      </c>
      <c r="C471" s="501">
        <f>-PMT(E463/12,C469,C467)</f>
        <v>0</v>
      </c>
      <c r="D471" s="500" t="s">
        <v>543</v>
      </c>
      <c r="E471" s="488">
        <f>C471*12</f>
        <v>0</v>
      </c>
      <c r="M471" s="483"/>
      <c r="N471" s="500" t="s">
        <v>542</v>
      </c>
      <c r="O471" s="501">
        <f>-PMT(Q463/12,O469,O467)</f>
        <v>0</v>
      </c>
      <c r="P471" s="500" t="s">
        <v>543</v>
      </c>
      <c r="Q471" s="488">
        <f>O471*12</f>
        <v>0</v>
      </c>
    </row>
    <row r="472" spans="1:17">
      <c r="A472" s="483"/>
      <c r="E472" s="40"/>
      <c r="M472" s="483"/>
      <c r="Q472" s="40"/>
    </row>
    <row r="473" spans="1:17">
      <c r="A473" s="483"/>
      <c r="E473" s="40"/>
      <c r="M473" s="483"/>
      <c r="Q473" s="40"/>
    </row>
    <row r="474" spans="1:17">
      <c r="A474" s="483"/>
      <c r="B474" t="s">
        <v>241</v>
      </c>
      <c r="E474" s="40"/>
      <c r="M474" s="483"/>
      <c r="N474" t="s">
        <v>241</v>
      </c>
      <c r="Q474" s="40"/>
    </row>
    <row r="475" spans="1:17">
      <c r="A475" s="483"/>
      <c r="B475" t="s">
        <v>544</v>
      </c>
      <c r="C475" s="485">
        <f>C471*C469</f>
        <v>0</v>
      </c>
      <c r="E475" s="40"/>
      <c r="M475" s="483"/>
      <c r="N475" t="s">
        <v>544</v>
      </c>
      <c r="O475" s="485">
        <f>O471*O469</f>
        <v>0</v>
      </c>
      <c r="Q475" s="40"/>
    </row>
    <row r="476" spans="1:17">
      <c r="A476" s="483"/>
      <c r="E476" s="40"/>
      <c r="M476" s="483"/>
      <c r="Q476" s="40"/>
    </row>
    <row r="477" spans="1:17" ht="13.5" thickBot="1">
      <c r="A477" s="484"/>
      <c r="B477" s="489" t="s">
        <v>299</v>
      </c>
      <c r="C477" s="490">
        <f>C475-C467</f>
        <v>0</v>
      </c>
      <c r="D477" s="99"/>
      <c r="E477" s="157"/>
      <c r="M477" s="484"/>
      <c r="N477" s="489" t="s">
        <v>299</v>
      </c>
      <c r="O477" s="490">
        <f>O475-O467</f>
        <v>0</v>
      </c>
      <c r="P477" s="99"/>
      <c r="Q477" s="157"/>
    </row>
    <row r="478" spans="1:17" ht="13" thickBot="1"/>
    <row r="479" spans="1:17" ht="13">
      <c r="A479" s="480">
        <v>29</v>
      </c>
      <c r="B479" s="503" t="s">
        <v>533</v>
      </c>
      <c r="C479" s="503"/>
      <c r="D479" s="503"/>
      <c r="E479" s="504"/>
      <c r="M479" s="480">
        <v>29</v>
      </c>
      <c r="N479" s="503" t="s">
        <v>533</v>
      </c>
      <c r="O479" s="503"/>
      <c r="P479" s="503"/>
      <c r="Q479" s="504"/>
    </row>
    <row r="480" spans="1:17">
      <c r="A480" s="483"/>
      <c r="B480" t="s">
        <v>534</v>
      </c>
      <c r="C480" s="485">
        <f>SUMIF(Equipos!$Q$6:$Q$55,A479,Equipos!$O$6:$O$55)</f>
        <v>0</v>
      </c>
      <c r="D480" t="s">
        <v>535</v>
      </c>
      <c r="E480" s="487">
        <v>0.11</v>
      </c>
      <c r="M480" s="483"/>
      <c r="N480" t="s">
        <v>534</v>
      </c>
      <c r="O480" s="485">
        <f>SUMIF(MATERIALES!$P$6:$P$44,M479,MATERIALES!$N$6:$N$44)</f>
        <v>0</v>
      </c>
      <c r="P480" t="s">
        <v>535</v>
      </c>
      <c r="Q480" s="487">
        <v>0.11</v>
      </c>
    </row>
    <row r="481" spans="1:17">
      <c r="A481" s="483"/>
      <c r="B481" t="s">
        <v>536</v>
      </c>
      <c r="C481" s="499">
        <v>0</v>
      </c>
      <c r="D481" t="s">
        <v>537</v>
      </c>
      <c r="E481" s="487">
        <v>0</v>
      </c>
      <c r="M481" s="483"/>
      <c r="N481" t="s">
        <v>536</v>
      </c>
      <c r="O481" s="499">
        <v>0</v>
      </c>
      <c r="P481" t="s">
        <v>537</v>
      </c>
      <c r="Q481" s="487">
        <v>0</v>
      </c>
    </row>
    <row r="482" spans="1:17">
      <c r="A482" s="483"/>
      <c r="B482" t="s">
        <v>538</v>
      </c>
      <c r="C482" s="499">
        <v>0</v>
      </c>
      <c r="E482" s="40"/>
      <c r="M482" s="483"/>
      <c r="N482" t="s">
        <v>538</v>
      </c>
      <c r="O482" s="499">
        <v>0</v>
      </c>
      <c r="Q482" s="40"/>
    </row>
    <row r="483" spans="1:17">
      <c r="A483" s="483"/>
      <c r="E483" s="40"/>
      <c r="M483" s="483"/>
      <c r="Q483" s="40"/>
    </row>
    <row r="484" spans="1:17" ht="13">
      <c r="A484" s="483"/>
      <c r="B484" s="500" t="s">
        <v>539</v>
      </c>
      <c r="C484" s="501">
        <f>C480-C481-C482</f>
        <v>0</v>
      </c>
      <c r="E484" s="40"/>
      <c r="M484" s="483"/>
      <c r="N484" s="500" t="s">
        <v>539</v>
      </c>
      <c r="O484" s="501">
        <f>O480-O481-O482</f>
        <v>0</v>
      </c>
      <c r="Q484" s="40"/>
    </row>
    <row r="485" spans="1:17">
      <c r="A485" s="483"/>
      <c r="B485" t="s">
        <v>540</v>
      </c>
      <c r="C485" s="502">
        <v>4</v>
      </c>
      <c r="E485" s="40"/>
      <c r="M485" s="483"/>
      <c r="N485" t="s">
        <v>540</v>
      </c>
      <c r="O485" s="502">
        <v>4</v>
      </c>
      <c r="Q485" s="40"/>
    </row>
    <row r="486" spans="1:17">
      <c r="A486" s="483"/>
      <c r="B486" t="s">
        <v>541</v>
      </c>
      <c r="C486" s="486">
        <f>C485*12</f>
        <v>48</v>
      </c>
      <c r="E486" s="40"/>
      <c r="M486" s="483"/>
      <c r="N486" t="s">
        <v>541</v>
      </c>
      <c r="O486" s="486">
        <f>O485*12</f>
        <v>48</v>
      </c>
      <c r="Q486" s="40"/>
    </row>
    <row r="487" spans="1:17">
      <c r="A487" s="483"/>
      <c r="E487" s="40"/>
      <c r="M487" s="483"/>
      <c r="Q487" s="40"/>
    </row>
    <row r="488" spans="1:17" ht="13">
      <c r="A488" s="483"/>
      <c r="B488" s="500" t="s">
        <v>542</v>
      </c>
      <c r="C488" s="501">
        <f>-PMT(E480/12,C486,C484)</f>
        <v>0</v>
      </c>
      <c r="D488" s="500" t="s">
        <v>543</v>
      </c>
      <c r="E488" s="488">
        <f>C488*12</f>
        <v>0</v>
      </c>
      <c r="M488" s="483"/>
      <c r="N488" s="500" t="s">
        <v>542</v>
      </c>
      <c r="O488" s="501">
        <f>-PMT(Q480/12,O486,O484)</f>
        <v>0</v>
      </c>
      <c r="P488" s="500" t="s">
        <v>543</v>
      </c>
      <c r="Q488" s="488">
        <f>O488*12</f>
        <v>0</v>
      </c>
    </row>
    <row r="489" spans="1:17">
      <c r="A489" s="483"/>
      <c r="E489" s="40"/>
      <c r="M489" s="483"/>
      <c r="Q489" s="40"/>
    </row>
    <row r="490" spans="1:17">
      <c r="A490" s="483"/>
      <c r="E490" s="40"/>
      <c r="M490" s="483"/>
      <c r="Q490" s="40"/>
    </row>
    <row r="491" spans="1:17">
      <c r="A491" s="483"/>
      <c r="B491" t="s">
        <v>241</v>
      </c>
      <c r="E491" s="40"/>
      <c r="M491" s="483"/>
      <c r="N491" t="s">
        <v>241</v>
      </c>
      <c r="Q491" s="40"/>
    </row>
    <row r="492" spans="1:17">
      <c r="A492" s="483"/>
      <c r="B492" t="s">
        <v>544</v>
      </c>
      <c r="C492" s="485">
        <f>C488*C486</f>
        <v>0</v>
      </c>
      <c r="E492" s="40"/>
      <c r="M492" s="483"/>
      <c r="N492" t="s">
        <v>544</v>
      </c>
      <c r="O492" s="485">
        <f>O488*O486</f>
        <v>0</v>
      </c>
      <c r="Q492" s="40"/>
    </row>
    <row r="493" spans="1:17">
      <c r="A493" s="483"/>
      <c r="E493" s="40"/>
      <c r="M493" s="483"/>
      <c r="Q493" s="40"/>
    </row>
    <row r="494" spans="1:17" ht="13.5" thickBot="1">
      <c r="A494" s="484"/>
      <c r="B494" s="489" t="s">
        <v>299</v>
      </c>
      <c r="C494" s="490">
        <f>C492-C484</f>
        <v>0</v>
      </c>
      <c r="D494" s="99"/>
      <c r="E494" s="157"/>
      <c r="M494" s="484"/>
      <c r="N494" s="489" t="s">
        <v>299</v>
      </c>
      <c r="O494" s="490">
        <f>O492-O484</f>
        <v>0</v>
      </c>
      <c r="P494" s="99"/>
      <c r="Q494" s="157"/>
    </row>
    <row r="495" spans="1:17" ht="13" thickBot="1"/>
    <row r="496" spans="1:17" ht="13">
      <c r="A496" s="480">
        <v>30</v>
      </c>
      <c r="B496" s="503" t="s">
        <v>533</v>
      </c>
      <c r="C496" s="503"/>
      <c r="D496" s="503"/>
      <c r="E496" s="504"/>
      <c r="M496" s="480">
        <v>30</v>
      </c>
      <c r="N496" s="503" t="s">
        <v>533</v>
      </c>
      <c r="O496" s="503"/>
      <c r="P496" s="503"/>
      <c r="Q496" s="504"/>
    </row>
    <row r="497" spans="1:17">
      <c r="A497" s="483"/>
      <c r="B497" t="s">
        <v>534</v>
      </c>
      <c r="C497" s="485">
        <f>SUMIF(Equipos!$Q$6:$Q$55,A496,Equipos!$O$6:$O$55)</f>
        <v>0</v>
      </c>
      <c r="D497" t="s">
        <v>535</v>
      </c>
      <c r="E497" s="487">
        <v>0.11</v>
      </c>
      <c r="M497" s="483"/>
      <c r="N497" t="s">
        <v>534</v>
      </c>
      <c r="O497" s="485">
        <f>SUMIF(MATERIALES!$P$6:$P$44,M496,MATERIALES!$N$6:$N$44)</f>
        <v>0</v>
      </c>
      <c r="P497" t="s">
        <v>535</v>
      </c>
      <c r="Q497" s="487">
        <v>0.11</v>
      </c>
    </row>
    <row r="498" spans="1:17">
      <c r="A498" s="483"/>
      <c r="B498" t="s">
        <v>536</v>
      </c>
      <c r="C498" s="499">
        <v>0</v>
      </c>
      <c r="D498" t="s">
        <v>537</v>
      </c>
      <c r="E498" s="487">
        <v>0</v>
      </c>
      <c r="M498" s="483"/>
      <c r="N498" t="s">
        <v>536</v>
      </c>
      <c r="O498" s="499">
        <v>0</v>
      </c>
      <c r="P498" t="s">
        <v>537</v>
      </c>
      <c r="Q498" s="487">
        <v>0</v>
      </c>
    </row>
    <row r="499" spans="1:17">
      <c r="A499" s="483"/>
      <c r="B499" t="s">
        <v>538</v>
      </c>
      <c r="C499" s="499">
        <v>0</v>
      </c>
      <c r="E499" s="40"/>
      <c r="M499" s="483"/>
      <c r="N499" t="s">
        <v>538</v>
      </c>
      <c r="O499" s="499">
        <v>0</v>
      </c>
      <c r="Q499" s="40"/>
    </row>
    <row r="500" spans="1:17">
      <c r="A500" s="483"/>
      <c r="E500" s="40"/>
      <c r="M500" s="483"/>
      <c r="Q500" s="40"/>
    </row>
    <row r="501" spans="1:17" ht="13">
      <c r="A501" s="483"/>
      <c r="B501" s="500" t="s">
        <v>539</v>
      </c>
      <c r="C501" s="501">
        <f>C497-C498-C499</f>
        <v>0</v>
      </c>
      <c r="E501" s="40"/>
      <c r="M501" s="483"/>
      <c r="N501" s="500" t="s">
        <v>539</v>
      </c>
      <c r="O501" s="501">
        <f>O497-O498-O499</f>
        <v>0</v>
      </c>
      <c r="Q501" s="40"/>
    </row>
    <row r="502" spans="1:17">
      <c r="A502" s="483"/>
      <c r="B502" t="s">
        <v>540</v>
      </c>
      <c r="C502" s="502">
        <v>4</v>
      </c>
      <c r="E502" s="40"/>
      <c r="M502" s="483"/>
      <c r="N502" t="s">
        <v>540</v>
      </c>
      <c r="O502" s="502">
        <v>4</v>
      </c>
      <c r="Q502" s="40"/>
    </row>
    <row r="503" spans="1:17">
      <c r="A503" s="483"/>
      <c r="B503" t="s">
        <v>541</v>
      </c>
      <c r="C503" s="486">
        <f>C502*12</f>
        <v>48</v>
      </c>
      <c r="E503" s="40"/>
      <c r="M503" s="483"/>
      <c r="N503" t="s">
        <v>541</v>
      </c>
      <c r="O503" s="486">
        <f>O502*12</f>
        <v>48</v>
      </c>
      <c r="Q503" s="40"/>
    </row>
    <row r="504" spans="1:17">
      <c r="A504" s="483"/>
      <c r="E504" s="40"/>
      <c r="M504" s="483"/>
      <c r="Q504" s="40"/>
    </row>
    <row r="505" spans="1:17" ht="13">
      <c r="A505" s="483"/>
      <c r="B505" s="500" t="s">
        <v>542</v>
      </c>
      <c r="C505" s="501">
        <f>-PMT(E497/12,C503,C501)</f>
        <v>0</v>
      </c>
      <c r="D505" s="500" t="s">
        <v>543</v>
      </c>
      <c r="E505" s="488">
        <f>C505*12</f>
        <v>0</v>
      </c>
      <c r="M505" s="483"/>
      <c r="N505" s="500" t="s">
        <v>542</v>
      </c>
      <c r="O505" s="501">
        <f>-PMT(Q497/12,O503,O501)</f>
        <v>0</v>
      </c>
      <c r="P505" s="500" t="s">
        <v>543</v>
      </c>
      <c r="Q505" s="488">
        <f>O505*12</f>
        <v>0</v>
      </c>
    </row>
    <row r="506" spans="1:17">
      <c r="A506" s="483"/>
      <c r="E506" s="40"/>
      <c r="M506" s="483"/>
      <c r="Q506" s="40"/>
    </row>
    <row r="507" spans="1:17">
      <c r="A507" s="483"/>
      <c r="E507" s="40"/>
      <c r="M507" s="483"/>
      <c r="Q507" s="40"/>
    </row>
    <row r="508" spans="1:17">
      <c r="A508" s="483"/>
      <c r="B508" t="s">
        <v>241</v>
      </c>
      <c r="E508" s="40"/>
      <c r="M508" s="483"/>
      <c r="N508" t="s">
        <v>241</v>
      </c>
      <c r="Q508" s="40"/>
    </row>
    <row r="509" spans="1:17">
      <c r="A509" s="483"/>
      <c r="B509" t="s">
        <v>544</v>
      </c>
      <c r="C509" s="485">
        <f>C505*C503</f>
        <v>0</v>
      </c>
      <c r="E509" s="40"/>
      <c r="M509" s="483"/>
      <c r="N509" t="s">
        <v>544</v>
      </c>
      <c r="O509" s="485">
        <f>O505*O503</f>
        <v>0</v>
      </c>
      <c r="Q509" s="40"/>
    </row>
    <row r="510" spans="1:17">
      <c r="A510" s="483"/>
      <c r="E510" s="40"/>
      <c r="M510" s="483"/>
      <c r="Q510" s="40"/>
    </row>
    <row r="511" spans="1:17" ht="13.5" thickBot="1">
      <c r="A511" s="484"/>
      <c r="B511" s="489" t="s">
        <v>299</v>
      </c>
      <c r="C511" s="490">
        <f>C509-C501</f>
        <v>0</v>
      </c>
      <c r="D511" s="99"/>
      <c r="E511" s="157"/>
      <c r="M511" s="484"/>
      <c r="N511" s="489" t="s">
        <v>299</v>
      </c>
      <c r="O511" s="490">
        <f>O509-O501</f>
        <v>0</v>
      </c>
      <c r="P511" s="99"/>
      <c r="Q511" s="157"/>
    </row>
    <row r="512" spans="1:17" ht="13" thickBot="1"/>
    <row r="513" spans="1:17" ht="13">
      <c r="A513" s="480">
        <v>31</v>
      </c>
      <c r="B513" s="503" t="s">
        <v>533</v>
      </c>
      <c r="C513" s="503"/>
      <c r="D513" s="503"/>
      <c r="E513" s="504"/>
      <c r="M513" s="480">
        <v>31</v>
      </c>
      <c r="N513" s="503" t="s">
        <v>533</v>
      </c>
      <c r="O513" s="503"/>
      <c r="P513" s="503"/>
      <c r="Q513" s="504"/>
    </row>
    <row r="514" spans="1:17">
      <c r="A514" s="483"/>
      <c r="B514" t="s">
        <v>534</v>
      </c>
      <c r="C514" s="485">
        <f>SUMIF(Equipos!$Q$6:$Q$55,A513,Equipos!$O$6:$O$55)</f>
        <v>0</v>
      </c>
      <c r="D514" t="s">
        <v>535</v>
      </c>
      <c r="E514" s="487">
        <v>0.11</v>
      </c>
      <c r="M514" s="483"/>
      <c r="N514" t="s">
        <v>534</v>
      </c>
      <c r="O514" s="485">
        <f>SUMIF(MATERIALES!$P$6:$P$44,M513,MATERIALES!$N$6:$N$44)</f>
        <v>0</v>
      </c>
      <c r="P514" t="s">
        <v>535</v>
      </c>
      <c r="Q514" s="487">
        <v>0.11</v>
      </c>
    </row>
    <row r="515" spans="1:17">
      <c r="A515" s="483"/>
      <c r="B515" t="s">
        <v>536</v>
      </c>
      <c r="C515" s="499">
        <v>0</v>
      </c>
      <c r="D515" t="s">
        <v>537</v>
      </c>
      <c r="E515" s="487">
        <v>0</v>
      </c>
      <c r="M515" s="483"/>
      <c r="N515" t="s">
        <v>536</v>
      </c>
      <c r="O515" s="499">
        <v>0</v>
      </c>
      <c r="P515" t="s">
        <v>537</v>
      </c>
      <c r="Q515" s="487">
        <v>0</v>
      </c>
    </row>
    <row r="516" spans="1:17">
      <c r="A516" s="483"/>
      <c r="B516" t="s">
        <v>538</v>
      </c>
      <c r="C516" s="499">
        <v>0</v>
      </c>
      <c r="E516" s="40"/>
      <c r="M516" s="483"/>
      <c r="N516" t="s">
        <v>538</v>
      </c>
      <c r="O516" s="499">
        <v>0</v>
      </c>
      <c r="Q516" s="40"/>
    </row>
    <row r="517" spans="1:17">
      <c r="A517" s="483"/>
      <c r="E517" s="40"/>
      <c r="M517" s="483"/>
      <c r="Q517" s="40"/>
    </row>
    <row r="518" spans="1:17" ht="13">
      <c r="A518" s="483"/>
      <c r="B518" s="500" t="s">
        <v>539</v>
      </c>
      <c r="C518" s="501">
        <f>C514-C515-C516</f>
        <v>0</v>
      </c>
      <c r="E518" s="40"/>
      <c r="M518" s="483"/>
      <c r="N518" s="500" t="s">
        <v>539</v>
      </c>
      <c r="O518" s="501">
        <f>O514-O515-O516</f>
        <v>0</v>
      </c>
      <c r="Q518" s="40"/>
    </row>
    <row r="519" spans="1:17">
      <c r="A519" s="483"/>
      <c r="B519" t="s">
        <v>540</v>
      </c>
      <c r="C519" s="502">
        <v>4</v>
      </c>
      <c r="E519" s="40"/>
      <c r="M519" s="483"/>
      <c r="N519" t="s">
        <v>540</v>
      </c>
      <c r="O519" s="502">
        <v>4</v>
      </c>
      <c r="Q519" s="40"/>
    </row>
    <row r="520" spans="1:17">
      <c r="A520" s="483"/>
      <c r="B520" t="s">
        <v>541</v>
      </c>
      <c r="C520" s="486">
        <f>C519*12</f>
        <v>48</v>
      </c>
      <c r="E520" s="40"/>
      <c r="M520" s="483"/>
      <c r="N520" t="s">
        <v>541</v>
      </c>
      <c r="O520" s="486">
        <f>O519*12</f>
        <v>48</v>
      </c>
      <c r="Q520" s="40"/>
    </row>
    <row r="521" spans="1:17">
      <c r="A521" s="483"/>
      <c r="E521" s="40"/>
      <c r="M521" s="483"/>
      <c r="Q521" s="40"/>
    </row>
    <row r="522" spans="1:17" ht="13">
      <c r="A522" s="483"/>
      <c r="B522" s="500" t="s">
        <v>542</v>
      </c>
      <c r="C522" s="501">
        <f>-PMT(E514/12,C520,C518)</f>
        <v>0</v>
      </c>
      <c r="D522" s="500" t="s">
        <v>543</v>
      </c>
      <c r="E522" s="488">
        <f>C522*12</f>
        <v>0</v>
      </c>
      <c r="M522" s="483"/>
      <c r="N522" s="500" t="s">
        <v>542</v>
      </c>
      <c r="O522" s="501">
        <f>-PMT(Q514/12,O520,O518)</f>
        <v>0</v>
      </c>
      <c r="P522" s="500" t="s">
        <v>543</v>
      </c>
      <c r="Q522" s="488">
        <f>O522*12</f>
        <v>0</v>
      </c>
    </row>
    <row r="523" spans="1:17">
      <c r="A523" s="483"/>
      <c r="E523" s="40"/>
      <c r="M523" s="483"/>
      <c r="Q523" s="40"/>
    </row>
    <row r="524" spans="1:17">
      <c r="A524" s="483"/>
      <c r="E524" s="40"/>
      <c r="M524" s="483"/>
      <c r="Q524" s="40"/>
    </row>
    <row r="525" spans="1:17">
      <c r="A525" s="483"/>
      <c r="B525" t="s">
        <v>241</v>
      </c>
      <c r="E525" s="40"/>
      <c r="M525" s="483"/>
      <c r="N525" t="s">
        <v>241</v>
      </c>
      <c r="Q525" s="40"/>
    </row>
    <row r="526" spans="1:17">
      <c r="A526" s="483"/>
      <c r="B526" t="s">
        <v>544</v>
      </c>
      <c r="C526" s="485">
        <f>C522*C520</f>
        <v>0</v>
      </c>
      <c r="E526" s="40"/>
      <c r="M526" s="483"/>
      <c r="N526" t="s">
        <v>544</v>
      </c>
      <c r="O526" s="485">
        <f>O522*O520</f>
        <v>0</v>
      </c>
      <c r="Q526" s="40"/>
    </row>
    <row r="527" spans="1:17">
      <c r="A527" s="483"/>
      <c r="E527" s="40"/>
      <c r="M527" s="483"/>
      <c r="Q527" s="40"/>
    </row>
    <row r="528" spans="1:17" ht="13.5" thickBot="1">
      <c r="A528" s="484"/>
      <c r="B528" s="489" t="s">
        <v>299</v>
      </c>
      <c r="C528" s="490">
        <f>C526-C518</f>
        <v>0</v>
      </c>
      <c r="D528" s="99"/>
      <c r="E528" s="157"/>
      <c r="M528" s="484"/>
      <c r="N528" s="489" t="s">
        <v>299</v>
      </c>
      <c r="O528" s="490">
        <f>O526-O518</f>
        <v>0</v>
      </c>
      <c r="P528" s="99"/>
      <c r="Q528" s="157"/>
    </row>
    <row r="529" spans="1:17" ht="13" thickBot="1"/>
    <row r="530" spans="1:17" ht="13">
      <c r="A530" s="480">
        <v>32</v>
      </c>
      <c r="B530" s="503" t="s">
        <v>533</v>
      </c>
      <c r="C530" s="503"/>
      <c r="D530" s="503"/>
      <c r="E530" s="504"/>
      <c r="M530" s="480">
        <v>32</v>
      </c>
      <c r="N530" s="503" t="s">
        <v>533</v>
      </c>
      <c r="O530" s="503"/>
      <c r="P530" s="503"/>
      <c r="Q530" s="504"/>
    </row>
    <row r="531" spans="1:17">
      <c r="A531" s="483"/>
      <c r="B531" t="s">
        <v>534</v>
      </c>
      <c r="C531" s="485">
        <f>SUMIF(Equipos!$Q$6:$Q$55,A530,Equipos!$O$6:$O$55)</f>
        <v>0</v>
      </c>
      <c r="D531" t="s">
        <v>535</v>
      </c>
      <c r="E531" s="487">
        <v>0.11</v>
      </c>
      <c r="M531" s="483"/>
      <c r="N531" t="s">
        <v>534</v>
      </c>
      <c r="O531" s="485">
        <f>SUMIF(MATERIALES!$P$6:$P$44,M530,MATERIALES!$N$6:$N$44)</f>
        <v>0</v>
      </c>
      <c r="P531" t="s">
        <v>535</v>
      </c>
      <c r="Q531" s="487">
        <v>0.11</v>
      </c>
    </row>
    <row r="532" spans="1:17">
      <c r="A532" s="483"/>
      <c r="B532" t="s">
        <v>536</v>
      </c>
      <c r="C532" s="499">
        <v>0</v>
      </c>
      <c r="D532" t="s">
        <v>537</v>
      </c>
      <c r="E532" s="487">
        <v>0</v>
      </c>
      <c r="M532" s="483"/>
      <c r="N532" t="s">
        <v>536</v>
      </c>
      <c r="O532" s="499">
        <v>0</v>
      </c>
      <c r="P532" t="s">
        <v>537</v>
      </c>
      <c r="Q532" s="487">
        <v>0</v>
      </c>
    </row>
    <row r="533" spans="1:17">
      <c r="A533" s="483"/>
      <c r="B533" t="s">
        <v>538</v>
      </c>
      <c r="C533" s="499">
        <v>0</v>
      </c>
      <c r="E533" s="40"/>
      <c r="M533" s="483"/>
      <c r="N533" t="s">
        <v>538</v>
      </c>
      <c r="O533" s="499">
        <v>0</v>
      </c>
      <c r="Q533" s="40"/>
    </row>
    <row r="534" spans="1:17">
      <c r="A534" s="483"/>
      <c r="E534" s="40"/>
      <c r="M534" s="483"/>
      <c r="Q534" s="40"/>
    </row>
    <row r="535" spans="1:17" ht="13">
      <c r="A535" s="483"/>
      <c r="B535" s="500" t="s">
        <v>539</v>
      </c>
      <c r="C535" s="501">
        <f>C531-C532-C533</f>
        <v>0</v>
      </c>
      <c r="E535" s="40"/>
      <c r="M535" s="483"/>
      <c r="N535" s="500" t="s">
        <v>539</v>
      </c>
      <c r="O535" s="501">
        <f>O531-O532-O533</f>
        <v>0</v>
      </c>
      <c r="Q535" s="40"/>
    </row>
    <row r="536" spans="1:17">
      <c r="A536" s="483"/>
      <c r="B536" t="s">
        <v>540</v>
      </c>
      <c r="C536" s="502">
        <v>4</v>
      </c>
      <c r="E536" s="40"/>
      <c r="M536" s="483"/>
      <c r="N536" t="s">
        <v>540</v>
      </c>
      <c r="O536" s="502">
        <v>4</v>
      </c>
      <c r="Q536" s="40"/>
    </row>
    <row r="537" spans="1:17">
      <c r="A537" s="483"/>
      <c r="B537" t="s">
        <v>541</v>
      </c>
      <c r="C537" s="486">
        <f>C536*12</f>
        <v>48</v>
      </c>
      <c r="E537" s="40"/>
      <c r="M537" s="483"/>
      <c r="N537" t="s">
        <v>541</v>
      </c>
      <c r="O537" s="486">
        <f>O536*12</f>
        <v>48</v>
      </c>
      <c r="Q537" s="40"/>
    </row>
    <row r="538" spans="1:17">
      <c r="A538" s="483"/>
      <c r="E538" s="40"/>
      <c r="M538" s="483"/>
      <c r="Q538" s="40"/>
    </row>
    <row r="539" spans="1:17" ht="13">
      <c r="A539" s="483"/>
      <c r="B539" s="500" t="s">
        <v>542</v>
      </c>
      <c r="C539" s="501">
        <f>-PMT(E531/12,C537,C535)</f>
        <v>0</v>
      </c>
      <c r="D539" s="500" t="s">
        <v>543</v>
      </c>
      <c r="E539" s="488">
        <f>C539*12</f>
        <v>0</v>
      </c>
      <c r="M539" s="483"/>
      <c r="N539" s="500" t="s">
        <v>542</v>
      </c>
      <c r="O539" s="501">
        <f>-PMT(Q531/12,O537,O535)</f>
        <v>0</v>
      </c>
      <c r="P539" s="500" t="s">
        <v>543</v>
      </c>
      <c r="Q539" s="488">
        <f>O539*12</f>
        <v>0</v>
      </c>
    </row>
    <row r="540" spans="1:17">
      <c r="A540" s="483"/>
      <c r="E540" s="40"/>
      <c r="M540" s="483"/>
      <c r="Q540" s="40"/>
    </row>
    <row r="541" spans="1:17">
      <c r="A541" s="483"/>
      <c r="E541" s="40"/>
      <c r="M541" s="483"/>
      <c r="Q541" s="40"/>
    </row>
    <row r="542" spans="1:17">
      <c r="A542" s="483"/>
      <c r="B542" t="s">
        <v>241</v>
      </c>
      <c r="E542" s="40"/>
      <c r="M542" s="483"/>
      <c r="N542" t="s">
        <v>241</v>
      </c>
      <c r="Q542" s="40"/>
    </row>
    <row r="543" spans="1:17">
      <c r="A543" s="483"/>
      <c r="B543" t="s">
        <v>544</v>
      </c>
      <c r="C543" s="485">
        <f>C539*C537</f>
        <v>0</v>
      </c>
      <c r="E543" s="40"/>
      <c r="M543" s="483"/>
      <c r="N543" t="s">
        <v>544</v>
      </c>
      <c r="O543" s="485">
        <f>O539*O537</f>
        <v>0</v>
      </c>
      <c r="Q543" s="40"/>
    </row>
    <row r="544" spans="1:17">
      <c r="A544" s="483"/>
      <c r="E544" s="40"/>
      <c r="M544" s="483"/>
      <c r="Q544" s="40"/>
    </row>
    <row r="545" spans="1:17" ht="13.5" thickBot="1">
      <c r="A545" s="484"/>
      <c r="B545" s="489" t="s">
        <v>299</v>
      </c>
      <c r="C545" s="490">
        <f>C543-C535</f>
        <v>0</v>
      </c>
      <c r="D545" s="99"/>
      <c r="E545" s="157"/>
      <c r="M545" s="484"/>
      <c r="N545" s="489" t="s">
        <v>299</v>
      </c>
      <c r="O545" s="490">
        <f>O543-O535</f>
        <v>0</v>
      </c>
      <c r="P545" s="99"/>
      <c r="Q545" s="157"/>
    </row>
    <row r="546" spans="1:17" ht="13" thickBot="1"/>
    <row r="547" spans="1:17" ht="13">
      <c r="A547" s="480">
        <v>33</v>
      </c>
      <c r="B547" s="503" t="s">
        <v>533</v>
      </c>
      <c r="C547" s="503"/>
      <c r="D547" s="503"/>
      <c r="E547" s="504"/>
      <c r="M547" s="480">
        <v>33</v>
      </c>
      <c r="N547" s="503" t="s">
        <v>533</v>
      </c>
      <c r="O547" s="503"/>
      <c r="P547" s="503"/>
      <c r="Q547" s="504"/>
    </row>
    <row r="548" spans="1:17">
      <c r="A548" s="483"/>
      <c r="B548" t="s">
        <v>534</v>
      </c>
      <c r="C548" s="485">
        <f>SUMIF(Equipos!$Q$6:$Q$55,A547,Equipos!$O$6:$O$55)</f>
        <v>0</v>
      </c>
      <c r="D548" t="s">
        <v>535</v>
      </c>
      <c r="E548" s="487">
        <v>0.11</v>
      </c>
      <c r="M548" s="483"/>
      <c r="N548" t="s">
        <v>534</v>
      </c>
      <c r="O548" s="485">
        <f>SUMIF(MATERIALES!$P$6:$P$44,M547,MATERIALES!$N$6:$N$44)</f>
        <v>0</v>
      </c>
      <c r="P548" t="s">
        <v>535</v>
      </c>
      <c r="Q548" s="487">
        <v>0.11</v>
      </c>
    </row>
    <row r="549" spans="1:17">
      <c r="A549" s="483"/>
      <c r="B549" t="s">
        <v>536</v>
      </c>
      <c r="C549" s="499">
        <v>0</v>
      </c>
      <c r="D549" t="s">
        <v>537</v>
      </c>
      <c r="E549" s="487">
        <v>0</v>
      </c>
      <c r="M549" s="483"/>
      <c r="N549" t="s">
        <v>536</v>
      </c>
      <c r="O549" s="499">
        <v>0</v>
      </c>
      <c r="P549" t="s">
        <v>537</v>
      </c>
      <c r="Q549" s="487">
        <v>0</v>
      </c>
    </row>
    <row r="550" spans="1:17">
      <c r="A550" s="483"/>
      <c r="B550" t="s">
        <v>538</v>
      </c>
      <c r="C550" s="499">
        <v>0</v>
      </c>
      <c r="E550" s="40"/>
      <c r="M550" s="483"/>
      <c r="N550" t="s">
        <v>538</v>
      </c>
      <c r="O550" s="499">
        <v>0</v>
      </c>
      <c r="Q550" s="40"/>
    </row>
    <row r="551" spans="1:17">
      <c r="A551" s="483"/>
      <c r="E551" s="40"/>
      <c r="M551" s="483"/>
      <c r="Q551" s="40"/>
    </row>
    <row r="552" spans="1:17" ht="13">
      <c r="A552" s="483"/>
      <c r="B552" s="500" t="s">
        <v>539</v>
      </c>
      <c r="C552" s="501">
        <f>C548-C549-C550</f>
        <v>0</v>
      </c>
      <c r="E552" s="40"/>
      <c r="M552" s="483"/>
      <c r="N552" s="500" t="s">
        <v>539</v>
      </c>
      <c r="O552" s="501">
        <f>O548-O549-O550</f>
        <v>0</v>
      </c>
      <c r="Q552" s="40"/>
    </row>
    <row r="553" spans="1:17">
      <c r="A553" s="483"/>
      <c r="B553" t="s">
        <v>540</v>
      </c>
      <c r="C553" s="502">
        <v>4</v>
      </c>
      <c r="E553" s="40"/>
      <c r="M553" s="483"/>
      <c r="N553" t="s">
        <v>540</v>
      </c>
      <c r="O553" s="502">
        <v>4</v>
      </c>
      <c r="Q553" s="40"/>
    </row>
    <row r="554" spans="1:17">
      <c r="A554" s="483"/>
      <c r="B554" t="s">
        <v>541</v>
      </c>
      <c r="C554" s="486">
        <f>C553*12</f>
        <v>48</v>
      </c>
      <c r="E554" s="40"/>
      <c r="M554" s="483"/>
      <c r="N554" t="s">
        <v>541</v>
      </c>
      <c r="O554" s="486">
        <f>O553*12</f>
        <v>48</v>
      </c>
      <c r="Q554" s="40"/>
    </row>
    <row r="555" spans="1:17">
      <c r="A555" s="483"/>
      <c r="E555" s="40"/>
      <c r="M555" s="483"/>
      <c r="Q555" s="40"/>
    </row>
    <row r="556" spans="1:17" ht="13">
      <c r="A556" s="483"/>
      <c r="B556" s="500" t="s">
        <v>542</v>
      </c>
      <c r="C556" s="501">
        <f>-PMT(E548/12,C554,C552)</f>
        <v>0</v>
      </c>
      <c r="D556" s="500" t="s">
        <v>543</v>
      </c>
      <c r="E556" s="488">
        <f>C556*12</f>
        <v>0</v>
      </c>
      <c r="M556" s="483"/>
      <c r="N556" s="500" t="s">
        <v>542</v>
      </c>
      <c r="O556" s="501">
        <f>-PMT(Q548/12,O554,O552)</f>
        <v>0</v>
      </c>
      <c r="P556" s="500" t="s">
        <v>543</v>
      </c>
      <c r="Q556" s="488">
        <f>O556*12</f>
        <v>0</v>
      </c>
    </row>
    <row r="557" spans="1:17">
      <c r="A557" s="483"/>
      <c r="E557" s="40"/>
      <c r="M557" s="483"/>
      <c r="Q557" s="40"/>
    </row>
    <row r="558" spans="1:17">
      <c r="A558" s="483"/>
      <c r="E558" s="40"/>
      <c r="M558" s="483"/>
      <c r="Q558" s="40"/>
    </row>
    <row r="559" spans="1:17">
      <c r="A559" s="483"/>
      <c r="B559" t="s">
        <v>241</v>
      </c>
      <c r="E559" s="40"/>
      <c r="M559" s="483"/>
      <c r="N559" t="s">
        <v>241</v>
      </c>
      <c r="Q559" s="40"/>
    </row>
    <row r="560" spans="1:17">
      <c r="A560" s="483"/>
      <c r="B560" t="s">
        <v>544</v>
      </c>
      <c r="C560" s="485">
        <f>C556*C554</f>
        <v>0</v>
      </c>
      <c r="E560" s="40"/>
      <c r="M560" s="483"/>
      <c r="N560" t="s">
        <v>544</v>
      </c>
      <c r="O560" s="485">
        <f>O556*O554</f>
        <v>0</v>
      </c>
      <c r="Q560" s="40"/>
    </row>
    <row r="561" spans="1:17">
      <c r="A561" s="483"/>
      <c r="E561" s="40"/>
      <c r="M561" s="483"/>
      <c r="Q561" s="40"/>
    </row>
    <row r="562" spans="1:17" ht="13.5" thickBot="1">
      <c r="A562" s="484"/>
      <c r="B562" s="489" t="s">
        <v>299</v>
      </c>
      <c r="C562" s="490">
        <f>C560-C552</f>
        <v>0</v>
      </c>
      <c r="D562" s="99"/>
      <c r="E562" s="157"/>
      <c r="M562" s="484"/>
      <c r="N562" s="489" t="s">
        <v>299</v>
      </c>
      <c r="O562" s="490">
        <f>O560-O552</f>
        <v>0</v>
      </c>
      <c r="P562" s="99"/>
      <c r="Q562" s="157"/>
    </row>
    <row r="563" spans="1:17" ht="13" thickBot="1"/>
    <row r="564" spans="1:17" ht="13">
      <c r="A564" s="480">
        <v>34</v>
      </c>
      <c r="B564" s="503" t="s">
        <v>533</v>
      </c>
      <c r="C564" s="503"/>
      <c r="D564" s="503"/>
      <c r="E564" s="504"/>
      <c r="M564" s="480">
        <v>34</v>
      </c>
      <c r="N564" s="503" t="s">
        <v>533</v>
      </c>
      <c r="O564" s="503"/>
      <c r="P564" s="503"/>
      <c r="Q564" s="504"/>
    </row>
    <row r="565" spans="1:17">
      <c r="A565" s="483"/>
      <c r="B565" t="s">
        <v>534</v>
      </c>
      <c r="C565" s="485">
        <f>SUMIF(Equipos!$Q$6:$Q$55,A564,Equipos!$O$6:$O$55)</f>
        <v>0</v>
      </c>
      <c r="D565" t="s">
        <v>535</v>
      </c>
      <c r="E565" s="487">
        <v>0.11</v>
      </c>
      <c r="M565" s="483"/>
      <c r="N565" t="s">
        <v>534</v>
      </c>
      <c r="O565" s="485">
        <f>SUMIF(MATERIALES!$P$6:$P$44,M564,MATERIALES!$N$6:$N$44)</f>
        <v>0</v>
      </c>
      <c r="P565" t="s">
        <v>535</v>
      </c>
      <c r="Q565" s="487">
        <v>0.11</v>
      </c>
    </row>
    <row r="566" spans="1:17">
      <c r="A566" s="483"/>
      <c r="B566" t="s">
        <v>536</v>
      </c>
      <c r="C566" s="499">
        <v>0</v>
      </c>
      <c r="D566" t="s">
        <v>537</v>
      </c>
      <c r="E566" s="487">
        <v>0</v>
      </c>
      <c r="M566" s="483"/>
      <c r="N566" t="s">
        <v>536</v>
      </c>
      <c r="O566" s="499">
        <v>0</v>
      </c>
      <c r="P566" t="s">
        <v>537</v>
      </c>
      <c r="Q566" s="487">
        <v>0</v>
      </c>
    </row>
    <row r="567" spans="1:17">
      <c r="A567" s="483"/>
      <c r="B567" t="s">
        <v>538</v>
      </c>
      <c r="C567" s="499">
        <v>0</v>
      </c>
      <c r="E567" s="40"/>
      <c r="M567" s="483"/>
      <c r="N567" t="s">
        <v>538</v>
      </c>
      <c r="O567" s="499">
        <v>0</v>
      </c>
      <c r="Q567" s="40"/>
    </row>
    <row r="568" spans="1:17">
      <c r="A568" s="483"/>
      <c r="E568" s="40"/>
      <c r="M568" s="483"/>
      <c r="Q568" s="40"/>
    </row>
    <row r="569" spans="1:17" ht="13">
      <c r="A569" s="483"/>
      <c r="B569" s="500" t="s">
        <v>539</v>
      </c>
      <c r="C569" s="501">
        <f>C565-C566-C567</f>
        <v>0</v>
      </c>
      <c r="E569" s="40"/>
      <c r="M569" s="483"/>
      <c r="N569" s="500" t="s">
        <v>539</v>
      </c>
      <c r="O569" s="501">
        <f>O565-O566-O567</f>
        <v>0</v>
      </c>
      <c r="Q569" s="40"/>
    </row>
    <row r="570" spans="1:17">
      <c r="A570" s="483"/>
      <c r="B570" t="s">
        <v>540</v>
      </c>
      <c r="C570" s="502">
        <v>4</v>
      </c>
      <c r="E570" s="40"/>
      <c r="M570" s="483"/>
      <c r="N570" t="s">
        <v>540</v>
      </c>
      <c r="O570" s="502">
        <v>4</v>
      </c>
      <c r="Q570" s="40"/>
    </row>
    <row r="571" spans="1:17">
      <c r="A571" s="483"/>
      <c r="B571" t="s">
        <v>541</v>
      </c>
      <c r="C571" s="486">
        <f>C570*12</f>
        <v>48</v>
      </c>
      <c r="E571" s="40"/>
      <c r="M571" s="483"/>
      <c r="N571" t="s">
        <v>541</v>
      </c>
      <c r="O571" s="486">
        <f>O570*12</f>
        <v>48</v>
      </c>
      <c r="Q571" s="40"/>
    </row>
    <row r="572" spans="1:17">
      <c r="A572" s="483"/>
      <c r="E572" s="40"/>
      <c r="M572" s="483"/>
      <c r="Q572" s="40"/>
    </row>
    <row r="573" spans="1:17" ht="13">
      <c r="A573" s="483"/>
      <c r="B573" s="500" t="s">
        <v>542</v>
      </c>
      <c r="C573" s="501">
        <f>-PMT(E565/12,C571,C569)</f>
        <v>0</v>
      </c>
      <c r="D573" s="500" t="s">
        <v>543</v>
      </c>
      <c r="E573" s="488">
        <f>C573*12</f>
        <v>0</v>
      </c>
      <c r="M573" s="483"/>
      <c r="N573" s="500" t="s">
        <v>542</v>
      </c>
      <c r="O573" s="501">
        <f>-PMT(Q565/12,O571,O569)</f>
        <v>0</v>
      </c>
      <c r="P573" s="500" t="s">
        <v>543</v>
      </c>
      <c r="Q573" s="488">
        <f>O573*12</f>
        <v>0</v>
      </c>
    </row>
    <row r="574" spans="1:17">
      <c r="A574" s="483"/>
      <c r="E574" s="40"/>
      <c r="M574" s="483"/>
      <c r="Q574" s="40"/>
    </row>
    <row r="575" spans="1:17">
      <c r="A575" s="483"/>
      <c r="E575" s="40"/>
      <c r="M575" s="483"/>
      <c r="Q575" s="40"/>
    </row>
    <row r="576" spans="1:17">
      <c r="A576" s="483"/>
      <c r="B576" t="s">
        <v>241</v>
      </c>
      <c r="E576" s="40"/>
      <c r="M576" s="483"/>
      <c r="N576" t="s">
        <v>241</v>
      </c>
      <c r="Q576" s="40"/>
    </row>
    <row r="577" spans="1:17">
      <c r="A577" s="483"/>
      <c r="B577" t="s">
        <v>544</v>
      </c>
      <c r="C577" s="485">
        <f>C573*C571</f>
        <v>0</v>
      </c>
      <c r="E577" s="40"/>
      <c r="M577" s="483"/>
      <c r="N577" t="s">
        <v>544</v>
      </c>
      <c r="O577" s="485">
        <f>O573*O571</f>
        <v>0</v>
      </c>
      <c r="Q577" s="40"/>
    </row>
    <row r="578" spans="1:17">
      <c r="A578" s="483"/>
      <c r="E578" s="40"/>
      <c r="M578" s="483"/>
      <c r="Q578" s="40"/>
    </row>
    <row r="579" spans="1:17" ht="13.5" thickBot="1">
      <c r="A579" s="484"/>
      <c r="B579" s="489" t="s">
        <v>299</v>
      </c>
      <c r="C579" s="490">
        <f>C577-C569</f>
        <v>0</v>
      </c>
      <c r="D579" s="99"/>
      <c r="E579" s="157"/>
      <c r="M579" s="484"/>
      <c r="N579" s="489" t="s">
        <v>299</v>
      </c>
      <c r="O579" s="490">
        <f>O577-O569</f>
        <v>0</v>
      </c>
      <c r="P579" s="99"/>
      <c r="Q579" s="157"/>
    </row>
    <row r="580" spans="1:17" ht="13" thickBot="1"/>
    <row r="581" spans="1:17" ht="13">
      <c r="A581" s="480">
        <v>35</v>
      </c>
      <c r="B581" s="503" t="s">
        <v>533</v>
      </c>
      <c r="C581" s="503"/>
      <c r="D581" s="503"/>
      <c r="E581" s="504"/>
      <c r="M581" s="480">
        <v>35</v>
      </c>
      <c r="N581" s="503" t="s">
        <v>533</v>
      </c>
      <c r="O581" s="503"/>
      <c r="P581" s="503"/>
      <c r="Q581" s="504"/>
    </row>
    <row r="582" spans="1:17">
      <c r="A582" s="483"/>
      <c r="B582" t="s">
        <v>534</v>
      </c>
      <c r="C582" s="485">
        <f>SUMIF(Equipos!$Q$6:$Q$55,A581,Equipos!$O$6:$O$55)</f>
        <v>0</v>
      </c>
      <c r="D582" t="s">
        <v>535</v>
      </c>
      <c r="E582" s="487">
        <v>0.11</v>
      </c>
      <c r="M582" s="483"/>
      <c r="N582" t="s">
        <v>534</v>
      </c>
      <c r="O582" s="485">
        <f>SUMIF(MATERIALES!$P$6:$P$44,M581,MATERIALES!$N$6:$N$44)</f>
        <v>0</v>
      </c>
      <c r="P582" t="s">
        <v>535</v>
      </c>
      <c r="Q582" s="487">
        <v>0.11</v>
      </c>
    </row>
    <row r="583" spans="1:17">
      <c r="A583" s="483"/>
      <c r="B583" t="s">
        <v>536</v>
      </c>
      <c r="C583" s="499">
        <v>0</v>
      </c>
      <c r="D583" t="s">
        <v>537</v>
      </c>
      <c r="E583" s="487">
        <v>0</v>
      </c>
      <c r="M583" s="483"/>
      <c r="N583" t="s">
        <v>536</v>
      </c>
      <c r="O583" s="499">
        <v>0</v>
      </c>
      <c r="P583" t="s">
        <v>537</v>
      </c>
      <c r="Q583" s="487">
        <v>0</v>
      </c>
    </row>
    <row r="584" spans="1:17">
      <c r="A584" s="483"/>
      <c r="B584" t="s">
        <v>538</v>
      </c>
      <c r="C584" s="499">
        <v>0</v>
      </c>
      <c r="E584" s="40"/>
      <c r="M584" s="483"/>
      <c r="N584" t="s">
        <v>538</v>
      </c>
      <c r="O584" s="499">
        <v>0</v>
      </c>
      <c r="Q584" s="40"/>
    </row>
    <row r="585" spans="1:17">
      <c r="A585" s="483"/>
      <c r="E585" s="40"/>
      <c r="M585" s="483"/>
      <c r="Q585" s="40"/>
    </row>
    <row r="586" spans="1:17" ht="13">
      <c r="A586" s="483"/>
      <c r="B586" s="500" t="s">
        <v>539</v>
      </c>
      <c r="C586" s="501">
        <f>C582-C583-C584</f>
        <v>0</v>
      </c>
      <c r="E586" s="40"/>
      <c r="M586" s="483"/>
      <c r="N586" s="500" t="s">
        <v>539</v>
      </c>
      <c r="O586" s="501">
        <f>O582-O583-O584</f>
        <v>0</v>
      </c>
      <c r="Q586" s="40"/>
    </row>
    <row r="587" spans="1:17">
      <c r="A587" s="483"/>
      <c r="B587" t="s">
        <v>540</v>
      </c>
      <c r="C587" s="502">
        <v>4</v>
      </c>
      <c r="E587" s="40"/>
      <c r="M587" s="483"/>
      <c r="N587" t="s">
        <v>540</v>
      </c>
      <c r="O587" s="502">
        <v>4</v>
      </c>
      <c r="Q587" s="40"/>
    </row>
    <row r="588" spans="1:17">
      <c r="A588" s="483"/>
      <c r="B588" t="s">
        <v>541</v>
      </c>
      <c r="C588" s="486">
        <f>C587*12</f>
        <v>48</v>
      </c>
      <c r="E588" s="40"/>
      <c r="M588" s="483"/>
      <c r="N588" t="s">
        <v>541</v>
      </c>
      <c r="O588" s="486">
        <f>O587*12</f>
        <v>48</v>
      </c>
      <c r="Q588" s="40"/>
    </row>
    <row r="589" spans="1:17">
      <c r="A589" s="483"/>
      <c r="E589" s="40"/>
      <c r="M589" s="483"/>
      <c r="Q589" s="40"/>
    </row>
    <row r="590" spans="1:17" ht="13">
      <c r="A590" s="483"/>
      <c r="B590" s="500" t="s">
        <v>542</v>
      </c>
      <c r="C590" s="501">
        <f>-PMT(E582/12,C588,C586)</f>
        <v>0</v>
      </c>
      <c r="D590" s="500" t="s">
        <v>543</v>
      </c>
      <c r="E590" s="488">
        <f>C590*12</f>
        <v>0</v>
      </c>
      <c r="M590" s="483"/>
      <c r="N590" s="500" t="s">
        <v>542</v>
      </c>
      <c r="O590" s="501">
        <f>-PMT(Q582/12,O588,O586)</f>
        <v>0</v>
      </c>
      <c r="P590" s="500" t="s">
        <v>543</v>
      </c>
      <c r="Q590" s="488">
        <f>O590*12</f>
        <v>0</v>
      </c>
    </row>
    <row r="591" spans="1:17">
      <c r="A591" s="483"/>
      <c r="E591" s="40"/>
      <c r="M591" s="483"/>
      <c r="Q591" s="40"/>
    </row>
    <row r="592" spans="1:17">
      <c r="A592" s="483"/>
      <c r="E592" s="40"/>
      <c r="M592" s="483"/>
      <c r="Q592" s="40"/>
    </row>
    <row r="593" spans="1:17">
      <c r="A593" s="483"/>
      <c r="B593" t="s">
        <v>241</v>
      </c>
      <c r="E593" s="40"/>
      <c r="M593" s="483"/>
      <c r="N593" t="s">
        <v>241</v>
      </c>
      <c r="Q593" s="40"/>
    </row>
    <row r="594" spans="1:17">
      <c r="A594" s="483"/>
      <c r="B594" t="s">
        <v>544</v>
      </c>
      <c r="C594" s="485">
        <f>C590*C588</f>
        <v>0</v>
      </c>
      <c r="E594" s="40"/>
      <c r="M594" s="483"/>
      <c r="N594" t="s">
        <v>544</v>
      </c>
      <c r="O594" s="485">
        <f>O590*O588</f>
        <v>0</v>
      </c>
      <c r="Q594" s="40"/>
    </row>
    <row r="595" spans="1:17">
      <c r="A595" s="483"/>
      <c r="E595" s="40"/>
      <c r="M595" s="483"/>
      <c r="Q595" s="40"/>
    </row>
    <row r="596" spans="1:17" ht="13.5" thickBot="1">
      <c r="A596" s="484"/>
      <c r="B596" s="489" t="s">
        <v>299</v>
      </c>
      <c r="C596" s="490">
        <f>C594-C586</f>
        <v>0</v>
      </c>
      <c r="D596" s="99"/>
      <c r="E596" s="157"/>
      <c r="M596" s="484"/>
      <c r="N596" s="489" t="s">
        <v>299</v>
      </c>
      <c r="O596" s="490">
        <f>O594-O586</f>
        <v>0</v>
      </c>
      <c r="P596" s="99"/>
      <c r="Q596" s="157"/>
    </row>
    <row r="597" spans="1:17" ht="13" thickBot="1"/>
    <row r="598" spans="1:17" ht="13">
      <c r="A598" s="480">
        <v>36</v>
      </c>
      <c r="B598" s="503" t="s">
        <v>533</v>
      </c>
      <c r="C598" s="503"/>
      <c r="D598" s="503"/>
      <c r="E598" s="504"/>
      <c r="M598" s="480">
        <v>36</v>
      </c>
      <c r="N598" s="503" t="s">
        <v>533</v>
      </c>
      <c r="O598" s="503"/>
      <c r="P598" s="503"/>
      <c r="Q598" s="504"/>
    </row>
    <row r="599" spans="1:17">
      <c r="A599" s="483"/>
      <c r="B599" t="s">
        <v>534</v>
      </c>
      <c r="C599" s="485">
        <f>SUMIF(Equipos!$Q$6:$Q$55,A598,Equipos!$O$6:$O$55)</f>
        <v>0</v>
      </c>
      <c r="D599" t="s">
        <v>535</v>
      </c>
      <c r="E599" s="487">
        <v>0.11</v>
      </c>
      <c r="M599" s="483"/>
      <c r="N599" t="s">
        <v>534</v>
      </c>
      <c r="O599" s="485">
        <f>SUMIF(MATERIALES!$P$6:$P$44,M598,MATERIALES!$N$6:$N$44)</f>
        <v>0</v>
      </c>
      <c r="P599" t="s">
        <v>535</v>
      </c>
      <c r="Q599" s="487">
        <v>0.11</v>
      </c>
    </row>
    <row r="600" spans="1:17">
      <c r="A600" s="483"/>
      <c r="B600" t="s">
        <v>536</v>
      </c>
      <c r="C600" s="499">
        <v>0</v>
      </c>
      <c r="D600" t="s">
        <v>537</v>
      </c>
      <c r="E600" s="487">
        <v>0</v>
      </c>
      <c r="M600" s="483"/>
      <c r="N600" t="s">
        <v>536</v>
      </c>
      <c r="O600" s="499">
        <v>0</v>
      </c>
      <c r="P600" t="s">
        <v>537</v>
      </c>
      <c r="Q600" s="487">
        <v>0</v>
      </c>
    </row>
    <row r="601" spans="1:17">
      <c r="A601" s="483"/>
      <c r="B601" t="s">
        <v>538</v>
      </c>
      <c r="C601" s="499">
        <v>0</v>
      </c>
      <c r="E601" s="40"/>
      <c r="M601" s="483"/>
      <c r="N601" t="s">
        <v>538</v>
      </c>
      <c r="O601" s="499">
        <v>0</v>
      </c>
      <c r="Q601" s="40"/>
    </row>
    <row r="602" spans="1:17">
      <c r="A602" s="483"/>
      <c r="E602" s="40"/>
      <c r="M602" s="483"/>
      <c r="Q602" s="40"/>
    </row>
    <row r="603" spans="1:17" ht="13">
      <c r="A603" s="483"/>
      <c r="B603" s="500" t="s">
        <v>539</v>
      </c>
      <c r="C603" s="501">
        <f>C599-C600-C601</f>
        <v>0</v>
      </c>
      <c r="E603" s="40"/>
      <c r="M603" s="483"/>
      <c r="N603" s="500" t="s">
        <v>539</v>
      </c>
      <c r="O603" s="501">
        <f>O599-O600-O601</f>
        <v>0</v>
      </c>
      <c r="Q603" s="40"/>
    </row>
    <row r="604" spans="1:17">
      <c r="A604" s="483"/>
      <c r="B604" t="s">
        <v>540</v>
      </c>
      <c r="C604" s="502">
        <v>4</v>
      </c>
      <c r="E604" s="40"/>
      <c r="M604" s="483"/>
      <c r="N604" t="s">
        <v>540</v>
      </c>
      <c r="O604" s="502">
        <v>4</v>
      </c>
      <c r="Q604" s="40"/>
    </row>
    <row r="605" spans="1:17">
      <c r="A605" s="483"/>
      <c r="B605" t="s">
        <v>541</v>
      </c>
      <c r="C605" s="486">
        <f>C604*12</f>
        <v>48</v>
      </c>
      <c r="E605" s="40"/>
      <c r="M605" s="483"/>
      <c r="N605" t="s">
        <v>541</v>
      </c>
      <c r="O605" s="486">
        <f>O604*12</f>
        <v>48</v>
      </c>
      <c r="Q605" s="40"/>
    </row>
    <row r="606" spans="1:17">
      <c r="A606" s="483"/>
      <c r="E606" s="40"/>
      <c r="M606" s="483"/>
      <c r="Q606" s="40"/>
    </row>
    <row r="607" spans="1:17" ht="13">
      <c r="A607" s="483"/>
      <c r="B607" s="500" t="s">
        <v>542</v>
      </c>
      <c r="C607" s="501">
        <f>-PMT(E599/12,C605,C603)</f>
        <v>0</v>
      </c>
      <c r="D607" s="500" t="s">
        <v>543</v>
      </c>
      <c r="E607" s="488">
        <f>C607*12</f>
        <v>0</v>
      </c>
      <c r="M607" s="483"/>
      <c r="N607" s="500" t="s">
        <v>542</v>
      </c>
      <c r="O607" s="501">
        <f>-PMT(Q599/12,O605,O603)</f>
        <v>0</v>
      </c>
      <c r="P607" s="500" t="s">
        <v>543</v>
      </c>
      <c r="Q607" s="488">
        <f>O607*12</f>
        <v>0</v>
      </c>
    </row>
    <row r="608" spans="1:17">
      <c r="A608" s="483"/>
      <c r="E608" s="40"/>
      <c r="M608" s="483"/>
      <c r="Q608" s="40"/>
    </row>
    <row r="609" spans="1:17">
      <c r="A609" s="483"/>
      <c r="E609" s="40"/>
      <c r="M609" s="483"/>
      <c r="Q609" s="40"/>
    </row>
    <row r="610" spans="1:17">
      <c r="A610" s="483"/>
      <c r="B610" t="s">
        <v>241</v>
      </c>
      <c r="E610" s="40"/>
      <c r="M610" s="483"/>
      <c r="N610" t="s">
        <v>241</v>
      </c>
      <c r="Q610" s="40"/>
    </row>
    <row r="611" spans="1:17">
      <c r="A611" s="483"/>
      <c r="B611" t="s">
        <v>544</v>
      </c>
      <c r="C611" s="485">
        <f>C607*C605</f>
        <v>0</v>
      </c>
      <c r="E611" s="40"/>
      <c r="M611" s="483"/>
      <c r="N611" t="s">
        <v>544</v>
      </c>
      <c r="O611" s="485">
        <f>O607*O605</f>
        <v>0</v>
      </c>
      <c r="Q611" s="40"/>
    </row>
    <row r="612" spans="1:17">
      <c r="A612" s="483"/>
      <c r="E612" s="40"/>
      <c r="M612" s="483"/>
      <c r="Q612" s="40"/>
    </row>
    <row r="613" spans="1:17" ht="13.5" thickBot="1">
      <c r="A613" s="484"/>
      <c r="B613" s="489" t="s">
        <v>299</v>
      </c>
      <c r="C613" s="490">
        <f>C611-C603</f>
        <v>0</v>
      </c>
      <c r="D613" s="99"/>
      <c r="E613" s="157"/>
      <c r="M613" s="484"/>
      <c r="N613" s="489" t="s">
        <v>299</v>
      </c>
      <c r="O613" s="490">
        <f>O611-O603</f>
        <v>0</v>
      </c>
      <c r="P613" s="99"/>
      <c r="Q613" s="157"/>
    </row>
    <row r="614" spans="1:17" ht="13" thickBot="1"/>
    <row r="615" spans="1:17" ht="13">
      <c r="A615" s="480">
        <v>37</v>
      </c>
      <c r="B615" s="503" t="s">
        <v>533</v>
      </c>
      <c r="C615" s="503"/>
      <c r="D615" s="503"/>
      <c r="E615" s="504"/>
      <c r="M615" s="480">
        <v>37</v>
      </c>
      <c r="N615" s="503" t="s">
        <v>533</v>
      </c>
      <c r="O615" s="503"/>
      <c r="P615" s="503"/>
      <c r="Q615" s="504"/>
    </row>
    <row r="616" spans="1:17">
      <c r="A616" s="483"/>
      <c r="B616" t="s">
        <v>534</v>
      </c>
      <c r="C616" s="485">
        <f>SUMIF(Equipos!$Q$6:$Q$55,A615,Equipos!$O$6:$O$55)</f>
        <v>0</v>
      </c>
      <c r="D616" t="s">
        <v>535</v>
      </c>
      <c r="E616" s="487">
        <v>0.11</v>
      </c>
      <c r="M616" s="483"/>
      <c r="N616" t="s">
        <v>534</v>
      </c>
      <c r="O616" s="485">
        <f>SUMIF(MATERIALES!$P$6:$P$44,M615,MATERIALES!$N$6:$N$44)</f>
        <v>0</v>
      </c>
      <c r="P616" t="s">
        <v>535</v>
      </c>
      <c r="Q616" s="487">
        <v>0.11</v>
      </c>
    </row>
    <row r="617" spans="1:17">
      <c r="A617" s="483"/>
      <c r="B617" t="s">
        <v>536</v>
      </c>
      <c r="C617" s="499">
        <v>0</v>
      </c>
      <c r="D617" t="s">
        <v>537</v>
      </c>
      <c r="E617" s="487">
        <v>0</v>
      </c>
      <c r="M617" s="483"/>
      <c r="N617" t="s">
        <v>536</v>
      </c>
      <c r="O617" s="499">
        <v>0</v>
      </c>
      <c r="P617" t="s">
        <v>537</v>
      </c>
      <c r="Q617" s="487">
        <v>0</v>
      </c>
    </row>
    <row r="618" spans="1:17">
      <c r="A618" s="483"/>
      <c r="B618" t="s">
        <v>538</v>
      </c>
      <c r="C618" s="499">
        <v>0</v>
      </c>
      <c r="E618" s="40"/>
      <c r="M618" s="483"/>
      <c r="N618" t="s">
        <v>538</v>
      </c>
      <c r="O618" s="499">
        <v>0</v>
      </c>
      <c r="Q618" s="40"/>
    </row>
    <row r="619" spans="1:17">
      <c r="A619" s="483"/>
      <c r="E619" s="40"/>
      <c r="M619" s="483"/>
      <c r="Q619" s="40"/>
    </row>
    <row r="620" spans="1:17" ht="13">
      <c r="A620" s="483"/>
      <c r="B620" s="500" t="s">
        <v>539</v>
      </c>
      <c r="C620" s="501">
        <f>C616-C617-C618</f>
        <v>0</v>
      </c>
      <c r="E620" s="40"/>
      <c r="M620" s="483"/>
      <c r="N620" s="500" t="s">
        <v>539</v>
      </c>
      <c r="O620" s="501">
        <f>O616-O617-O618</f>
        <v>0</v>
      </c>
      <c r="Q620" s="40"/>
    </row>
    <row r="621" spans="1:17">
      <c r="A621" s="483"/>
      <c r="B621" t="s">
        <v>540</v>
      </c>
      <c r="C621" s="502">
        <v>4</v>
      </c>
      <c r="E621" s="40"/>
      <c r="M621" s="483"/>
      <c r="N621" t="s">
        <v>540</v>
      </c>
      <c r="O621" s="502">
        <v>4</v>
      </c>
      <c r="Q621" s="40"/>
    </row>
    <row r="622" spans="1:17">
      <c r="A622" s="483"/>
      <c r="B622" t="s">
        <v>541</v>
      </c>
      <c r="C622" s="486">
        <f>C621*12</f>
        <v>48</v>
      </c>
      <c r="E622" s="40"/>
      <c r="M622" s="483"/>
      <c r="N622" t="s">
        <v>541</v>
      </c>
      <c r="O622" s="486">
        <f>O621*12</f>
        <v>48</v>
      </c>
      <c r="Q622" s="40"/>
    </row>
    <row r="623" spans="1:17">
      <c r="A623" s="483"/>
      <c r="E623" s="40"/>
      <c r="M623" s="483"/>
      <c r="Q623" s="40"/>
    </row>
    <row r="624" spans="1:17" ht="13">
      <c r="A624" s="483"/>
      <c r="B624" s="500" t="s">
        <v>542</v>
      </c>
      <c r="C624" s="501">
        <f>-PMT(E616/12,C622,C620)</f>
        <v>0</v>
      </c>
      <c r="D624" s="500" t="s">
        <v>543</v>
      </c>
      <c r="E624" s="488">
        <f>C624*12</f>
        <v>0</v>
      </c>
      <c r="M624" s="483"/>
      <c r="N624" s="500" t="s">
        <v>542</v>
      </c>
      <c r="O624" s="501">
        <f>-PMT(Q616/12,O622,O620)</f>
        <v>0</v>
      </c>
      <c r="P624" s="500" t="s">
        <v>543</v>
      </c>
      <c r="Q624" s="488">
        <f>O624*12</f>
        <v>0</v>
      </c>
    </row>
    <row r="625" spans="1:17">
      <c r="A625" s="483"/>
      <c r="E625" s="40"/>
      <c r="M625" s="483"/>
      <c r="Q625" s="40"/>
    </row>
    <row r="626" spans="1:17">
      <c r="A626" s="483"/>
      <c r="E626" s="40"/>
      <c r="M626" s="483"/>
      <c r="Q626" s="40"/>
    </row>
    <row r="627" spans="1:17">
      <c r="A627" s="483"/>
      <c r="B627" t="s">
        <v>241</v>
      </c>
      <c r="E627" s="40"/>
      <c r="M627" s="483"/>
      <c r="N627" t="s">
        <v>241</v>
      </c>
      <c r="Q627" s="40"/>
    </row>
    <row r="628" spans="1:17">
      <c r="A628" s="483"/>
      <c r="B628" t="s">
        <v>544</v>
      </c>
      <c r="C628" s="485">
        <f>C624*C622</f>
        <v>0</v>
      </c>
      <c r="E628" s="40"/>
      <c r="M628" s="483"/>
      <c r="N628" t="s">
        <v>544</v>
      </c>
      <c r="O628" s="485">
        <f>O624*O622</f>
        <v>0</v>
      </c>
      <c r="Q628" s="40"/>
    </row>
    <row r="629" spans="1:17">
      <c r="A629" s="483"/>
      <c r="E629" s="40"/>
      <c r="M629" s="483"/>
      <c r="Q629" s="40"/>
    </row>
    <row r="630" spans="1:17" ht="13.5" thickBot="1">
      <c r="A630" s="484"/>
      <c r="B630" s="489" t="s">
        <v>299</v>
      </c>
      <c r="C630" s="490">
        <f>C628-C620</f>
        <v>0</v>
      </c>
      <c r="D630" s="99"/>
      <c r="E630" s="157"/>
      <c r="M630" s="484"/>
      <c r="N630" s="489" t="s">
        <v>299</v>
      </c>
      <c r="O630" s="490">
        <f>O628-O620</f>
        <v>0</v>
      </c>
      <c r="P630" s="99"/>
      <c r="Q630" s="157"/>
    </row>
    <row r="631" spans="1:17" ht="13" thickBot="1"/>
    <row r="632" spans="1:17" ht="13">
      <c r="A632" s="480">
        <v>38</v>
      </c>
      <c r="B632" s="503" t="s">
        <v>533</v>
      </c>
      <c r="C632" s="503"/>
      <c r="D632" s="503"/>
      <c r="E632" s="504"/>
      <c r="M632" s="480">
        <v>38</v>
      </c>
      <c r="N632" s="503" t="s">
        <v>533</v>
      </c>
      <c r="O632" s="503"/>
      <c r="P632" s="503"/>
      <c r="Q632" s="504"/>
    </row>
    <row r="633" spans="1:17">
      <c r="A633" s="483"/>
      <c r="B633" t="s">
        <v>534</v>
      </c>
      <c r="C633" s="485">
        <f>SUMIF(Equipos!$Q$6:$Q$55,A632,Equipos!$O$6:$O$55)</f>
        <v>0</v>
      </c>
      <c r="D633" t="s">
        <v>535</v>
      </c>
      <c r="E633" s="487">
        <v>0.11</v>
      </c>
      <c r="M633" s="483"/>
      <c r="N633" t="s">
        <v>534</v>
      </c>
      <c r="O633" s="485">
        <f>SUMIF(MATERIALES!$P$6:$P$44,M632,MATERIALES!$N$6:$N$44)</f>
        <v>0</v>
      </c>
      <c r="P633" t="s">
        <v>535</v>
      </c>
      <c r="Q633" s="487">
        <v>0.11</v>
      </c>
    </row>
    <row r="634" spans="1:17">
      <c r="A634" s="483"/>
      <c r="B634" t="s">
        <v>536</v>
      </c>
      <c r="C634" s="499">
        <v>0</v>
      </c>
      <c r="D634" t="s">
        <v>537</v>
      </c>
      <c r="E634" s="487">
        <v>0</v>
      </c>
      <c r="M634" s="483"/>
      <c r="N634" t="s">
        <v>536</v>
      </c>
      <c r="O634" s="499">
        <v>0</v>
      </c>
      <c r="P634" t="s">
        <v>537</v>
      </c>
      <c r="Q634" s="487">
        <v>0</v>
      </c>
    </row>
    <row r="635" spans="1:17">
      <c r="A635" s="483"/>
      <c r="B635" t="s">
        <v>538</v>
      </c>
      <c r="C635" s="499">
        <v>0</v>
      </c>
      <c r="E635" s="40"/>
      <c r="M635" s="483"/>
      <c r="N635" t="s">
        <v>538</v>
      </c>
      <c r="O635" s="499">
        <v>0</v>
      </c>
      <c r="Q635" s="40"/>
    </row>
    <row r="636" spans="1:17">
      <c r="A636" s="483"/>
      <c r="E636" s="40"/>
      <c r="M636" s="483"/>
      <c r="Q636" s="40"/>
    </row>
    <row r="637" spans="1:17" ht="13">
      <c r="A637" s="483"/>
      <c r="B637" s="500" t="s">
        <v>539</v>
      </c>
      <c r="C637" s="501">
        <f>C633-C634-C635</f>
        <v>0</v>
      </c>
      <c r="E637" s="40"/>
      <c r="M637" s="483"/>
      <c r="N637" s="500" t="s">
        <v>539</v>
      </c>
      <c r="O637" s="501">
        <f>O633-O634-O635</f>
        <v>0</v>
      </c>
      <c r="Q637" s="40"/>
    </row>
    <row r="638" spans="1:17">
      <c r="A638" s="483"/>
      <c r="B638" t="s">
        <v>540</v>
      </c>
      <c r="C638" s="502">
        <v>4</v>
      </c>
      <c r="E638" s="40"/>
      <c r="M638" s="483"/>
      <c r="N638" t="s">
        <v>540</v>
      </c>
      <c r="O638" s="502">
        <v>4</v>
      </c>
      <c r="Q638" s="40"/>
    </row>
    <row r="639" spans="1:17">
      <c r="A639" s="483"/>
      <c r="B639" t="s">
        <v>541</v>
      </c>
      <c r="C639" s="486">
        <f>C638*12</f>
        <v>48</v>
      </c>
      <c r="E639" s="40"/>
      <c r="M639" s="483"/>
      <c r="N639" t="s">
        <v>541</v>
      </c>
      <c r="O639" s="486">
        <f>O638*12</f>
        <v>48</v>
      </c>
      <c r="Q639" s="40"/>
    </row>
    <row r="640" spans="1:17">
      <c r="A640" s="483"/>
      <c r="E640" s="40"/>
      <c r="M640" s="483"/>
      <c r="Q640" s="40"/>
    </row>
    <row r="641" spans="1:17" ht="13">
      <c r="A641" s="483"/>
      <c r="B641" s="500" t="s">
        <v>542</v>
      </c>
      <c r="C641" s="501">
        <f>-PMT(E633/12,C639,C637)</f>
        <v>0</v>
      </c>
      <c r="D641" s="500" t="s">
        <v>543</v>
      </c>
      <c r="E641" s="488">
        <f>C641*12</f>
        <v>0</v>
      </c>
      <c r="M641" s="483"/>
      <c r="N641" s="500" t="s">
        <v>542</v>
      </c>
      <c r="O641" s="501">
        <f>-PMT(Q633/12,O639,O637)</f>
        <v>0</v>
      </c>
      <c r="P641" s="500" t="s">
        <v>543</v>
      </c>
      <c r="Q641" s="488">
        <f>O641*12</f>
        <v>0</v>
      </c>
    </row>
    <row r="642" spans="1:17">
      <c r="A642" s="483"/>
      <c r="E642" s="40"/>
      <c r="M642" s="483"/>
      <c r="Q642" s="40"/>
    </row>
    <row r="643" spans="1:17">
      <c r="A643" s="483"/>
      <c r="E643" s="40"/>
      <c r="M643" s="483"/>
      <c r="Q643" s="40"/>
    </row>
    <row r="644" spans="1:17">
      <c r="A644" s="483"/>
      <c r="B644" t="s">
        <v>241</v>
      </c>
      <c r="E644" s="40"/>
      <c r="M644" s="483"/>
      <c r="N644" t="s">
        <v>241</v>
      </c>
      <c r="Q644" s="40"/>
    </row>
    <row r="645" spans="1:17">
      <c r="A645" s="483"/>
      <c r="B645" t="s">
        <v>544</v>
      </c>
      <c r="C645" s="485">
        <f>C641*C639</f>
        <v>0</v>
      </c>
      <c r="E645" s="40"/>
      <c r="M645" s="483"/>
      <c r="N645" t="s">
        <v>544</v>
      </c>
      <c r="O645" s="485">
        <f>O641*O639</f>
        <v>0</v>
      </c>
      <c r="Q645" s="40"/>
    </row>
    <row r="646" spans="1:17">
      <c r="A646" s="483"/>
      <c r="E646" s="40"/>
      <c r="M646" s="483"/>
      <c r="Q646" s="40"/>
    </row>
    <row r="647" spans="1:17" ht="13.5" thickBot="1">
      <c r="A647" s="484"/>
      <c r="B647" s="489" t="s">
        <v>299</v>
      </c>
      <c r="C647" s="490">
        <f>C645-C637</f>
        <v>0</v>
      </c>
      <c r="D647" s="99"/>
      <c r="E647" s="157"/>
      <c r="M647" s="484"/>
      <c r="N647" s="489" t="s">
        <v>299</v>
      </c>
      <c r="O647" s="490">
        <f>O645-O637</f>
        <v>0</v>
      </c>
      <c r="P647" s="99"/>
      <c r="Q647" s="157"/>
    </row>
    <row r="648" spans="1:17" ht="13" thickBot="1"/>
    <row r="649" spans="1:17" ht="13">
      <c r="A649" s="480">
        <v>39</v>
      </c>
      <c r="B649" s="503" t="s">
        <v>533</v>
      </c>
      <c r="C649" s="503"/>
      <c r="D649" s="503"/>
      <c r="E649" s="504"/>
      <c r="M649" s="480">
        <v>39</v>
      </c>
      <c r="N649" s="503" t="s">
        <v>533</v>
      </c>
      <c r="O649" s="503"/>
      <c r="P649" s="503"/>
      <c r="Q649" s="504"/>
    </row>
    <row r="650" spans="1:17">
      <c r="A650" s="483"/>
      <c r="B650" t="s">
        <v>534</v>
      </c>
      <c r="C650" s="485">
        <f>SUMIF(Equipos!$Q$6:$Q$55,A649,Equipos!$O$6:$O$55)</f>
        <v>0</v>
      </c>
      <c r="D650" t="s">
        <v>535</v>
      </c>
      <c r="E650" s="487">
        <v>0.11</v>
      </c>
      <c r="M650" s="483"/>
      <c r="N650" t="s">
        <v>534</v>
      </c>
      <c r="O650" s="485">
        <f>SUMIF(MATERIALES!$P$6:$P$44,M649,MATERIALES!$N$6:$N$44)</f>
        <v>0</v>
      </c>
      <c r="P650" t="s">
        <v>535</v>
      </c>
      <c r="Q650" s="487">
        <v>0.11</v>
      </c>
    </row>
    <row r="651" spans="1:17">
      <c r="A651" s="483"/>
      <c r="B651" t="s">
        <v>536</v>
      </c>
      <c r="C651" s="499">
        <v>0</v>
      </c>
      <c r="D651" t="s">
        <v>537</v>
      </c>
      <c r="E651" s="487">
        <v>0</v>
      </c>
      <c r="M651" s="483"/>
      <c r="N651" t="s">
        <v>536</v>
      </c>
      <c r="O651" s="499">
        <v>0</v>
      </c>
      <c r="P651" t="s">
        <v>537</v>
      </c>
      <c r="Q651" s="487">
        <v>0</v>
      </c>
    </row>
    <row r="652" spans="1:17">
      <c r="A652" s="483"/>
      <c r="B652" t="s">
        <v>538</v>
      </c>
      <c r="C652" s="499">
        <v>0</v>
      </c>
      <c r="E652" s="40"/>
      <c r="M652" s="483"/>
      <c r="N652" t="s">
        <v>538</v>
      </c>
      <c r="O652" s="499">
        <v>0</v>
      </c>
      <c r="Q652" s="40"/>
    </row>
    <row r="653" spans="1:17">
      <c r="A653" s="483"/>
      <c r="E653" s="40"/>
      <c r="M653" s="483"/>
      <c r="Q653" s="40"/>
    </row>
    <row r="654" spans="1:17" ht="13">
      <c r="A654" s="483"/>
      <c r="B654" s="500" t="s">
        <v>539</v>
      </c>
      <c r="C654" s="501">
        <f>C650-C651-C652</f>
        <v>0</v>
      </c>
      <c r="E654" s="40"/>
      <c r="M654" s="483"/>
      <c r="N654" s="500" t="s">
        <v>539</v>
      </c>
      <c r="O654" s="501">
        <f>O650-O651-O652</f>
        <v>0</v>
      </c>
      <c r="Q654" s="40"/>
    </row>
    <row r="655" spans="1:17">
      <c r="A655" s="483"/>
      <c r="B655" t="s">
        <v>540</v>
      </c>
      <c r="C655" s="502">
        <v>4</v>
      </c>
      <c r="E655" s="40"/>
      <c r="M655" s="483"/>
      <c r="N655" t="s">
        <v>540</v>
      </c>
      <c r="O655" s="502">
        <v>4</v>
      </c>
      <c r="Q655" s="40"/>
    </row>
    <row r="656" spans="1:17">
      <c r="A656" s="483"/>
      <c r="B656" t="s">
        <v>541</v>
      </c>
      <c r="C656" s="486">
        <f>C655*12</f>
        <v>48</v>
      </c>
      <c r="E656" s="40"/>
      <c r="M656" s="483"/>
      <c r="N656" t="s">
        <v>541</v>
      </c>
      <c r="O656" s="486">
        <f>O655*12</f>
        <v>48</v>
      </c>
      <c r="Q656" s="40"/>
    </row>
    <row r="657" spans="1:17">
      <c r="A657" s="483"/>
      <c r="E657" s="40"/>
      <c r="M657" s="483"/>
      <c r="Q657" s="40"/>
    </row>
    <row r="658" spans="1:17" ht="13">
      <c r="A658" s="483"/>
      <c r="B658" s="500" t="s">
        <v>542</v>
      </c>
      <c r="C658" s="501">
        <f>-PMT(E650/12,C656,C654)</f>
        <v>0</v>
      </c>
      <c r="D658" s="500" t="s">
        <v>543</v>
      </c>
      <c r="E658" s="488">
        <f>C658*12</f>
        <v>0</v>
      </c>
      <c r="M658" s="483"/>
      <c r="N658" s="500" t="s">
        <v>542</v>
      </c>
      <c r="O658" s="501">
        <f>-PMT(Q650/12,O656,O654)</f>
        <v>0</v>
      </c>
      <c r="P658" s="500" t="s">
        <v>543</v>
      </c>
      <c r="Q658" s="488">
        <f>O658*12</f>
        <v>0</v>
      </c>
    </row>
    <row r="659" spans="1:17">
      <c r="A659" s="483"/>
      <c r="E659" s="40"/>
      <c r="M659" s="483"/>
      <c r="Q659" s="40"/>
    </row>
    <row r="660" spans="1:17">
      <c r="A660" s="483"/>
      <c r="E660" s="40"/>
      <c r="M660" s="483"/>
      <c r="Q660" s="40"/>
    </row>
    <row r="661" spans="1:17">
      <c r="A661" s="483"/>
      <c r="B661" t="s">
        <v>241</v>
      </c>
      <c r="E661" s="40"/>
      <c r="M661" s="483"/>
      <c r="N661" t="s">
        <v>241</v>
      </c>
      <c r="Q661" s="40"/>
    </row>
    <row r="662" spans="1:17">
      <c r="A662" s="483"/>
      <c r="B662" t="s">
        <v>544</v>
      </c>
      <c r="C662" s="485">
        <f>C658*C656</f>
        <v>0</v>
      </c>
      <c r="E662" s="40"/>
      <c r="M662" s="483"/>
      <c r="N662" t="s">
        <v>544</v>
      </c>
      <c r="O662" s="485">
        <f>O658*O656</f>
        <v>0</v>
      </c>
      <c r="Q662" s="40"/>
    </row>
    <row r="663" spans="1:17">
      <c r="A663" s="483"/>
      <c r="E663" s="40"/>
      <c r="M663" s="483"/>
      <c r="Q663" s="40"/>
    </row>
    <row r="664" spans="1:17" ht="13.5" thickBot="1">
      <c r="A664" s="484"/>
      <c r="B664" s="489" t="s">
        <v>299</v>
      </c>
      <c r="C664" s="490">
        <f>C662-C654</f>
        <v>0</v>
      </c>
      <c r="D664" s="99"/>
      <c r="E664" s="157"/>
      <c r="M664" s="484"/>
      <c r="N664" s="489" t="s">
        <v>299</v>
      </c>
      <c r="O664" s="490">
        <f>O662-O654</f>
        <v>0</v>
      </c>
      <c r="P664" s="99"/>
      <c r="Q664" s="157"/>
    </row>
    <row r="665" spans="1:17" ht="13" thickBot="1"/>
    <row r="666" spans="1:17" ht="13">
      <c r="A666" s="480">
        <v>40</v>
      </c>
      <c r="B666" s="503" t="s">
        <v>533</v>
      </c>
      <c r="C666" s="503"/>
      <c r="D666" s="503"/>
      <c r="E666" s="504"/>
    </row>
    <row r="667" spans="1:17">
      <c r="A667" s="483"/>
      <c r="B667" t="s">
        <v>534</v>
      </c>
      <c r="C667" s="485">
        <f>SUMIF(Equipos!$Q$6:$Q$55,A666,Equipos!$O$6:$O$55)</f>
        <v>0</v>
      </c>
      <c r="D667" t="s">
        <v>535</v>
      </c>
      <c r="E667" s="487">
        <v>0.11</v>
      </c>
    </row>
    <row r="668" spans="1:17">
      <c r="A668" s="483"/>
      <c r="B668" t="s">
        <v>536</v>
      </c>
      <c r="C668" s="499">
        <v>0</v>
      </c>
      <c r="D668" t="s">
        <v>537</v>
      </c>
      <c r="E668" s="487">
        <v>0</v>
      </c>
    </row>
    <row r="669" spans="1:17">
      <c r="A669" s="483"/>
      <c r="B669" t="s">
        <v>538</v>
      </c>
      <c r="C669" s="499">
        <v>0</v>
      </c>
      <c r="E669" s="40"/>
    </row>
    <row r="670" spans="1:17">
      <c r="A670" s="483"/>
      <c r="E670" s="40"/>
    </row>
    <row r="671" spans="1:17" ht="13">
      <c r="A671" s="483"/>
      <c r="B671" s="500" t="s">
        <v>539</v>
      </c>
      <c r="C671" s="501">
        <f>C667-C668-C669</f>
        <v>0</v>
      </c>
      <c r="E671" s="40"/>
    </row>
    <row r="672" spans="1:17">
      <c r="A672" s="483"/>
      <c r="B672" t="s">
        <v>540</v>
      </c>
      <c r="C672" s="502">
        <v>4</v>
      </c>
      <c r="E672" s="40"/>
    </row>
    <row r="673" spans="1:5">
      <c r="A673" s="483"/>
      <c r="B673" t="s">
        <v>541</v>
      </c>
      <c r="C673" s="486">
        <f>C672*12</f>
        <v>48</v>
      </c>
      <c r="E673" s="40"/>
    </row>
    <row r="674" spans="1:5">
      <c r="A674" s="483"/>
      <c r="E674" s="40"/>
    </row>
    <row r="675" spans="1:5" ht="13">
      <c r="A675" s="483"/>
      <c r="B675" s="500" t="s">
        <v>542</v>
      </c>
      <c r="C675" s="501">
        <f>-PMT(E667/12,C673,C671)</f>
        <v>0</v>
      </c>
      <c r="D675" s="500" t="s">
        <v>543</v>
      </c>
      <c r="E675" s="488">
        <f>C675*12</f>
        <v>0</v>
      </c>
    </row>
    <row r="676" spans="1:5">
      <c r="A676" s="483"/>
      <c r="E676" s="40"/>
    </row>
    <row r="677" spans="1:5">
      <c r="A677" s="483"/>
      <c r="E677" s="40"/>
    </row>
    <row r="678" spans="1:5">
      <c r="A678" s="483"/>
      <c r="B678" t="s">
        <v>241</v>
      </c>
      <c r="E678" s="40"/>
    </row>
    <row r="679" spans="1:5">
      <c r="A679" s="483"/>
      <c r="B679" t="s">
        <v>544</v>
      </c>
      <c r="C679" s="485">
        <f>C675*C673</f>
        <v>0</v>
      </c>
      <c r="E679" s="40"/>
    </row>
    <row r="680" spans="1:5">
      <c r="A680" s="483"/>
      <c r="E680" s="40"/>
    </row>
    <row r="681" spans="1:5" ht="13.5" thickBot="1">
      <c r="A681" s="484"/>
      <c r="B681" s="489" t="s">
        <v>299</v>
      </c>
      <c r="C681" s="490">
        <f>C679-C671</f>
        <v>0</v>
      </c>
      <c r="D681" s="99"/>
      <c r="E681" s="157"/>
    </row>
    <row r="682" spans="1:5" ht="13" thickBot="1"/>
    <row r="683" spans="1:5" ht="13">
      <c r="A683" s="480">
        <v>41</v>
      </c>
      <c r="B683" s="503" t="s">
        <v>533</v>
      </c>
      <c r="C683" s="503"/>
      <c r="D683" s="503"/>
      <c r="E683" s="504"/>
    </row>
    <row r="684" spans="1:5">
      <c r="A684" s="483"/>
      <c r="B684" t="s">
        <v>534</v>
      </c>
      <c r="C684" s="485">
        <f>SUMIF(Equipos!$Q$6:$Q$55,A683,Equipos!$O$6:$O$55)</f>
        <v>0</v>
      </c>
      <c r="D684" t="s">
        <v>535</v>
      </c>
      <c r="E684" s="487">
        <v>0.11</v>
      </c>
    </row>
    <row r="685" spans="1:5">
      <c r="A685" s="483"/>
      <c r="B685" t="s">
        <v>536</v>
      </c>
      <c r="C685" s="499">
        <v>0</v>
      </c>
      <c r="D685" t="s">
        <v>537</v>
      </c>
      <c r="E685" s="487">
        <v>0</v>
      </c>
    </row>
    <row r="686" spans="1:5">
      <c r="A686" s="483"/>
      <c r="B686" t="s">
        <v>538</v>
      </c>
      <c r="C686" s="499">
        <v>0</v>
      </c>
      <c r="E686" s="40"/>
    </row>
    <row r="687" spans="1:5">
      <c r="A687" s="483"/>
      <c r="E687" s="40"/>
    </row>
    <row r="688" spans="1:5" ht="13">
      <c r="A688" s="483"/>
      <c r="B688" s="500" t="s">
        <v>539</v>
      </c>
      <c r="C688" s="501">
        <f>C684-C685-C686</f>
        <v>0</v>
      </c>
      <c r="E688" s="40"/>
    </row>
    <row r="689" spans="1:5">
      <c r="A689" s="483"/>
      <c r="B689" t="s">
        <v>540</v>
      </c>
      <c r="C689" s="502">
        <v>4</v>
      </c>
      <c r="E689" s="40"/>
    </row>
    <row r="690" spans="1:5">
      <c r="A690" s="483"/>
      <c r="B690" t="s">
        <v>541</v>
      </c>
      <c r="C690" s="486">
        <f>C689*12</f>
        <v>48</v>
      </c>
      <c r="E690" s="40"/>
    </row>
    <row r="691" spans="1:5">
      <c r="A691" s="483"/>
      <c r="E691" s="40"/>
    </row>
    <row r="692" spans="1:5" ht="13">
      <c r="A692" s="483"/>
      <c r="B692" s="500" t="s">
        <v>542</v>
      </c>
      <c r="C692" s="501">
        <f>-PMT(E684/12,C690,C688)</f>
        <v>0</v>
      </c>
      <c r="D692" s="500" t="s">
        <v>543</v>
      </c>
      <c r="E692" s="488">
        <f>C692*12</f>
        <v>0</v>
      </c>
    </row>
    <row r="693" spans="1:5">
      <c r="A693" s="483"/>
      <c r="E693" s="40"/>
    </row>
    <row r="694" spans="1:5">
      <c r="A694" s="483"/>
      <c r="E694" s="40"/>
    </row>
    <row r="695" spans="1:5">
      <c r="A695" s="483"/>
      <c r="B695" t="s">
        <v>241</v>
      </c>
      <c r="E695" s="40"/>
    </row>
    <row r="696" spans="1:5">
      <c r="A696" s="483"/>
      <c r="B696" t="s">
        <v>544</v>
      </c>
      <c r="C696" s="485">
        <f>C692*C690</f>
        <v>0</v>
      </c>
      <c r="E696" s="40"/>
    </row>
    <row r="697" spans="1:5">
      <c r="A697" s="483"/>
      <c r="E697" s="40"/>
    </row>
    <row r="698" spans="1:5" ht="13.5" thickBot="1">
      <c r="A698" s="484"/>
      <c r="B698" s="489" t="s">
        <v>299</v>
      </c>
      <c r="C698" s="490">
        <f>C696-C688</f>
        <v>0</v>
      </c>
      <c r="D698" s="99"/>
      <c r="E698" s="157"/>
    </row>
    <row r="699" spans="1:5" ht="13" thickBot="1"/>
    <row r="700" spans="1:5" ht="13">
      <c r="A700" s="480">
        <v>42</v>
      </c>
      <c r="B700" s="503" t="s">
        <v>533</v>
      </c>
      <c r="C700" s="503"/>
      <c r="D700" s="503"/>
      <c r="E700" s="504"/>
    </row>
    <row r="701" spans="1:5">
      <c r="A701" s="483"/>
      <c r="B701" t="s">
        <v>534</v>
      </c>
      <c r="C701" s="485">
        <f>SUMIF(Equipos!$Q$6:$Q$55,A700,Equipos!$O$6:$O$55)</f>
        <v>0</v>
      </c>
      <c r="D701" t="s">
        <v>535</v>
      </c>
      <c r="E701" s="487">
        <v>0.11</v>
      </c>
    </row>
    <row r="702" spans="1:5">
      <c r="A702" s="483"/>
      <c r="B702" t="s">
        <v>536</v>
      </c>
      <c r="C702" s="499">
        <v>0</v>
      </c>
      <c r="D702" t="s">
        <v>537</v>
      </c>
      <c r="E702" s="487">
        <v>0</v>
      </c>
    </row>
    <row r="703" spans="1:5">
      <c r="A703" s="483"/>
      <c r="B703" t="s">
        <v>538</v>
      </c>
      <c r="C703" s="499">
        <v>0</v>
      </c>
      <c r="E703" s="40"/>
    </row>
    <row r="704" spans="1:5">
      <c r="A704" s="483"/>
      <c r="E704" s="40"/>
    </row>
    <row r="705" spans="1:5" ht="13">
      <c r="A705" s="483"/>
      <c r="B705" s="500" t="s">
        <v>539</v>
      </c>
      <c r="C705" s="501">
        <f>C701-C702-C703</f>
        <v>0</v>
      </c>
      <c r="E705" s="40"/>
    </row>
    <row r="706" spans="1:5">
      <c r="A706" s="483"/>
      <c r="B706" t="s">
        <v>540</v>
      </c>
      <c r="C706" s="502">
        <v>4</v>
      </c>
      <c r="E706" s="40"/>
    </row>
    <row r="707" spans="1:5">
      <c r="A707" s="483"/>
      <c r="B707" t="s">
        <v>541</v>
      </c>
      <c r="C707" s="486">
        <f>C706*12</f>
        <v>48</v>
      </c>
      <c r="E707" s="40"/>
    </row>
    <row r="708" spans="1:5">
      <c r="A708" s="483"/>
      <c r="E708" s="40"/>
    </row>
    <row r="709" spans="1:5" ht="13">
      <c r="A709" s="483"/>
      <c r="B709" s="500" t="s">
        <v>542</v>
      </c>
      <c r="C709" s="501">
        <f>-PMT(E701/12,C707,C705)</f>
        <v>0</v>
      </c>
      <c r="D709" s="500" t="s">
        <v>543</v>
      </c>
      <c r="E709" s="488">
        <f>C709*12</f>
        <v>0</v>
      </c>
    </row>
    <row r="710" spans="1:5">
      <c r="A710" s="483"/>
      <c r="E710" s="40"/>
    </row>
    <row r="711" spans="1:5">
      <c r="A711" s="483"/>
      <c r="E711" s="40"/>
    </row>
    <row r="712" spans="1:5">
      <c r="A712" s="483"/>
      <c r="B712" t="s">
        <v>241</v>
      </c>
      <c r="E712" s="40"/>
    </row>
    <row r="713" spans="1:5">
      <c r="A713" s="483"/>
      <c r="B713" t="s">
        <v>544</v>
      </c>
      <c r="C713" s="485">
        <f>C709*C707</f>
        <v>0</v>
      </c>
      <c r="E713" s="40"/>
    </row>
    <row r="714" spans="1:5">
      <c r="A714" s="483"/>
      <c r="E714" s="40"/>
    </row>
    <row r="715" spans="1:5" ht="13.5" thickBot="1">
      <c r="A715" s="484"/>
      <c r="B715" s="489" t="s">
        <v>299</v>
      </c>
      <c r="C715" s="490">
        <f>C713-C705</f>
        <v>0</v>
      </c>
      <c r="D715" s="99"/>
      <c r="E715" s="157"/>
    </row>
    <row r="716" spans="1:5" ht="13" thickBot="1"/>
    <row r="717" spans="1:5" ht="13">
      <c r="A717" s="480">
        <v>43</v>
      </c>
      <c r="B717" s="503" t="s">
        <v>533</v>
      </c>
      <c r="C717" s="503"/>
      <c r="D717" s="503"/>
      <c r="E717" s="504"/>
    </row>
    <row r="718" spans="1:5">
      <c r="A718" s="483"/>
      <c r="B718" t="s">
        <v>534</v>
      </c>
      <c r="C718" s="485">
        <f>SUMIF(Equipos!$Q$6:$Q$55,A717,Equipos!$O$6:$O$55)</f>
        <v>0</v>
      </c>
      <c r="D718" t="s">
        <v>535</v>
      </c>
      <c r="E718" s="487">
        <v>0.11</v>
      </c>
    </row>
    <row r="719" spans="1:5">
      <c r="A719" s="483"/>
      <c r="B719" t="s">
        <v>536</v>
      </c>
      <c r="C719" s="499">
        <v>0</v>
      </c>
      <c r="D719" t="s">
        <v>537</v>
      </c>
      <c r="E719" s="487">
        <v>0</v>
      </c>
    </row>
    <row r="720" spans="1:5">
      <c r="A720" s="483"/>
      <c r="B720" t="s">
        <v>538</v>
      </c>
      <c r="C720" s="499">
        <v>0</v>
      </c>
      <c r="E720" s="40"/>
    </row>
    <row r="721" spans="1:5">
      <c r="A721" s="483"/>
      <c r="E721" s="40"/>
    </row>
    <row r="722" spans="1:5" ht="13">
      <c r="A722" s="483"/>
      <c r="B722" s="500" t="s">
        <v>539</v>
      </c>
      <c r="C722" s="501">
        <f>C718-C719-C720</f>
        <v>0</v>
      </c>
      <c r="E722" s="40"/>
    </row>
    <row r="723" spans="1:5">
      <c r="A723" s="483"/>
      <c r="B723" t="s">
        <v>540</v>
      </c>
      <c r="C723" s="502">
        <v>4</v>
      </c>
      <c r="E723" s="40"/>
    </row>
    <row r="724" spans="1:5">
      <c r="A724" s="483"/>
      <c r="B724" t="s">
        <v>541</v>
      </c>
      <c r="C724" s="486">
        <f>C723*12</f>
        <v>48</v>
      </c>
      <c r="E724" s="40"/>
    </row>
    <row r="725" spans="1:5">
      <c r="A725" s="483"/>
      <c r="E725" s="40"/>
    </row>
    <row r="726" spans="1:5" ht="13">
      <c r="A726" s="483"/>
      <c r="B726" s="500" t="s">
        <v>542</v>
      </c>
      <c r="C726" s="501">
        <f>-PMT(E718/12,C724,C722)</f>
        <v>0</v>
      </c>
      <c r="D726" s="500" t="s">
        <v>543</v>
      </c>
      <c r="E726" s="488">
        <f>C726*12</f>
        <v>0</v>
      </c>
    </row>
    <row r="727" spans="1:5">
      <c r="A727" s="483"/>
      <c r="E727" s="40"/>
    </row>
    <row r="728" spans="1:5">
      <c r="A728" s="483"/>
      <c r="E728" s="40"/>
    </row>
    <row r="729" spans="1:5">
      <c r="A729" s="483"/>
      <c r="B729" t="s">
        <v>241</v>
      </c>
      <c r="E729" s="40"/>
    </row>
    <row r="730" spans="1:5">
      <c r="A730" s="483"/>
      <c r="B730" t="s">
        <v>544</v>
      </c>
      <c r="C730" s="485">
        <f>C726*C724</f>
        <v>0</v>
      </c>
      <c r="E730" s="40"/>
    </row>
    <row r="731" spans="1:5">
      <c r="A731" s="483"/>
      <c r="E731" s="40"/>
    </row>
    <row r="732" spans="1:5" ht="13.5" thickBot="1">
      <c r="A732" s="484"/>
      <c r="B732" s="489" t="s">
        <v>299</v>
      </c>
      <c r="C732" s="490">
        <f>C730-C722</f>
        <v>0</v>
      </c>
      <c r="D732" s="99"/>
      <c r="E732" s="157"/>
    </row>
    <row r="733" spans="1:5" ht="13" thickBot="1"/>
    <row r="734" spans="1:5" ht="13">
      <c r="A734" s="480">
        <v>44</v>
      </c>
      <c r="B734" s="503" t="s">
        <v>533</v>
      </c>
      <c r="C734" s="503"/>
      <c r="D734" s="503"/>
      <c r="E734" s="504"/>
    </row>
    <row r="735" spans="1:5">
      <c r="A735" s="483"/>
      <c r="B735" t="s">
        <v>534</v>
      </c>
      <c r="C735" s="485">
        <f>SUMIF(Equipos!$Q$6:$Q$55,A734,Equipos!$O$6:$O$55)</f>
        <v>0</v>
      </c>
      <c r="D735" t="s">
        <v>535</v>
      </c>
      <c r="E735" s="487">
        <v>0.11</v>
      </c>
    </row>
    <row r="736" spans="1:5">
      <c r="A736" s="483"/>
      <c r="B736" t="s">
        <v>536</v>
      </c>
      <c r="C736" s="499">
        <v>0</v>
      </c>
      <c r="D736" t="s">
        <v>537</v>
      </c>
      <c r="E736" s="487">
        <v>0</v>
      </c>
    </row>
    <row r="737" spans="1:5">
      <c r="A737" s="483"/>
      <c r="B737" t="s">
        <v>538</v>
      </c>
      <c r="C737" s="499">
        <v>0</v>
      </c>
      <c r="E737" s="40"/>
    </row>
    <row r="738" spans="1:5">
      <c r="A738" s="483"/>
      <c r="E738" s="40"/>
    </row>
    <row r="739" spans="1:5" ht="13">
      <c r="A739" s="483"/>
      <c r="B739" s="500" t="s">
        <v>539</v>
      </c>
      <c r="C739" s="501">
        <f>C735-C736-C737</f>
        <v>0</v>
      </c>
      <c r="E739" s="40"/>
    </row>
    <row r="740" spans="1:5">
      <c r="A740" s="483"/>
      <c r="B740" t="s">
        <v>540</v>
      </c>
      <c r="C740" s="502">
        <v>4</v>
      </c>
      <c r="E740" s="40"/>
    </row>
    <row r="741" spans="1:5">
      <c r="A741" s="483"/>
      <c r="B741" t="s">
        <v>541</v>
      </c>
      <c r="C741" s="486">
        <f>C740*12</f>
        <v>48</v>
      </c>
      <c r="E741" s="40"/>
    </row>
    <row r="742" spans="1:5">
      <c r="A742" s="483"/>
      <c r="E742" s="40"/>
    </row>
    <row r="743" spans="1:5" ht="13">
      <c r="A743" s="483"/>
      <c r="B743" s="500" t="s">
        <v>542</v>
      </c>
      <c r="C743" s="501">
        <f>-PMT(E735/12,C741,C739)</f>
        <v>0</v>
      </c>
      <c r="D743" s="500" t="s">
        <v>543</v>
      </c>
      <c r="E743" s="488">
        <f>C743*12</f>
        <v>0</v>
      </c>
    </row>
    <row r="744" spans="1:5">
      <c r="A744" s="483"/>
      <c r="E744" s="40"/>
    </row>
    <row r="745" spans="1:5">
      <c r="A745" s="483"/>
      <c r="E745" s="40"/>
    </row>
    <row r="746" spans="1:5">
      <c r="A746" s="483"/>
      <c r="B746" t="s">
        <v>241</v>
      </c>
      <c r="E746" s="40"/>
    </row>
    <row r="747" spans="1:5">
      <c r="A747" s="483"/>
      <c r="B747" t="s">
        <v>544</v>
      </c>
      <c r="C747" s="485">
        <f>C743*C741</f>
        <v>0</v>
      </c>
      <c r="E747" s="40"/>
    </row>
    <row r="748" spans="1:5">
      <c r="A748" s="483"/>
      <c r="E748" s="40"/>
    </row>
    <row r="749" spans="1:5" ht="13.5" thickBot="1">
      <c r="A749" s="484"/>
      <c r="B749" s="489" t="s">
        <v>299</v>
      </c>
      <c r="C749" s="490">
        <f>C747-C739</f>
        <v>0</v>
      </c>
      <c r="D749" s="99"/>
      <c r="E749" s="157"/>
    </row>
    <row r="750" spans="1:5" ht="13" thickBot="1"/>
    <row r="751" spans="1:5" ht="13">
      <c r="A751" s="480">
        <v>45</v>
      </c>
      <c r="B751" s="503" t="s">
        <v>533</v>
      </c>
      <c r="C751" s="503"/>
      <c r="D751" s="503"/>
      <c r="E751" s="504"/>
    </row>
    <row r="752" spans="1:5">
      <c r="A752" s="483"/>
      <c r="B752" t="s">
        <v>534</v>
      </c>
      <c r="C752" s="485">
        <f>SUMIF(Equipos!$Q$6:$Q$55,A751,Equipos!$O$6:$O$55)</f>
        <v>0</v>
      </c>
      <c r="D752" t="s">
        <v>535</v>
      </c>
      <c r="E752" s="487">
        <v>0.11</v>
      </c>
    </row>
    <row r="753" spans="1:5">
      <c r="A753" s="483"/>
      <c r="B753" t="s">
        <v>536</v>
      </c>
      <c r="C753" s="499">
        <v>0</v>
      </c>
      <c r="D753" t="s">
        <v>537</v>
      </c>
      <c r="E753" s="487">
        <v>0</v>
      </c>
    </row>
    <row r="754" spans="1:5">
      <c r="A754" s="483"/>
      <c r="B754" t="s">
        <v>538</v>
      </c>
      <c r="C754" s="499">
        <v>0</v>
      </c>
      <c r="E754" s="40"/>
    </row>
    <row r="755" spans="1:5">
      <c r="A755" s="483"/>
      <c r="E755" s="40"/>
    </row>
    <row r="756" spans="1:5" ht="13">
      <c r="A756" s="483"/>
      <c r="B756" s="500" t="s">
        <v>539</v>
      </c>
      <c r="C756" s="501">
        <f>C752-C753-C754</f>
        <v>0</v>
      </c>
      <c r="E756" s="40"/>
    </row>
    <row r="757" spans="1:5">
      <c r="A757" s="483"/>
      <c r="B757" t="s">
        <v>540</v>
      </c>
      <c r="C757" s="502">
        <v>4</v>
      </c>
      <c r="E757" s="40"/>
    </row>
    <row r="758" spans="1:5">
      <c r="A758" s="483"/>
      <c r="B758" t="s">
        <v>541</v>
      </c>
      <c r="C758" s="486">
        <f>C757*12</f>
        <v>48</v>
      </c>
      <c r="E758" s="40"/>
    </row>
    <row r="759" spans="1:5">
      <c r="A759" s="483"/>
      <c r="E759" s="40"/>
    </row>
    <row r="760" spans="1:5" ht="13">
      <c r="A760" s="483"/>
      <c r="B760" s="500" t="s">
        <v>542</v>
      </c>
      <c r="C760" s="501">
        <f>-PMT(E752/12,C758,C756)</f>
        <v>0</v>
      </c>
      <c r="D760" s="500" t="s">
        <v>543</v>
      </c>
      <c r="E760" s="488">
        <f>C760*12</f>
        <v>0</v>
      </c>
    </row>
    <row r="761" spans="1:5">
      <c r="A761" s="483"/>
      <c r="E761" s="40"/>
    </row>
    <row r="762" spans="1:5">
      <c r="A762" s="483"/>
      <c r="E762" s="40"/>
    </row>
    <row r="763" spans="1:5">
      <c r="A763" s="483"/>
      <c r="B763" t="s">
        <v>241</v>
      </c>
      <c r="E763" s="40"/>
    </row>
    <row r="764" spans="1:5">
      <c r="A764" s="483"/>
      <c r="B764" t="s">
        <v>544</v>
      </c>
      <c r="C764" s="485">
        <f>C760*C758</f>
        <v>0</v>
      </c>
      <c r="E764" s="40"/>
    </row>
    <row r="765" spans="1:5">
      <c r="A765" s="483"/>
      <c r="E765" s="40"/>
    </row>
    <row r="766" spans="1:5" ht="13.5" thickBot="1">
      <c r="A766" s="484"/>
      <c r="B766" s="489" t="s">
        <v>299</v>
      </c>
      <c r="C766" s="490">
        <f>C764-C756</f>
        <v>0</v>
      </c>
      <c r="D766" s="99"/>
      <c r="E766" s="157"/>
    </row>
    <row r="767" spans="1:5" ht="13" thickBot="1"/>
    <row r="768" spans="1:5" ht="13">
      <c r="A768" s="480">
        <v>46</v>
      </c>
      <c r="B768" s="503" t="s">
        <v>533</v>
      </c>
      <c r="C768" s="503"/>
      <c r="D768" s="503"/>
      <c r="E768" s="504"/>
    </row>
    <row r="769" spans="1:5">
      <c r="A769" s="483"/>
      <c r="B769" t="s">
        <v>534</v>
      </c>
      <c r="C769" s="485">
        <f>SUMIF(Equipos!$Q$6:$Q$55,A768,Equipos!$O$6:$O$55)</f>
        <v>0</v>
      </c>
      <c r="D769" t="s">
        <v>535</v>
      </c>
      <c r="E769" s="487">
        <v>0.11</v>
      </c>
    </row>
    <row r="770" spans="1:5">
      <c r="A770" s="483"/>
      <c r="B770" t="s">
        <v>536</v>
      </c>
      <c r="C770" s="499">
        <v>0</v>
      </c>
      <c r="D770" t="s">
        <v>537</v>
      </c>
      <c r="E770" s="487">
        <v>0</v>
      </c>
    </row>
    <row r="771" spans="1:5">
      <c r="A771" s="483"/>
      <c r="B771" t="s">
        <v>538</v>
      </c>
      <c r="C771" s="499">
        <v>0</v>
      </c>
      <c r="E771" s="40"/>
    </row>
    <row r="772" spans="1:5">
      <c r="A772" s="483"/>
      <c r="E772" s="40"/>
    </row>
    <row r="773" spans="1:5" ht="13">
      <c r="A773" s="483"/>
      <c r="B773" s="500" t="s">
        <v>539</v>
      </c>
      <c r="C773" s="501">
        <f>C769-C770-C771</f>
        <v>0</v>
      </c>
      <c r="E773" s="40"/>
    </row>
    <row r="774" spans="1:5">
      <c r="A774" s="483"/>
      <c r="B774" t="s">
        <v>540</v>
      </c>
      <c r="C774" s="502">
        <v>4</v>
      </c>
      <c r="E774" s="40"/>
    </row>
    <row r="775" spans="1:5">
      <c r="A775" s="483"/>
      <c r="B775" t="s">
        <v>541</v>
      </c>
      <c r="C775" s="486">
        <f>C774*12</f>
        <v>48</v>
      </c>
      <c r="E775" s="40"/>
    </row>
    <row r="776" spans="1:5">
      <c r="A776" s="483"/>
      <c r="E776" s="40"/>
    </row>
    <row r="777" spans="1:5" ht="13">
      <c r="A777" s="483"/>
      <c r="B777" s="500" t="s">
        <v>542</v>
      </c>
      <c r="C777" s="501">
        <f>-PMT(E769/12,C775,C773)</f>
        <v>0</v>
      </c>
      <c r="D777" s="500" t="s">
        <v>543</v>
      </c>
      <c r="E777" s="488">
        <f>C777*12</f>
        <v>0</v>
      </c>
    </row>
    <row r="778" spans="1:5">
      <c r="A778" s="483"/>
      <c r="E778" s="40"/>
    </row>
    <row r="779" spans="1:5">
      <c r="A779" s="483"/>
      <c r="E779" s="40"/>
    </row>
    <row r="780" spans="1:5">
      <c r="A780" s="483"/>
      <c r="B780" t="s">
        <v>241</v>
      </c>
      <c r="E780" s="40"/>
    </row>
    <row r="781" spans="1:5">
      <c r="A781" s="483"/>
      <c r="B781" t="s">
        <v>544</v>
      </c>
      <c r="C781" s="485">
        <f>C777*C775</f>
        <v>0</v>
      </c>
      <c r="E781" s="40"/>
    </row>
    <row r="782" spans="1:5">
      <c r="A782" s="483"/>
      <c r="E782" s="40"/>
    </row>
    <row r="783" spans="1:5" ht="13.5" thickBot="1">
      <c r="A783" s="484"/>
      <c r="B783" s="489" t="s">
        <v>299</v>
      </c>
      <c r="C783" s="490">
        <f>C781-C773</f>
        <v>0</v>
      </c>
      <c r="D783" s="99"/>
      <c r="E783" s="157"/>
    </row>
    <row r="784" spans="1:5" ht="13" thickBot="1"/>
    <row r="785" spans="1:5" ht="13">
      <c r="A785" s="480">
        <v>47</v>
      </c>
      <c r="B785" s="503" t="s">
        <v>533</v>
      </c>
      <c r="C785" s="503"/>
      <c r="D785" s="503"/>
      <c r="E785" s="504"/>
    </row>
    <row r="786" spans="1:5">
      <c r="A786" s="483"/>
      <c r="B786" t="s">
        <v>534</v>
      </c>
      <c r="C786" s="485">
        <f>SUMIF(Equipos!$Q$6:$Q$55,A785,Equipos!$O$6:$O$55)</f>
        <v>0</v>
      </c>
      <c r="D786" t="s">
        <v>535</v>
      </c>
      <c r="E786" s="487">
        <v>0.11</v>
      </c>
    </row>
    <row r="787" spans="1:5">
      <c r="A787" s="483"/>
      <c r="B787" t="s">
        <v>536</v>
      </c>
      <c r="C787" s="499">
        <v>0</v>
      </c>
      <c r="D787" t="s">
        <v>537</v>
      </c>
      <c r="E787" s="487">
        <v>0</v>
      </c>
    </row>
    <row r="788" spans="1:5">
      <c r="A788" s="483"/>
      <c r="B788" t="s">
        <v>538</v>
      </c>
      <c r="C788" s="499">
        <v>0</v>
      </c>
      <c r="E788" s="40"/>
    </row>
    <row r="789" spans="1:5">
      <c r="A789" s="483"/>
      <c r="E789" s="40"/>
    </row>
    <row r="790" spans="1:5" ht="13">
      <c r="A790" s="483"/>
      <c r="B790" s="500" t="s">
        <v>539</v>
      </c>
      <c r="C790" s="501">
        <f>C786-C787-C788</f>
        <v>0</v>
      </c>
      <c r="E790" s="40"/>
    </row>
    <row r="791" spans="1:5">
      <c r="A791" s="483"/>
      <c r="B791" t="s">
        <v>540</v>
      </c>
      <c r="C791" s="502">
        <v>4</v>
      </c>
      <c r="E791" s="40"/>
    </row>
    <row r="792" spans="1:5">
      <c r="A792" s="483"/>
      <c r="B792" t="s">
        <v>541</v>
      </c>
      <c r="C792" s="486">
        <f>C791*12</f>
        <v>48</v>
      </c>
      <c r="E792" s="40"/>
    </row>
    <row r="793" spans="1:5">
      <c r="A793" s="483"/>
      <c r="E793" s="40"/>
    </row>
    <row r="794" spans="1:5" ht="13">
      <c r="A794" s="483"/>
      <c r="B794" s="500" t="s">
        <v>542</v>
      </c>
      <c r="C794" s="501">
        <f>-PMT(E786/12,C792,C790)</f>
        <v>0</v>
      </c>
      <c r="D794" s="500" t="s">
        <v>543</v>
      </c>
      <c r="E794" s="488">
        <f>C794*12</f>
        <v>0</v>
      </c>
    </row>
    <row r="795" spans="1:5">
      <c r="A795" s="483"/>
      <c r="E795" s="40"/>
    </row>
    <row r="796" spans="1:5">
      <c r="A796" s="483"/>
      <c r="E796" s="40"/>
    </row>
    <row r="797" spans="1:5">
      <c r="A797" s="483"/>
      <c r="B797" t="s">
        <v>241</v>
      </c>
      <c r="E797" s="40"/>
    </row>
    <row r="798" spans="1:5">
      <c r="A798" s="483"/>
      <c r="B798" t="s">
        <v>544</v>
      </c>
      <c r="C798" s="485">
        <f>C794*C792</f>
        <v>0</v>
      </c>
      <c r="E798" s="40"/>
    </row>
    <row r="799" spans="1:5">
      <c r="A799" s="483"/>
      <c r="E799" s="40"/>
    </row>
    <row r="800" spans="1:5" ht="13.5" thickBot="1">
      <c r="A800" s="484"/>
      <c r="B800" s="489" t="s">
        <v>299</v>
      </c>
      <c r="C800" s="490">
        <f>C798-C790</f>
        <v>0</v>
      </c>
      <c r="D800" s="99"/>
      <c r="E800" s="157"/>
    </row>
    <row r="801" spans="1:5" ht="13" thickBot="1"/>
    <row r="802" spans="1:5" ht="13">
      <c r="A802" s="480">
        <v>48</v>
      </c>
      <c r="B802" s="503" t="s">
        <v>533</v>
      </c>
      <c r="C802" s="503"/>
      <c r="D802" s="503"/>
      <c r="E802" s="504"/>
    </row>
    <row r="803" spans="1:5">
      <c r="A803" s="483"/>
      <c r="B803" t="s">
        <v>534</v>
      </c>
      <c r="C803" s="485">
        <f>SUMIF(Equipos!$Q$6:$Q$55,A802,Equipos!$O$6:$O$55)</f>
        <v>0</v>
      </c>
      <c r="D803" t="s">
        <v>535</v>
      </c>
      <c r="E803" s="487">
        <v>0.11</v>
      </c>
    </row>
    <row r="804" spans="1:5">
      <c r="A804" s="483"/>
      <c r="B804" t="s">
        <v>536</v>
      </c>
      <c r="C804" s="499">
        <v>0</v>
      </c>
      <c r="D804" t="s">
        <v>537</v>
      </c>
      <c r="E804" s="487">
        <v>0</v>
      </c>
    </row>
    <row r="805" spans="1:5">
      <c r="A805" s="483"/>
      <c r="B805" t="s">
        <v>538</v>
      </c>
      <c r="C805" s="499">
        <v>0</v>
      </c>
      <c r="E805" s="40"/>
    </row>
    <row r="806" spans="1:5">
      <c r="A806" s="483"/>
      <c r="E806" s="40"/>
    </row>
    <row r="807" spans="1:5" ht="13">
      <c r="A807" s="483"/>
      <c r="B807" s="500" t="s">
        <v>539</v>
      </c>
      <c r="C807" s="501">
        <f>C803-C804-C805</f>
        <v>0</v>
      </c>
      <c r="E807" s="40"/>
    </row>
    <row r="808" spans="1:5">
      <c r="A808" s="483"/>
      <c r="B808" t="s">
        <v>540</v>
      </c>
      <c r="C808" s="502">
        <v>4</v>
      </c>
      <c r="E808" s="40"/>
    </row>
    <row r="809" spans="1:5">
      <c r="A809" s="483"/>
      <c r="B809" t="s">
        <v>541</v>
      </c>
      <c r="C809" s="486">
        <f>C808*12</f>
        <v>48</v>
      </c>
      <c r="E809" s="40"/>
    </row>
    <row r="810" spans="1:5">
      <c r="A810" s="483"/>
      <c r="E810" s="40"/>
    </row>
    <row r="811" spans="1:5" ht="13">
      <c r="A811" s="483"/>
      <c r="B811" s="500" t="s">
        <v>542</v>
      </c>
      <c r="C811" s="501">
        <f>-PMT(E803/12,C809,C807)</f>
        <v>0</v>
      </c>
      <c r="D811" s="500" t="s">
        <v>543</v>
      </c>
      <c r="E811" s="488">
        <f>C811*12</f>
        <v>0</v>
      </c>
    </row>
    <row r="812" spans="1:5">
      <c r="A812" s="483"/>
      <c r="E812" s="40"/>
    </row>
    <row r="813" spans="1:5">
      <c r="A813" s="483"/>
      <c r="E813" s="40"/>
    </row>
    <row r="814" spans="1:5">
      <c r="A814" s="483"/>
      <c r="B814" t="s">
        <v>241</v>
      </c>
      <c r="E814" s="40"/>
    </row>
    <row r="815" spans="1:5">
      <c r="A815" s="483"/>
      <c r="B815" t="s">
        <v>544</v>
      </c>
      <c r="C815" s="485">
        <f>C811*C809</f>
        <v>0</v>
      </c>
      <c r="E815" s="40"/>
    </row>
    <row r="816" spans="1:5">
      <c r="A816" s="483"/>
      <c r="E816" s="40"/>
    </row>
    <row r="817" spans="1:5" ht="13.5" thickBot="1">
      <c r="A817" s="484"/>
      <c r="B817" s="489" t="s">
        <v>299</v>
      </c>
      <c r="C817" s="490">
        <f>C815-C807</f>
        <v>0</v>
      </c>
      <c r="D817" s="99"/>
      <c r="E817" s="157"/>
    </row>
    <row r="818" spans="1:5" ht="13" thickBot="1"/>
    <row r="819" spans="1:5" ht="13">
      <c r="A819" s="480">
        <v>49</v>
      </c>
      <c r="B819" s="503" t="s">
        <v>533</v>
      </c>
      <c r="C819" s="503"/>
      <c r="D819" s="503"/>
      <c r="E819" s="504"/>
    </row>
    <row r="820" spans="1:5">
      <c r="A820" s="483"/>
      <c r="B820" t="s">
        <v>534</v>
      </c>
      <c r="C820" s="485">
        <f>SUMIF(Equipos!$Q$6:$Q$55,A819,Equipos!$O$6:$O$55)</f>
        <v>0</v>
      </c>
      <c r="D820" t="s">
        <v>535</v>
      </c>
      <c r="E820" s="487">
        <v>0.11</v>
      </c>
    </row>
    <row r="821" spans="1:5">
      <c r="A821" s="483"/>
      <c r="B821" t="s">
        <v>536</v>
      </c>
      <c r="C821" s="499">
        <v>0</v>
      </c>
      <c r="D821" t="s">
        <v>537</v>
      </c>
      <c r="E821" s="487">
        <v>0</v>
      </c>
    </row>
    <row r="822" spans="1:5">
      <c r="A822" s="483"/>
      <c r="B822" t="s">
        <v>538</v>
      </c>
      <c r="C822" s="499">
        <v>0</v>
      </c>
      <c r="E822" s="40"/>
    </row>
    <row r="823" spans="1:5">
      <c r="A823" s="483"/>
      <c r="E823" s="40"/>
    </row>
    <row r="824" spans="1:5" ht="13">
      <c r="A824" s="483"/>
      <c r="B824" s="500" t="s">
        <v>539</v>
      </c>
      <c r="C824" s="501">
        <f>C820-C821-C822</f>
        <v>0</v>
      </c>
      <c r="E824" s="40"/>
    </row>
    <row r="825" spans="1:5">
      <c r="A825" s="483"/>
      <c r="B825" t="s">
        <v>540</v>
      </c>
      <c r="C825" s="502">
        <v>4</v>
      </c>
      <c r="E825" s="40"/>
    </row>
    <row r="826" spans="1:5">
      <c r="A826" s="483"/>
      <c r="B826" t="s">
        <v>541</v>
      </c>
      <c r="C826" s="486">
        <f>C825*12</f>
        <v>48</v>
      </c>
      <c r="E826" s="40"/>
    </row>
    <row r="827" spans="1:5">
      <c r="A827" s="483"/>
      <c r="E827" s="40"/>
    </row>
    <row r="828" spans="1:5" ht="13">
      <c r="A828" s="483"/>
      <c r="B828" s="500" t="s">
        <v>542</v>
      </c>
      <c r="C828" s="501">
        <f>-PMT(E820/12,C826,C824)</f>
        <v>0</v>
      </c>
      <c r="D828" s="500" t="s">
        <v>543</v>
      </c>
      <c r="E828" s="488">
        <f>C828*12</f>
        <v>0</v>
      </c>
    </row>
    <row r="829" spans="1:5">
      <c r="A829" s="483"/>
      <c r="E829" s="40"/>
    </row>
    <row r="830" spans="1:5">
      <c r="A830" s="483"/>
      <c r="E830" s="40"/>
    </row>
    <row r="831" spans="1:5">
      <c r="A831" s="483"/>
      <c r="B831" t="s">
        <v>241</v>
      </c>
      <c r="E831" s="40"/>
    </row>
    <row r="832" spans="1:5">
      <c r="A832" s="483"/>
      <c r="B832" t="s">
        <v>544</v>
      </c>
      <c r="C832" s="485">
        <f>C828*C826</f>
        <v>0</v>
      </c>
      <c r="E832" s="40"/>
    </row>
    <row r="833" spans="1:5">
      <c r="A833" s="483"/>
      <c r="E833" s="40"/>
    </row>
    <row r="834" spans="1:5" ht="13.5" thickBot="1">
      <c r="A834" s="484"/>
      <c r="B834" s="489" t="s">
        <v>299</v>
      </c>
      <c r="C834" s="490">
        <f>C832-C824</f>
        <v>0</v>
      </c>
      <c r="D834" s="99"/>
      <c r="E834" s="157"/>
    </row>
    <row r="835" spans="1:5" ht="13" thickBot="1"/>
    <row r="836" spans="1:5" ht="13">
      <c r="A836" s="480">
        <v>50</v>
      </c>
      <c r="B836" s="503" t="s">
        <v>533</v>
      </c>
      <c r="C836" s="503"/>
      <c r="D836" s="503"/>
      <c r="E836" s="504"/>
    </row>
    <row r="837" spans="1:5">
      <c r="A837" s="483"/>
      <c r="B837" t="s">
        <v>534</v>
      </c>
      <c r="C837" s="485">
        <f>SUMIF(Equipos!$Q$6:$Q$55,A836,Equipos!$O$6:$O$55)</f>
        <v>0</v>
      </c>
      <c r="D837" t="s">
        <v>535</v>
      </c>
      <c r="E837" s="487">
        <v>0.11</v>
      </c>
    </row>
    <row r="838" spans="1:5">
      <c r="A838" s="483"/>
      <c r="B838" t="s">
        <v>536</v>
      </c>
      <c r="C838" s="499">
        <v>0</v>
      </c>
      <c r="D838" t="s">
        <v>537</v>
      </c>
      <c r="E838" s="487">
        <v>0</v>
      </c>
    </row>
    <row r="839" spans="1:5">
      <c r="A839" s="483"/>
      <c r="B839" t="s">
        <v>538</v>
      </c>
      <c r="C839" s="499">
        <v>0</v>
      </c>
      <c r="E839" s="40"/>
    </row>
    <row r="840" spans="1:5">
      <c r="A840" s="483"/>
      <c r="E840" s="40"/>
    </row>
    <row r="841" spans="1:5" ht="13">
      <c r="A841" s="483"/>
      <c r="B841" s="500" t="s">
        <v>539</v>
      </c>
      <c r="C841" s="501">
        <f>C837-C838-C839</f>
        <v>0</v>
      </c>
      <c r="E841" s="40"/>
    </row>
    <row r="842" spans="1:5">
      <c r="A842" s="483"/>
      <c r="B842" t="s">
        <v>540</v>
      </c>
      <c r="C842" s="502">
        <v>4</v>
      </c>
      <c r="E842" s="40"/>
    </row>
    <row r="843" spans="1:5">
      <c r="A843" s="483"/>
      <c r="B843" t="s">
        <v>541</v>
      </c>
      <c r="C843" s="486">
        <f>C842*12</f>
        <v>48</v>
      </c>
      <c r="E843" s="40"/>
    </row>
    <row r="844" spans="1:5">
      <c r="A844" s="483"/>
      <c r="E844" s="40"/>
    </row>
    <row r="845" spans="1:5" ht="13">
      <c r="A845" s="483"/>
      <c r="B845" s="500" t="s">
        <v>542</v>
      </c>
      <c r="C845" s="501">
        <f>-PMT(E837/12,C843,C841)</f>
        <v>0</v>
      </c>
      <c r="D845" s="500" t="s">
        <v>543</v>
      </c>
      <c r="E845" s="488">
        <f>C845*12</f>
        <v>0</v>
      </c>
    </row>
    <row r="846" spans="1:5">
      <c r="A846" s="483"/>
      <c r="E846" s="40"/>
    </row>
    <row r="847" spans="1:5">
      <c r="A847" s="483"/>
      <c r="E847" s="40"/>
    </row>
    <row r="848" spans="1:5">
      <c r="A848" s="483"/>
      <c r="B848" t="s">
        <v>241</v>
      </c>
      <c r="E848" s="40"/>
    </row>
    <row r="849" spans="1:5">
      <c r="A849" s="483"/>
      <c r="B849" t="s">
        <v>544</v>
      </c>
      <c r="C849" s="485">
        <f>C845*C843</f>
        <v>0</v>
      </c>
      <c r="E849" s="40"/>
    </row>
    <row r="850" spans="1:5">
      <c r="A850" s="483"/>
      <c r="E850" s="40"/>
    </row>
    <row r="851" spans="1:5" ht="13.5" thickBot="1">
      <c r="A851" s="484"/>
      <c r="B851" s="489" t="s">
        <v>299</v>
      </c>
      <c r="C851" s="490">
        <f>C849-C841</f>
        <v>0</v>
      </c>
      <c r="D851" s="99"/>
      <c r="E851" s="157"/>
    </row>
  </sheetData>
  <mergeCells count="109"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3.6328125" customWidth="1"/>
    <col min="3" max="3" width="38.6328125" customWidth="1"/>
    <col min="4" max="4" width="15.6328125" customWidth="1"/>
    <col min="5" max="7" width="14.6328125" customWidth="1"/>
    <col min="8" max="8" width="13.6328125" customWidth="1"/>
    <col min="9" max="9" width="36.6328125" customWidth="1"/>
    <col min="10" max="11" width="15.6328125" customWidth="1"/>
  </cols>
  <sheetData>
    <row r="1" spans="1:11" ht="18">
      <c r="A1" s="478" t="s">
        <v>545</v>
      </c>
    </row>
    <row r="3" spans="1:11" ht="13" thickBot="1"/>
    <row r="4" spans="1:11" ht="13">
      <c r="B4" s="480" t="s">
        <v>546</v>
      </c>
      <c r="C4" s="481"/>
      <c r="D4" s="482"/>
      <c r="I4" s="480" t="s">
        <v>547</v>
      </c>
      <c r="J4" s="481"/>
      <c r="K4" s="482"/>
    </row>
    <row r="5" spans="1:11" ht="13">
      <c r="B5" s="483"/>
      <c r="C5" t="s">
        <v>548</v>
      </c>
      <c r="D5" s="492">
        <v>0</v>
      </c>
      <c r="I5" s="483" t="s">
        <v>556</v>
      </c>
      <c r="J5" s="501">
        <f>-PMT(D6/D8,D12,D5)</f>
        <v>0</v>
      </c>
      <c r="K5" s="40"/>
    </row>
    <row r="6" spans="1:11">
      <c r="B6" s="483"/>
      <c r="C6" t="s">
        <v>549</v>
      </c>
      <c r="D6" s="487">
        <v>0.11</v>
      </c>
      <c r="I6" s="483" t="s">
        <v>557</v>
      </c>
      <c r="J6" s="486">
        <f>D12</f>
        <v>48</v>
      </c>
      <c r="K6" s="40"/>
    </row>
    <row r="7" spans="1:11">
      <c r="B7" s="483"/>
      <c r="C7" t="s">
        <v>550</v>
      </c>
      <c r="D7" s="493">
        <v>4</v>
      </c>
      <c r="I7" s="483" t="s">
        <v>558</v>
      </c>
      <c r="J7" s="486">
        <f>D8</f>
        <v>12</v>
      </c>
      <c r="K7" s="40"/>
    </row>
    <row r="8" spans="1:11">
      <c r="B8" s="483"/>
      <c r="C8" t="s">
        <v>551</v>
      </c>
      <c r="D8" s="493">
        <v>12</v>
      </c>
      <c r="I8" s="483" t="s">
        <v>559</v>
      </c>
      <c r="J8" s="485">
        <f>SUM(E19:E118)</f>
        <v>0</v>
      </c>
      <c r="K8" s="40"/>
    </row>
    <row r="9" spans="1:11">
      <c r="B9" s="483"/>
      <c r="C9" t="s">
        <v>552</v>
      </c>
      <c r="D9" s="491">
        <v>46279</v>
      </c>
      <c r="I9" s="483" t="s">
        <v>560</v>
      </c>
      <c r="J9" s="485">
        <f>SUM(H19:H118)</f>
        <v>0</v>
      </c>
      <c r="K9" s="40"/>
    </row>
    <row r="10" spans="1:11">
      <c r="B10" s="483"/>
      <c r="C10" t="s">
        <v>553</v>
      </c>
      <c r="D10" s="492">
        <v>0</v>
      </c>
      <c r="I10" s="483"/>
      <c r="K10" s="40"/>
    </row>
    <row r="11" spans="1:11">
      <c r="B11" s="483"/>
      <c r="C11" t="s">
        <v>554</v>
      </c>
      <c r="D11" s="493">
        <v>0</v>
      </c>
      <c r="I11" s="483"/>
      <c r="K11" s="40"/>
    </row>
    <row r="12" spans="1:11" ht="13.5" thickBot="1">
      <c r="B12" s="484"/>
      <c r="C12" s="99" t="s">
        <v>555</v>
      </c>
      <c r="D12" s="494">
        <f>D7*D8</f>
        <v>48</v>
      </c>
      <c r="I12" s="484" t="s">
        <v>561</v>
      </c>
      <c r="J12" s="99"/>
      <c r="K12" s="495">
        <f>D5+J9</f>
        <v>0</v>
      </c>
    </row>
    <row r="17" spans="1:10" ht="26">
      <c r="A17" s="496" t="s">
        <v>562</v>
      </c>
      <c r="B17" s="496" t="s">
        <v>563</v>
      </c>
      <c r="C17" s="496" t="s">
        <v>564</v>
      </c>
      <c r="D17" s="496" t="s">
        <v>556</v>
      </c>
      <c r="E17" s="496" t="s">
        <v>565</v>
      </c>
      <c r="F17" s="496" t="s">
        <v>566</v>
      </c>
      <c r="G17" s="496" t="s">
        <v>567</v>
      </c>
      <c r="H17" s="496" t="s">
        <v>568</v>
      </c>
      <c r="I17" s="496" t="s">
        <v>569</v>
      </c>
      <c r="J17" s="496" t="s">
        <v>570</v>
      </c>
    </row>
    <row r="19" spans="1:10">
      <c r="A19" s="486" t="str">
        <f t="shared" ref="A19:A50" si="0">IF(AND(N($D$5)&gt;0,ROW()-19+1&lt;=$D$12),ROW()-19+1,"")</f>
        <v/>
      </c>
      <c r="B19" s="441" t="str">
        <f t="shared" ref="B19:B50" si="1">IF($A19="","",EDATE($D$9,$A19))</f>
        <v/>
      </c>
      <c r="C19" s="485" t="str">
        <f>IF($A19="","",$D$5)</f>
        <v/>
      </c>
      <c r="D19" s="485" t="str">
        <f t="shared" ref="D19:D50" si="2">IF($A19="","",$J$5)</f>
        <v/>
      </c>
      <c r="E19" s="485" t="str">
        <f t="shared" ref="E19:E50" si="3">IF($A19="","",$D$10)</f>
        <v/>
      </c>
      <c r="F19" s="485" t="str">
        <f t="shared" ref="F19:F50" si="4">IF($A19="","",D19+E19)</f>
        <v/>
      </c>
      <c r="G19" s="485" t="str">
        <f t="shared" ref="G19:G50" si="5">IF($A19="","",MIN(F19-H19,C19))</f>
        <v/>
      </c>
      <c r="H19" s="485" t="str">
        <f t="shared" ref="H19:H50" si="6">IF($A19="","",C19*($D$6/$D$8))</f>
        <v/>
      </c>
      <c r="I19" s="485" t="str">
        <f t="shared" ref="I19:I50" si="7">IF($A19="","",C19-G19)</f>
        <v/>
      </c>
      <c r="J19" s="485" t="str">
        <f>IF($A19="","",H19)</f>
        <v/>
      </c>
    </row>
    <row r="20" spans="1:10">
      <c r="A20" s="486" t="str">
        <f t="shared" si="0"/>
        <v/>
      </c>
      <c r="B20" s="441" t="str">
        <f t="shared" si="1"/>
        <v/>
      </c>
      <c r="C20" s="485" t="str">
        <f t="shared" ref="C20:C51" si="8">IF($A20="","",I19)</f>
        <v/>
      </c>
      <c r="D20" s="485" t="str">
        <f t="shared" si="2"/>
        <v/>
      </c>
      <c r="E20" s="485" t="str">
        <f t="shared" si="3"/>
        <v/>
      </c>
      <c r="F20" s="485" t="str">
        <f t="shared" si="4"/>
        <v/>
      </c>
      <c r="G20" s="485" t="str">
        <f t="shared" si="5"/>
        <v/>
      </c>
      <c r="H20" s="485" t="str">
        <f t="shared" si="6"/>
        <v/>
      </c>
      <c r="I20" s="485" t="str">
        <f t="shared" si="7"/>
        <v/>
      </c>
      <c r="J20" s="485" t="str">
        <f t="shared" ref="J20:J51" si="9">IF($A20="","",J19+H20)</f>
        <v/>
      </c>
    </row>
    <row r="21" spans="1:10">
      <c r="A21" s="486" t="str">
        <f t="shared" si="0"/>
        <v/>
      </c>
      <c r="B21" s="441" t="str">
        <f t="shared" si="1"/>
        <v/>
      </c>
      <c r="C21" s="485" t="str">
        <f t="shared" si="8"/>
        <v/>
      </c>
      <c r="D21" s="485" t="str">
        <f t="shared" si="2"/>
        <v/>
      </c>
      <c r="E21" s="485" t="str">
        <f t="shared" si="3"/>
        <v/>
      </c>
      <c r="F21" s="485" t="str">
        <f t="shared" si="4"/>
        <v/>
      </c>
      <c r="G21" s="485" t="str">
        <f t="shared" si="5"/>
        <v/>
      </c>
      <c r="H21" s="485" t="str">
        <f t="shared" si="6"/>
        <v/>
      </c>
      <c r="I21" s="485" t="str">
        <f t="shared" si="7"/>
        <v/>
      </c>
      <c r="J21" s="485" t="str">
        <f t="shared" si="9"/>
        <v/>
      </c>
    </row>
    <row r="22" spans="1:10">
      <c r="A22" s="486" t="str">
        <f t="shared" si="0"/>
        <v/>
      </c>
      <c r="B22" s="441" t="str">
        <f t="shared" si="1"/>
        <v/>
      </c>
      <c r="C22" s="485" t="str">
        <f t="shared" si="8"/>
        <v/>
      </c>
      <c r="D22" s="485" t="str">
        <f t="shared" si="2"/>
        <v/>
      </c>
      <c r="E22" s="485" t="str">
        <f t="shared" si="3"/>
        <v/>
      </c>
      <c r="F22" s="485" t="str">
        <f t="shared" si="4"/>
        <v/>
      </c>
      <c r="G22" s="485" t="str">
        <f t="shared" si="5"/>
        <v/>
      </c>
      <c r="H22" s="485" t="str">
        <f t="shared" si="6"/>
        <v/>
      </c>
      <c r="I22" s="485" t="str">
        <f t="shared" si="7"/>
        <v/>
      </c>
      <c r="J22" s="485" t="str">
        <f t="shared" si="9"/>
        <v/>
      </c>
    </row>
    <row r="23" spans="1:10">
      <c r="A23" s="486" t="str">
        <f t="shared" si="0"/>
        <v/>
      </c>
      <c r="B23" s="441" t="str">
        <f t="shared" si="1"/>
        <v/>
      </c>
      <c r="C23" s="485" t="str">
        <f t="shared" si="8"/>
        <v/>
      </c>
      <c r="D23" s="485" t="str">
        <f t="shared" si="2"/>
        <v/>
      </c>
      <c r="E23" s="485" t="str">
        <f t="shared" si="3"/>
        <v/>
      </c>
      <c r="F23" s="485" t="str">
        <f t="shared" si="4"/>
        <v/>
      </c>
      <c r="G23" s="485" t="str">
        <f t="shared" si="5"/>
        <v/>
      </c>
      <c r="H23" s="485" t="str">
        <f t="shared" si="6"/>
        <v/>
      </c>
      <c r="I23" s="485" t="str">
        <f t="shared" si="7"/>
        <v/>
      </c>
      <c r="J23" s="485" t="str">
        <f t="shared" si="9"/>
        <v/>
      </c>
    </row>
    <row r="24" spans="1:10">
      <c r="A24" s="486" t="str">
        <f t="shared" si="0"/>
        <v/>
      </c>
      <c r="B24" s="441" t="str">
        <f t="shared" si="1"/>
        <v/>
      </c>
      <c r="C24" s="485" t="str">
        <f t="shared" si="8"/>
        <v/>
      </c>
      <c r="D24" s="485" t="str">
        <f t="shared" si="2"/>
        <v/>
      </c>
      <c r="E24" s="485" t="str">
        <f t="shared" si="3"/>
        <v/>
      </c>
      <c r="F24" s="485" t="str">
        <f t="shared" si="4"/>
        <v/>
      </c>
      <c r="G24" s="485" t="str">
        <f t="shared" si="5"/>
        <v/>
      </c>
      <c r="H24" s="485" t="str">
        <f t="shared" si="6"/>
        <v/>
      </c>
      <c r="I24" s="485" t="str">
        <f t="shared" si="7"/>
        <v/>
      </c>
      <c r="J24" s="485" t="str">
        <f t="shared" si="9"/>
        <v/>
      </c>
    </row>
    <row r="25" spans="1:10">
      <c r="A25" s="486" t="str">
        <f t="shared" si="0"/>
        <v/>
      </c>
      <c r="B25" s="441" t="str">
        <f t="shared" si="1"/>
        <v/>
      </c>
      <c r="C25" s="485" t="str">
        <f t="shared" si="8"/>
        <v/>
      </c>
      <c r="D25" s="485" t="str">
        <f t="shared" si="2"/>
        <v/>
      </c>
      <c r="E25" s="485" t="str">
        <f t="shared" si="3"/>
        <v/>
      </c>
      <c r="F25" s="485" t="str">
        <f t="shared" si="4"/>
        <v/>
      </c>
      <c r="G25" s="485" t="str">
        <f t="shared" si="5"/>
        <v/>
      </c>
      <c r="H25" s="485" t="str">
        <f t="shared" si="6"/>
        <v/>
      </c>
      <c r="I25" s="485" t="str">
        <f t="shared" si="7"/>
        <v/>
      </c>
      <c r="J25" s="485" t="str">
        <f t="shared" si="9"/>
        <v/>
      </c>
    </row>
    <row r="26" spans="1:10">
      <c r="A26" s="486" t="str">
        <f t="shared" si="0"/>
        <v/>
      </c>
      <c r="B26" s="441" t="str">
        <f t="shared" si="1"/>
        <v/>
      </c>
      <c r="C26" s="485" t="str">
        <f t="shared" si="8"/>
        <v/>
      </c>
      <c r="D26" s="485" t="str">
        <f t="shared" si="2"/>
        <v/>
      </c>
      <c r="E26" s="485" t="str">
        <f t="shared" si="3"/>
        <v/>
      </c>
      <c r="F26" s="485" t="str">
        <f t="shared" si="4"/>
        <v/>
      </c>
      <c r="G26" s="485" t="str">
        <f t="shared" si="5"/>
        <v/>
      </c>
      <c r="H26" s="485" t="str">
        <f t="shared" si="6"/>
        <v/>
      </c>
      <c r="I26" s="485" t="str">
        <f t="shared" si="7"/>
        <v/>
      </c>
      <c r="J26" s="485" t="str">
        <f t="shared" si="9"/>
        <v/>
      </c>
    </row>
    <row r="27" spans="1:10">
      <c r="A27" s="486" t="str">
        <f t="shared" si="0"/>
        <v/>
      </c>
      <c r="B27" s="441" t="str">
        <f t="shared" si="1"/>
        <v/>
      </c>
      <c r="C27" s="485" t="str">
        <f t="shared" si="8"/>
        <v/>
      </c>
      <c r="D27" s="485" t="str">
        <f t="shared" si="2"/>
        <v/>
      </c>
      <c r="E27" s="485" t="str">
        <f t="shared" si="3"/>
        <v/>
      </c>
      <c r="F27" s="485" t="str">
        <f t="shared" si="4"/>
        <v/>
      </c>
      <c r="G27" s="485" t="str">
        <f t="shared" si="5"/>
        <v/>
      </c>
      <c r="H27" s="485" t="str">
        <f t="shared" si="6"/>
        <v/>
      </c>
      <c r="I27" s="485" t="str">
        <f t="shared" si="7"/>
        <v/>
      </c>
      <c r="J27" s="485" t="str">
        <f t="shared" si="9"/>
        <v/>
      </c>
    </row>
    <row r="28" spans="1:10">
      <c r="A28" s="486" t="str">
        <f t="shared" si="0"/>
        <v/>
      </c>
      <c r="B28" s="441" t="str">
        <f t="shared" si="1"/>
        <v/>
      </c>
      <c r="C28" s="485" t="str">
        <f t="shared" si="8"/>
        <v/>
      </c>
      <c r="D28" s="485" t="str">
        <f t="shared" si="2"/>
        <v/>
      </c>
      <c r="E28" s="485" t="str">
        <f t="shared" si="3"/>
        <v/>
      </c>
      <c r="F28" s="485" t="str">
        <f t="shared" si="4"/>
        <v/>
      </c>
      <c r="G28" s="485" t="str">
        <f t="shared" si="5"/>
        <v/>
      </c>
      <c r="H28" s="485" t="str">
        <f t="shared" si="6"/>
        <v/>
      </c>
      <c r="I28" s="485" t="str">
        <f t="shared" si="7"/>
        <v/>
      </c>
      <c r="J28" s="485" t="str">
        <f t="shared" si="9"/>
        <v/>
      </c>
    </row>
    <row r="29" spans="1:10">
      <c r="A29" s="486" t="str">
        <f t="shared" si="0"/>
        <v/>
      </c>
      <c r="B29" s="441" t="str">
        <f t="shared" si="1"/>
        <v/>
      </c>
      <c r="C29" s="485" t="str">
        <f t="shared" si="8"/>
        <v/>
      </c>
      <c r="D29" s="485" t="str">
        <f t="shared" si="2"/>
        <v/>
      </c>
      <c r="E29" s="485" t="str">
        <f t="shared" si="3"/>
        <v/>
      </c>
      <c r="F29" s="485" t="str">
        <f t="shared" si="4"/>
        <v/>
      </c>
      <c r="G29" s="485" t="str">
        <f t="shared" si="5"/>
        <v/>
      </c>
      <c r="H29" s="485" t="str">
        <f t="shared" si="6"/>
        <v/>
      </c>
      <c r="I29" s="485" t="str">
        <f t="shared" si="7"/>
        <v/>
      </c>
      <c r="J29" s="485" t="str">
        <f t="shared" si="9"/>
        <v/>
      </c>
    </row>
    <row r="30" spans="1:10">
      <c r="A30" s="486" t="str">
        <f t="shared" si="0"/>
        <v/>
      </c>
      <c r="B30" s="441" t="str">
        <f t="shared" si="1"/>
        <v/>
      </c>
      <c r="C30" s="485" t="str">
        <f t="shared" si="8"/>
        <v/>
      </c>
      <c r="D30" s="485" t="str">
        <f t="shared" si="2"/>
        <v/>
      </c>
      <c r="E30" s="485" t="str">
        <f t="shared" si="3"/>
        <v/>
      </c>
      <c r="F30" s="485" t="str">
        <f t="shared" si="4"/>
        <v/>
      </c>
      <c r="G30" s="485" t="str">
        <f t="shared" si="5"/>
        <v/>
      </c>
      <c r="H30" s="485" t="str">
        <f t="shared" si="6"/>
        <v/>
      </c>
      <c r="I30" s="485" t="str">
        <f t="shared" si="7"/>
        <v/>
      </c>
      <c r="J30" s="485" t="str">
        <f t="shared" si="9"/>
        <v/>
      </c>
    </row>
    <row r="31" spans="1:10">
      <c r="A31" s="486" t="str">
        <f t="shared" si="0"/>
        <v/>
      </c>
      <c r="B31" s="441" t="str">
        <f t="shared" si="1"/>
        <v/>
      </c>
      <c r="C31" s="485" t="str">
        <f t="shared" si="8"/>
        <v/>
      </c>
      <c r="D31" s="485" t="str">
        <f t="shared" si="2"/>
        <v/>
      </c>
      <c r="E31" s="485" t="str">
        <f t="shared" si="3"/>
        <v/>
      </c>
      <c r="F31" s="485" t="str">
        <f t="shared" si="4"/>
        <v/>
      </c>
      <c r="G31" s="485" t="str">
        <f t="shared" si="5"/>
        <v/>
      </c>
      <c r="H31" s="485" t="str">
        <f t="shared" si="6"/>
        <v/>
      </c>
      <c r="I31" s="485" t="str">
        <f t="shared" si="7"/>
        <v/>
      </c>
      <c r="J31" s="485" t="str">
        <f t="shared" si="9"/>
        <v/>
      </c>
    </row>
    <row r="32" spans="1:10">
      <c r="A32" s="486" t="str">
        <f t="shared" si="0"/>
        <v/>
      </c>
      <c r="B32" s="441" t="str">
        <f t="shared" si="1"/>
        <v/>
      </c>
      <c r="C32" s="485" t="str">
        <f t="shared" si="8"/>
        <v/>
      </c>
      <c r="D32" s="485" t="str">
        <f t="shared" si="2"/>
        <v/>
      </c>
      <c r="E32" s="485" t="str">
        <f t="shared" si="3"/>
        <v/>
      </c>
      <c r="F32" s="485" t="str">
        <f t="shared" si="4"/>
        <v/>
      </c>
      <c r="G32" s="485" t="str">
        <f t="shared" si="5"/>
        <v/>
      </c>
      <c r="H32" s="485" t="str">
        <f t="shared" si="6"/>
        <v/>
      </c>
      <c r="I32" s="485" t="str">
        <f t="shared" si="7"/>
        <v/>
      </c>
      <c r="J32" s="485" t="str">
        <f t="shared" si="9"/>
        <v/>
      </c>
    </row>
    <row r="33" spans="1:10">
      <c r="A33" s="486" t="str">
        <f t="shared" si="0"/>
        <v/>
      </c>
      <c r="B33" s="441" t="str">
        <f t="shared" si="1"/>
        <v/>
      </c>
      <c r="C33" s="485" t="str">
        <f t="shared" si="8"/>
        <v/>
      </c>
      <c r="D33" s="485" t="str">
        <f t="shared" si="2"/>
        <v/>
      </c>
      <c r="E33" s="485" t="str">
        <f t="shared" si="3"/>
        <v/>
      </c>
      <c r="F33" s="485" t="str">
        <f t="shared" si="4"/>
        <v/>
      </c>
      <c r="G33" s="485" t="str">
        <f t="shared" si="5"/>
        <v/>
      </c>
      <c r="H33" s="485" t="str">
        <f t="shared" si="6"/>
        <v/>
      </c>
      <c r="I33" s="485" t="str">
        <f t="shared" si="7"/>
        <v/>
      </c>
      <c r="J33" s="485" t="str">
        <f t="shared" si="9"/>
        <v/>
      </c>
    </row>
    <row r="34" spans="1:10">
      <c r="A34" s="486" t="str">
        <f t="shared" si="0"/>
        <v/>
      </c>
      <c r="B34" s="441" t="str">
        <f t="shared" si="1"/>
        <v/>
      </c>
      <c r="C34" s="485" t="str">
        <f t="shared" si="8"/>
        <v/>
      </c>
      <c r="D34" s="485" t="str">
        <f t="shared" si="2"/>
        <v/>
      </c>
      <c r="E34" s="485" t="str">
        <f t="shared" si="3"/>
        <v/>
      </c>
      <c r="F34" s="485" t="str">
        <f t="shared" si="4"/>
        <v/>
      </c>
      <c r="G34" s="485" t="str">
        <f t="shared" si="5"/>
        <v/>
      </c>
      <c r="H34" s="485" t="str">
        <f t="shared" si="6"/>
        <v/>
      </c>
      <c r="I34" s="485" t="str">
        <f t="shared" si="7"/>
        <v/>
      </c>
      <c r="J34" s="485" t="str">
        <f t="shared" si="9"/>
        <v/>
      </c>
    </row>
    <row r="35" spans="1:10">
      <c r="A35" s="486" t="str">
        <f t="shared" si="0"/>
        <v/>
      </c>
      <c r="B35" s="441" t="str">
        <f t="shared" si="1"/>
        <v/>
      </c>
      <c r="C35" s="485" t="str">
        <f t="shared" si="8"/>
        <v/>
      </c>
      <c r="D35" s="485" t="str">
        <f t="shared" si="2"/>
        <v/>
      </c>
      <c r="E35" s="485" t="str">
        <f t="shared" si="3"/>
        <v/>
      </c>
      <c r="F35" s="485" t="str">
        <f t="shared" si="4"/>
        <v/>
      </c>
      <c r="G35" s="485" t="str">
        <f t="shared" si="5"/>
        <v/>
      </c>
      <c r="H35" s="485" t="str">
        <f t="shared" si="6"/>
        <v/>
      </c>
      <c r="I35" s="485" t="str">
        <f t="shared" si="7"/>
        <v/>
      </c>
      <c r="J35" s="485" t="str">
        <f t="shared" si="9"/>
        <v/>
      </c>
    </row>
    <row r="36" spans="1:10">
      <c r="A36" s="486" t="str">
        <f t="shared" si="0"/>
        <v/>
      </c>
      <c r="B36" s="441" t="str">
        <f t="shared" si="1"/>
        <v/>
      </c>
      <c r="C36" s="485" t="str">
        <f t="shared" si="8"/>
        <v/>
      </c>
      <c r="D36" s="485" t="str">
        <f t="shared" si="2"/>
        <v/>
      </c>
      <c r="E36" s="485" t="str">
        <f t="shared" si="3"/>
        <v/>
      </c>
      <c r="F36" s="485" t="str">
        <f t="shared" si="4"/>
        <v/>
      </c>
      <c r="G36" s="485" t="str">
        <f t="shared" si="5"/>
        <v/>
      </c>
      <c r="H36" s="485" t="str">
        <f t="shared" si="6"/>
        <v/>
      </c>
      <c r="I36" s="485" t="str">
        <f t="shared" si="7"/>
        <v/>
      </c>
      <c r="J36" s="485" t="str">
        <f t="shared" si="9"/>
        <v/>
      </c>
    </row>
    <row r="37" spans="1:10">
      <c r="A37" s="486" t="str">
        <f t="shared" si="0"/>
        <v/>
      </c>
      <c r="B37" s="441" t="str">
        <f t="shared" si="1"/>
        <v/>
      </c>
      <c r="C37" s="485" t="str">
        <f t="shared" si="8"/>
        <v/>
      </c>
      <c r="D37" s="485" t="str">
        <f t="shared" si="2"/>
        <v/>
      </c>
      <c r="E37" s="485" t="str">
        <f t="shared" si="3"/>
        <v/>
      </c>
      <c r="F37" s="485" t="str">
        <f t="shared" si="4"/>
        <v/>
      </c>
      <c r="G37" s="485" t="str">
        <f t="shared" si="5"/>
        <v/>
      </c>
      <c r="H37" s="485" t="str">
        <f t="shared" si="6"/>
        <v/>
      </c>
      <c r="I37" s="485" t="str">
        <f t="shared" si="7"/>
        <v/>
      </c>
      <c r="J37" s="485" t="str">
        <f t="shared" si="9"/>
        <v/>
      </c>
    </row>
    <row r="38" spans="1:10">
      <c r="A38" s="486" t="str">
        <f t="shared" si="0"/>
        <v/>
      </c>
      <c r="B38" s="441" t="str">
        <f t="shared" si="1"/>
        <v/>
      </c>
      <c r="C38" s="485" t="str">
        <f t="shared" si="8"/>
        <v/>
      </c>
      <c r="D38" s="485" t="str">
        <f t="shared" si="2"/>
        <v/>
      </c>
      <c r="E38" s="485" t="str">
        <f t="shared" si="3"/>
        <v/>
      </c>
      <c r="F38" s="485" t="str">
        <f t="shared" si="4"/>
        <v/>
      </c>
      <c r="G38" s="485" t="str">
        <f t="shared" si="5"/>
        <v/>
      </c>
      <c r="H38" s="485" t="str">
        <f t="shared" si="6"/>
        <v/>
      </c>
      <c r="I38" s="485" t="str">
        <f t="shared" si="7"/>
        <v/>
      </c>
      <c r="J38" s="485" t="str">
        <f t="shared" si="9"/>
        <v/>
      </c>
    </row>
    <row r="39" spans="1:10">
      <c r="A39" s="486" t="str">
        <f t="shared" si="0"/>
        <v/>
      </c>
      <c r="B39" s="441" t="str">
        <f t="shared" si="1"/>
        <v/>
      </c>
      <c r="C39" s="485" t="str">
        <f t="shared" si="8"/>
        <v/>
      </c>
      <c r="D39" s="485" t="str">
        <f t="shared" si="2"/>
        <v/>
      </c>
      <c r="E39" s="485" t="str">
        <f t="shared" si="3"/>
        <v/>
      </c>
      <c r="F39" s="485" t="str">
        <f t="shared" si="4"/>
        <v/>
      </c>
      <c r="G39" s="485" t="str">
        <f t="shared" si="5"/>
        <v/>
      </c>
      <c r="H39" s="485" t="str">
        <f t="shared" si="6"/>
        <v/>
      </c>
      <c r="I39" s="485" t="str">
        <f t="shared" si="7"/>
        <v/>
      </c>
      <c r="J39" s="485" t="str">
        <f t="shared" si="9"/>
        <v/>
      </c>
    </row>
    <row r="40" spans="1:10">
      <c r="A40" s="486" t="str">
        <f t="shared" si="0"/>
        <v/>
      </c>
      <c r="B40" s="441" t="str">
        <f t="shared" si="1"/>
        <v/>
      </c>
      <c r="C40" s="485" t="str">
        <f t="shared" si="8"/>
        <v/>
      </c>
      <c r="D40" s="485" t="str">
        <f t="shared" si="2"/>
        <v/>
      </c>
      <c r="E40" s="485" t="str">
        <f t="shared" si="3"/>
        <v/>
      </c>
      <c r="F40" s="485" t="str">
        <f t="shared" si="4"/>
        <v/>
      </c>
      <c r="G40" s="485" t="str">
        <f t="shared" si="5"/>
        <v/>
      </c>
      <c r="H40" s="485" t="str">
        <f t="shared" si="6"/>
        <v/>
      </c>
      <c r="I40" s="485" t="str">
        <f t="shared" si="7"/>
        <v/>
      </c>
      <c r="J40" s="485" t="str">
        <f t="shared" si="9"/>
        <v/>
      </c>
    </row>
    <row r="41" spans="1:10">
      <c r="A41" s="486" t="str">
        <f t="shared" si="0"/>
        <v/>
      </c>
      <c r="B41" s="441" t="str">
        <f t="shared" si="1"/>
        <v/>
      </c>
      <c r="C41" s="485" t="str">
        <f t="shared" si="8"/>
        <v/>
      </c>
      <c r="D41" s="485" t="str">
        <f t="shared" si="2"/>
        <v/>
      </c>
      <c r="E41" s="485" t="str">
        <f t="shared" si="3"/>
        <v/>
      </c>
      <c r="F41" s="485" t="str">
        <f t="shared" si="4"/>
        <v/>
      </c>
      <c r="G41" s="485" t="str">
        <f t="shared" si="5"/>
        <v/>
      </c>
      <c r="H41" s="485" t="str">
        <f t="shared" si="6"/>
        <v/>
      </c>
      <c r="I41" s="485" t="str">
        <f t="shared" si="7"/>
        <v/>
      </c>
      <c r="J41" s="485" t="str">
        <f t="shared" si="9"/>
        <v/>
      </c>
    </row>
    <row r="42" spans="1:10">
      <c r="A42" s="486" t="str">
        <f t="shared" si="0"/>
        <v/>
      </c>
      <c r="B42" s="441" t="str">
        <f t="shared" si="1"/>
        <v/>
      </c>
      <c r="C42" s="485" t="str">
        <f t="shared" si="8"/>
        <v/>
      </c>
      <c r="D42" s="485" t="str">
        <f t="shared" si="2"/>
        <v/>
      </c>
      <c r="E42" s="485" t="str">
        <f t="shared" si="3"/>
        <v/>
      </c>
      <c r="F42" s="485" t="str">
        <f t="shared" si="4"/>
        <v/>
      </c>
      <c r="G42" s="485" t="str">
        <f t="shared" si="5"/>
        <v/>
      </c>
      <c r="H42" s="485" t="str">
        <f t="shared" si="6"/>
        <v/>
      </c>
      <c r="I42" s="485" t="str">
        <f t="shared" si="7"/>
        <v/>
      </c>
      <c r="J42" s="485" t="str">
        <f t="shared" si="9"/>
        <v/>
      </c>
    </row>
    <row r="43" spans="1:10">
      <c r="A43" s="486" t="str">
        <f t="shared" si="0"/>
        <v/>
      </c>
      <c r="B43" s="441" t="str">
        <f t="shared" si="1"/>
        <v/>
      </c>
      <c r="C43" s="485" t="str">
        <f t="shared" si="8"/>
        <v/>
      </c>
      <c r="D43" s="485" t="str">
        <f t="shared" si="2"/>
        <v/>
      </c>
      <c r="E43" s="485" t="str">
        <f t="shared" si="3"/>
        <v/>
      </c>
      <c r="F43" s="485" t="str">
        <f t="shared" si="4"/>
        <v/>
      </c>
      <c r="G43" s="485" t="str">
        <f t="shared" si="5"/>
        <v/>
      </c>
      <c r="H43" s="485" t="str">
        <f t="shared" si="6"/>
        <v/>
      </c>
      <c r="I43" s="485" t="str">
        <f t="shared" si="7"/>
        <v/>
      </c>
      <c r="J43" s="485" t="str">
        <f t="shared" si="9"/>
        <v/>
      </c>
    </row>
    <row r="44" spans="1:10">
      <c r="A44" s="486" t="str">
        <f t="shared" si="0"/>
        <v/>
      </c>
      <c r="B44" s="441" t="str">
        <f t="shared" si="1"/>
        <v/>
      </c>
      <c r="C44" s="485" t="str">
        <f t="shared" si="8"/>
        <v/>
      </c>
      <c r="D44" s="485" t="str">
        <f t="shared" si="2"/>
        <v/>
      </c>
      <c r="E44" s="485" t="str">
        <f t="shared" si="3"/>
        <v/>
      </c>
      <c r="F44" s="485" t="str">
        <f t="shared" si="4"/>
        <v/>
      </c>
      <c r="G44" s="485" t="str">
        <f t="shared" si="5"/>
        <v/>
      </c>
      <c r="H44" s="485" t="str">
        <f t="shared" si="6"/>
        <v/>
      </c>
      <c r="I44" s="485" t="str">
        <f t="shared" si="7"/>
        <v/>
      </c>
      <c r="J44" s="485" t="str">
        <f t="shared" si="9"/>
        <v/>
      </c>
    </row>
    <row r="45" spans="1:10">
      <c r="A45" s="486" t="str">
        <f t="shared" si="0"/>
        <v/>
      </c>
      <c r="B45" s="441" t="str">
        <f t="shared" si="1"/>
        <v/>
      </c>
      <c r="C45" s="485" t="str">
        <f t="shared" si="8"/>
        <v/>
      </c>
      <c r="D45" s="485" t="str">
        <f t="shared" si="2"/>
        <v/>
      </c>
      <c r="E45" s="485" t="str">
        <f t="shared" si="3"/>
        <v/>
      </c>
      <c r="F45" s="485" t="str">
        <f t="shared" si="4"/>
        <v/>
      </c>
      <c r="G45" s="485" t="str">
        <f t="shared" si="5"/>
        <v/>
      </c>
      <c r="H45" s="485" t="str">
        <f t="shared" si="6"/>
        <v/>
      </c>
      <c r="I45" s="485" t="str">
        <f t="shared" si="7"/>
        <v/>
      </c>
      <c r="J45" s="485" t="str">
        <f t="shared" si="9"/>
        <v/>
      </c>
    </row>
    <row r="46" spans="1:10">
      <c r="A46" s="486" t="str">
        <f t="shared" si="0"/>
        <v/>
      </c>
      <c r="B46" s="441" t="str">
        <f t="shared" si="1"/>
        <v/>
      </c>
      <c r="C46" s="485" t="str">
        <f t="shared" si="8"/>
        <v/>
      </c>
      <c r="D46" s="485" t="str">
        <f t="shared" si="2"/>
        <v/>
      </c>
      <c r="E46" s="485" t="str">
        <f t="shared" si="3"/>
        <v/>
      </c>
      <c r="F46" s="485" t="str">
        <f t="shared" si="4"/>
        <v/>
      </c>
      <c r="G46" s="485" t="str">
        <f t="shared" si="5"/>
        <v/>
      </c>
      <c r="H46" s="485" t="str">
        <f t="shared" si="6"/>
        <v/>
      </c>
      <c r="I46" s="485" t="str">
        <f t="shared" si="7"/>
        <v/>
      </c>
      <c r="J46" s="485" t="str">
        <f t="shared" si="9"/>
        <v/>
      </c>
    </row>
    <row r="47" spans="1:10">
      <c r="A47" s="486" t="str">
        <f t="shared" si="0"/>
        <v/>
      </c>
      <c r="B47" s="441" t="str">
        <f t="shared" si="1"/>
        <v/>
      </c>
      <c r="C47" s="485" t="str">
        <f t="shared" si="8"/>
        <v/>
      </c>
      <c r="D47" s="485" t="str">
        <f t="shared" si="2"/>
        <v/>
      </c>
      <c r="E47" s="485" t="str">
        <f t="shared" si="3"/>
        <v/>
      </c>
      <c r="F47" s="485" t="str">
        <f t="shared" si="4"/>
        <v/>
      </c>
      <c r="G47" s="485" t="str">
        <f t="shared" si="5"/>
        <v/>
      </c>
      <c r="H47" s="485" t="str">
        <f t="shared" si="6"/>
        <v/>
      </c>
      <c r="I47" s="485" t="str">
        <f t="shared" si="7"/>
        <v/>
      </c>
      <c r="J47" s="485" t="str">
        <f t="shared" si="9"/>
        <v/>
      </c>
    </row>
    <row r="48" spans="1:10">
      <c r="A48" s="486" t="str">
        <f t="shared" si="0"/>
        <v/>
      </c>
      <c r="B48" s="441" t="str">
        <f t="shared" si="1"/>
        <v/>
      </c>
      <c r="C48" s="485" t="str">
        <f t="shared" si="8"/>
        <v/>
      </c>
      <c r="D48" s="485" t="str">
        <f t="shared" si="2"/>
        <v/>
      </c>
      <c r="E48" s="485" t="str">
        <f t="shared" si="3"/>
        <v/>
      </c>
      <c r="F48" s="485" t="str">
        <f t="shared" si="4"/>
        <v/>
      </c>
      <c r="G48" s="485" t="str">
        <f t="shared" si="5"/>
        <v/>
      </c>
      <c r="H48" s="485" t="str">
        <f t="shared" si="6"/>
        <v/>
      </c>
      <c r="I48" s="485" t="str">
        <f t="shared" si="7"/>
        <v/>
      </c>
      <c r="J48" s="485" t="str">
        <f t="shared" si="9"/>
        <v/>
      </c>
    </row>
    <row r="49" spans="1:10">
      <c r="A49" s="486" t="str">
        <f t="shared" si="0"/>
        <v/>
      </c>
      <c r="B49" s="441" t="str">
        <f t="shared" si="1"/>
        <v/>
      </c>
      <c r="C49" s="485" t="str">
        <f t="shared" si="8"/>
        <v/>
      </c>
      <c r="D49" s="485" t="str">
        <f t="shared" si="2"/>
        <v/>
      </c>
      <c r="E49" s="485" t="str">
        <f t="shared" si="3"/>
        <v/>
      </c>
      <c r="F49" s="485" t="str">
        <f t="shared" si="4"/>
        <v/>
      </c>
      <c r="G49" s="485" t="str">
        <f t="shared" si="5"/>
        <v/>
      </c>
      <c r="H49" s="485" t="str">
        <f t="shared" si="6"/>
        <v/>
      </c>
      <c r="I49" s="485" t="str">
        <f t="shared" si="7"/>
        <v/>
      </c>
      <c r="J49" s="485" t="str">
        <f t="shared" si="9"/>
        <v/>
      </c>
    </row>
    <row r="50" spans="1:10">
      <c r="A50" s="486" t="str">
        <f t="shared" si="0"/>
        <v/>
      </c>
      <c r="B50" s="441" t="str">
        <f t="shared" si="1"/>
        <v/>
      </c>
      <c r="C50" s="485" t="str">
        <f t="shared" si="8"/>
        <v/>
      </c>
      <c r="D50" s="485" t="str">
        <f t="shared" si="2"/>
        <v/>
      </c>
      <c r="E50" s="485" t="str">
        <f t="shared" si="3"/>
        <v/>
      </c>
      <c r="F50" s="485" t="str">
        <f t="shared" si="4"/>
        <v/>
      </c>
      <c r="G50" s="485" t="str">
        <f t="shared" si="5"/>
        <v/>
      </c>
      <c r="H50" s="485" t="str">
        <f t="shared" si="6"/>
        <v/>
      </c>
      <c r="I50" s="485" t="str">
        <f t="shared" si="7"/>
        <v/>
      </c>
      <c r="J50" s="485" t="str">
        <f t="shared" si="9"/>
        <v/>
      </c>
    </row>
    <row r="51" spans="1:10">
      <c r="A51" s="486" t="str">
        <f t="shared" ref="A51:A82" si="10">IF(AND(N($D$5)&gt;0,ROW()-19+1&lt;=$D$12),ROW()-19+1,"")</f>
        <v/>
      </c>
      <c r="B51" s="441" t="str">
        <f t="shared" ref="B51:B82" si="11">IF($A51="","",EDATE($D$9,$A51))</f>
        <v/>
      </c>
      <c r="C51" s="485" t="str">
        <f t="shared" si="8"/>
        <v/>
      </c>
      <c r="D51" s="485" t="str">
        <f t="shared" ref="D51:D82" si="12">IF($A51="","",$J$5)</f>
        <v/>
      </c>
      <c r="E51" s="485" t="str">
        <f t="shared" ref="E51:E82" si="13">IF($A51="","",$D$10)</f>
        <v/>
      </c>
      <c r="F51" s="485" t="str">
        <f t="shared" ref="F51:F82" si="14">IF($A51="","",D51+E51)</f>
        <v/>
      </c>
      <c r="G51" s="485" t="str">
        <f t="shared" ref="G51:G82" si="15">IF($A51="","",MIN(F51-H51,C51))</f>
        <v/>
      </c>
      <c r="H51" s="485" t="str">
        <f t="shared" ref="H51:H82" si="16">IF($A51="","",C51*($D$6/$D$8))</f>
        <v/>
      </c>
      <c r="I51" s="485" t="str">
        <f t="shared" ref="I51:I82" si="17">IF($A51="","",C51-G51)</f>
        <v/>
      </c>
      <c r="J51" s="485" t="str">
        <f t="shared" si="9"/>
        <v/>
      </c>
    </row>
    <row r="52" spans="1:10">
      <c r="A52" s="486" t="str">
        <f t="shared" si="10"/>
        <v/>
      </c>
      <c r="B52" s="441" t="str">
        <f t="shared" si="11"/>
        <v/>
      </c>
      <c r="C52" s="485" t="str">
        <f t="shared" ref="C52:C83" si="18">IF($A52="","",I51)</f>
        <v/>
      </c>
      <c r="D52" s="485" t="str">
        <f t="shared" si="12"/>
        <v/>
      </c>
      <c r="E52" s="485" t="str">
        <f t="shared" si="13"/>
        <v/>
      </c>
      <c r="F52" s="485" t="str">
        <f t="shared" si="14"/>
        <v/>
      </c>
      <c r="G52" s="485" t="str">
        <f t="shared" si="15"/>
        <v/>
      </c>
      <c r="H52" s="485" t="str">
        <f t="shared" si="16"/>
        <v/>
      </c>
      <c r="I52" s="485" t="str">
        <f t="shared" si="17"/>
        <v/>
      </c>
      <c r="J52" s="485" t="str">
        <f t="shared" ref="J52:J83" si="19">IF($A52="","",J51+H52)</f>
        <v/>
      </c>
    </row>
    <row r="53" spans="1:10">
      <c r="A53" s="486" t="str">
        <f t="shared" si="10"/>
        <v/>
      </c>
      <c r="B53" s="441" t="str">
        <f t="shared" si="11"/>
        <v/>
      </c>
      <c r="C53" s="485" t="str">
        <f t="shared" si="18"/>
        <v/>
      </c>
      <c r="D53" s="485" t="str">
        <f t="shared" si="12"/>
        <v/>
      </c>
      <c r="E53" s="485" t="str">
        <f t="shared" si="13"/>
        <v/>
      </c>
      <c r="F53" s="485" t="str">
        <f t="shared" si="14"/>
        <v/>
      </c>
      <c r="G53" s="485" t="str">
        <f t="shared" si="15"/>
        <v/>
      </c>
      <c r="H53" s="485" t="str">
        <f t="shared" si="16"/>
        <v/>
      </c>
      <c r="I53" s="485" t="str">
        <f t="shared" si="17"/>
        <v/>
      </c>
      <c r="J53" s="485" t="str">
        <f t="shared" si="19"/>
        <v/>
      </c>
    </row>
    <row r="54" spans="1:10">
      <c r="A54" s="486" t="str">
        <f t="shared" si="10"/>
        <v/>
      </c>
      <c r="B54" s="441" t="str">
        <f t="shared" si="11"/>
        <v/>
      </c>
      <c r="C54" s="485" t="str">
        <f t="shared" si="18"/>
        <v/>
      </c>
      <c r="D54" s="485" t="str">
        <f t="shared" si="12"/>
        <v/>
      </c>
      <c r="E54" s="485" t="str">
        <f t="shared" si="13"/>
        <v/>
      </c>
      <c r="F54" s="485" t="str">
        <f t="shared" si="14"/>
        <v/>
      </c>
      <c r="G54" s="485" t="str">
        <f t="shared" si="15"/>
        <v/>
      </c>
      <c r="H54" s="485" t="str">
        <f t="shared" si="16"/>
        <v/>
      </c>
      <c r="I54" s="485" t="str">
        <f t="shared" si="17"/>
        <v/>
      </c>
      <c r="J54" s="485" t="str">
        <f t="shared" si="19"/>
        <v/>
      </c>
    </row>
    <row r="55" spans="1:10">
      <c r="A55" s="486" t="str">
        <f t="shared" si="10"/>
        <v/>
      </c>
      <c r="B55" s="441" t="str">
        <f t="shared" si="11"/>
        <v/>
      </c>
      <c r="C55" s="485" t="str">
        <f t="shared" si="18"/>
        <v/>
      </c>
      <c r="D55" s="485" t="str">
        <f t="shared" si="12"/>
        <v/>
      </c>
      <c r="E55" s="485" t="str">
        <f t="shared" si="13"/>
        <v/>
      </c>
      <c r="F55" s="485" t="str">
        <f t="shared" si="14"/>
        <v/>
      </c>
      <c r="G55" s="485" t="str">
        <f t="shared" si="15"/>
        <v/>
      </c>
      <c r="H55" s="485" t="str">
        <f t="shared" si="16"/>
        <v/>
      </c>
      <c r="I55" s="485" t="str">
        <f t="shared" si="17"/>
        <v/>
      </c>
      <c r="J55" s="485" t="str">
        <f t="shared" si="19"/>
        <v/>
      </c>
    </row>
    <row r="56" spans="1:10">
      <c r="A56" s="486" t="str">
        <f t="shared" si="10"/>
        <v/>
      </c>
      <c r="B56" s="441" t="str">
        <f t="shared" si="11"/>
        <v/>
      </c>
      <c r="C56" s="485" t="str">
        <f t="shared" si="18"/>
        <v/>
      </c>
      <c r="D56" s="485" t="str">
        <f t="shared" si="12"/>
        <v/>
      </c>
      <c r="E56" s="485" t="str">
        <f t="shared" si="13"/>
        <v/>
      </c>
      <c r="F56" s="485" t="str">
        <f t="shared" si="14"/>
        <v/>
      </c>
      <c r="G56" s="485" t="str">
        <f t="shared" si="15"/>
        <v/>
      </c>
      <c r="H56" s="485" t="str">
        <f t="shared" si="16"/>
        <v/>
      </c>
      <c r="I56" s="485" t="str">
        <f t="shared" si="17"/>
        <v/>
      </c>
      <c r="J56" s="485" t="str">
        <f t="shared" si="19"/>
        <v/>
      </c>
    </row>
    <row r="57" spans="1:10">
      <c r="A57" s="486" t="str">
        <f t="shared" si="10"/>
        <v/>
      </c>
      <c r="B57" s="441" t="str">
        <f t="shared" si="11"/>
        <v/>
      </c>
      <c r="C57" s="485" t="str">
        <f t="shared" si="18"/>
        <v/>
      </c>
      <c r="D57" s="485" t="str">
        <f t="shared" si="12"/>
        <v/>
      </c>
      <c r="E57" s="485" t="str">
        <f t="shared" si="13"/>
        <v/>
      </c>
      <c r="F57" s="485" t="str">
        <f t="shared" si="14"/>
        <v/>
      </c>
      <c r="G57" s="485" t="str">
        <f t="shared" si="15"/>
        <v/>
      </c>
      <c r="H57" s="485" t="str">
        <f t="shared" si="16"/>
        <v/>
      </c>
      <c r="I57" s="485" t="str">
        <f t="shared" si="17"/>
        <v/>
      </c>
      <c r="J57" s="485" t="str">
        <f t="shared" si="19"/>
        <v/>
      </c>
    </row>
    <row r="58" spans="1:10">
      <c r="A58" s="486" t="str">
        <f t="shared" si="10"/>
        <v/>
      </c>
      <c r="B58" s="441" t="str">
        <f t="shared" si="11"/>
        <v/>
      </c>
      <c r="C58" s="485" t="str">
        <f t="shared" si="18"/>
        <v/>
      </c>
      <c r="D58" s="485" t="str">
        <f t="shared" si="12"/>
        <v/>
      </c>
      <c r="E58" s="485" t="str">
        <f t="shared" si="13"/>
        <v/>
      </c>
      <c r="F58" s="485" t="str">
        <f t="shared" si="14"/>
        <v/>
      </c>
      <c r="G58" s="485" t="str">
        <f t="shared" si="15"/>
        <v/>
      </c>
      <c r="H58" s="485" t="str">
        <f t="shared" si="16"/>
        <v/>
      </c>
      <c r="I58" s="485" t="str">
        <f t="shared" si="17"/>
        <v/>
      </c>
      <c r="J58" s="485" t="str">
        <f t="shared" si="19"/>
        <v/>
      </c>
    </row>
    <row r="59" spans="1:10">
      <c r="A59" s="486" t="str">
        <f t="shared" si="10"/>
        <v/>
      </c>
      <c r="B59" s="441" t="str">
        <f t="shared" si="11"/>
        <v/>
      </c>
      <c r="C59" s="485" t="str">
        <f t="shared" si="18"/>
        <v/>
      </c>
      <c r="D59" s="485" t="str">
        <f t="shared" si="12"/>
        <v/>
      </c>
      <c r="E59" s="485" t="str">
        <f t="shared" si="13"/>
        <v/>
      </c>
      <c r="F59" s="485" t="str">
        <f t="shared" si="14"/>
        <v/>
      </c>
      <c r="G59" s="485" t="str">
        <f t="shared" si="15"/>
        <v/>
      </c>
      <c r="H59" s="485" t="str">
        <f t="shared" si="16"/>
        <v/>
      </c>
      <c r="I59" s="485" t="str">
        <f t="shared" si="17"/>
        <v/>
      </c>
      <c r="J59" s="485" t="str">
        <f t="shared" si="19"/>
        <v/>
      </c>
    </row>
    <row r="60" spans="1:10">
      <c r="A60" s="486" t="str">
        <f t="shared" si="10"/>
        <v/>
      </c>
      <c r="B60" s="441" t="str">
        <f t="shared" si="11"/>
        <v/>
      </c>
      <c r="C60" s="485" t="str">
        <f t="shared" si="18"/>
        <v/>
      </c>
      <c r="D60" s="485" t="str">
        <f t="shared" si="12"/>
        <v/>
      </c>
      <c r="E60" s="485" t="str">
        <f t="shared" si="13"/>
        <v/>
      </c>
      <c r="F60" s="485" t="str">
        <f t="shared" si="14"/>
        <v/>
      </c>
      <c r="G60" s="485" t="str">
        <f t="shared" si="15"/>
        <v/>
      </c>
      <c r="H60" s="485" t="str">
        <f t="shared" si="16"/>
        <v/>
      </c>
      <c r="I60" s="485" t="str">
        <f t="shared" si="17"/>
        <v/>
      </c>
      <c r="J60" s="485" t="str">
        <f t="shared" si="19"/>
        <v/>
      </c>
    </row>
    <row r="61" spans="1:10">
      <c r="A61" s="486" t="str">
        <f t="shared" si="10"/>
        <v/>
      </c>
      <c r="B61" s="441" t="str">
        <f t="shared" si="11"/>
        <v/>
      </c>
      <c r="C61" s="485" t="str">
        <f t="shared" si="18"/>
        <v/>
      </c>
      <c r="D61" s="485" t="str">
        <f t="shared" si="12"/>
        <v/>
      </c>
      <c r="E61" s="485" t="str">
        <f t="shared" si="13"/>
        <v/>
      </c>
      <c r="F61" s="485" t="str">
        <f t="shared" si="14"/>
        <v/>
      </c>
      <c r="G61" s="485" t="str">
        <f t="shared" si="15"/>
        <v/>
      </c>
      <c r="H61" s="485" t="str">
        <f t="shared" si="16"/>
        <v/>
      </c>
      <c r="I61" s="485" t="str">
        <f t="shared" si="17"/>
        <v/>
      </c>
      <c r="J61" s="485" t="str">
        <f t="shared" si="19"/>
        <v/>
      </c>
    </row>
    <row r="62" spans="1:10">
      <c r="A62" s="486" t="str">
        <f t="shared" si="10"/>
        <v/>
      </c>
      <c r="B62" s="441" t="str">
        <f t="shared" si="11"/>
        <v/>
      </c>
      <c r="C62" s="485" t="str">
        <f t="shared" si="18"/>
        <v/>
      </c>
      <c r="D62" s="485" t="str">
        <f t="shared" si="12"/>
        <v/>
      </c>
      <c r="E62" s="485" t="str">
        <f t="shared" si="13"/>
        <v/>
      </c>
      <c r="F62" s="485" t="str">
        <f t="shared" si="14"/>
        <v/>
      </c>
      <c r="G62" s="485" t="str">
        <f t="shared" si="15"/>
        <v/>
      </c>
      <c r="H62" s="485" t="str">
        <f t="shared" si="16"/>
        <v/>
      </c>
      <c r="I62" s="485" t="str">
        <f t="shared" si="17"/>
        <v/>
      </c>
      <c r="J62" s="485" t="str">
        <f t="shared" si="19"/>
        <v/>
      </c>
    </row>
    <row r="63" spans="1:10">
      <c r="A63" s="486" t="str">
        <f t="shared" si="10"/>
        <v/>
      </c>
      <c r="B63" s="441" t="str">
        <f t="shared" si="11"/>
        <v/>
      </c>
      <c r="C63" s="485" t="str">
        <f t="shared" si="18"/>
        <v/>
      </c>
      <c r="D63" s="485" t="str">
        <f t="shared" si="12"/>
        <v/>
      </c>
      <c r="E63" s="485" t="str">
        <f t="shared" si="13"/>
        <v/>
      </c>
      <c r="F63" s="485" t="str">
        <f t="shared" si="14"/>
        <v/>
      </c>
      <c r="G63" s="485" t="str">
        <f t="shared" si="15"/>
        <v/>
      </c>
      <c r="H63" s="485" t="str">
        <f t="shared" si="16"/>
        <v/>
      </c>
      <c r="I63" s="485" t="str">
        <f t="shared" si="17"/>
        <v/>
      </c>
      <c r="J63" s="485" t="str">
        <f t="shared" si="19"/>
        <v/>
      </c>
    </row>
    <row r="64" spans="1:10">
      <c r="A64" s="486" t="str">
        <f t="shared" si="10"/>
        <v/>
      </c>
      <c r="B64" s="441" t="str">
        <f t="shared" si="11"/>
        <v/>
      </c>
      <c r="C64" s="485" t="str">
        <f t="shared" si="18"/>
        <v/>
      </c>
      <c r="D64" s="485" t="str">
        <f t="shared" si="12"/>
        <v/>
      </c>
      <c r="E64" s="485" t="str">
        <f t="shared" si="13"/>
        <v/>
      </c>
      <c r="F64" s="485" t="str">
        <f t="shared" si="14"/>
        <v/>
      </c>
      <c r="G64" s="485" t="str">
        <f t="shared" si="15"/>
        <v/>
      </c>
      <c r="H64" s="485" t="str">
        <f t="shared" si="16"/>
        <v/>
      </c>
      <c r="I64" s="485" t="str">
        <f t="shared" si="17"/>
        <v/>
      </c>
      <c r="J64" s="485" t="str">
        <f t="shared" si="19"/>
        <v/>
      </c>
    </row>
    <row r="65" spans="1:10">
      <c r="A65" s="486" t="str">
        <f t="shared" si="10"/>
        <v/>
      </c>
      <c r="B65" s="441" t="str">
        <f t="shared" si="11"/>
        <v/>
      </c>
      <c r="C65" s="485" t="str">
        <f t="shared" si="18"/>
        <v/>
      </c>
      <c r="D65" s="485" t="str">
        <f t="shared" si="12"/>
        <v/>
      </c>
      <c r="E65" s="485" t="str">
        <f t="shared" si="13"/>
        <v/>
      </c>
      <c r="F65" s="485" t="str">
        <f t="shared" si="14"/>
        <v/>
      </c>
      <c r="G65" s="485" t="str">
        <f t="shared" si="15"/>
        <v/>
      </c>
      <c r="H65" s="485" t="str">
        <f t="shared" si="16"/>
        <v/>
      </c>
      <c r="I65" s="485" t="str">
        <f t="shared" si="17"/>
        <v/>
      </c>
      <c r="J65" s="485" t="str">
        <f t="shared" si="19"/>
        <v/>
      </c>
    </row>
    <row r="66" spans="1:10">
      <c r="A66" s="486" t="str">
        <f t="shared" si="10"/>
        <v/>
      </c>
      <c r="B66" s="441" t="str">
        <f t="shared" si="11"/>
        <v/>
      </c>
      <c r="C66" s="485" t="str">
        <f t="shared" si="18"/>
        <v/>
      </c>
      <c r="D66" s="485" t="str">
        <f t="shared" si="12"/>
        <v/>
      </c>
      <c r="E66" s="485" t="str">
        <f t="shared" si="13"/>
        <v/>
      </c>
      <c r="F66" s="485" t="str">
        <f t="shared" si="14"/>
        <v/>
      </c>
      <c r="G66" s="485" t="str">
        <f t="shared" si="15"/>
        <v/>
      </c>
      <c r="H66" s="485" t="str">
        <f t="shared" si="16"/>
        <v/>
      </c>
      <c r="I66" s="485" t="str">
        <f t="shared" si="17"/>
        <v/>
      </c>
      <c r="J66" s="485" t="str">
        <f t="shared" si="19"/>
        <v/>
      </c>
    </row>
    <row r="67" spans="1:10">
      <c r="A67" s="486" t="str">
        <f t="shared" si="10"/>
        <v/>
      </c>
      <c r="B67" s="441" t="str">
        <f t="shared" si="11"/>
        <v/>
      </c>
      <c r="C67" s="485" t="str">
        <f t="shared" si="18"/>
        <v/>
      </c>
      <c r="D67" s="485" t="str">
        <f t="shared" si="12"/>
        <v/>
      </c>
      <c r="E67" s="485" t="str">
        <f t="shared" si="13"/>
        <v/>
      </c>
      <c r="F67" s="485" t="str">
        <f t="shared" si="14"/>
        <v/>
      </c>
      <c r="G67" s="485" t="str">
        <f t="shared" si="15"/>
        <v/>
      </c>
      <c r="H67" s="485" t="str">
        <f t="shared" si="16"/>
        <v/>
      </c>
      <c r="I67" s="485" t="str">
        <f t="shared" si="17"/>
        <v/>
      </c>
      <c r="J67" s="485" t="str">
        <f t="shared" si="19"/>
        <v/>
      </c>
    </row>
    <row r="68" spans="1:10">
      <c r="A68" s="486" t="str">
        <f t="shared" si="10"/>
        <v/>
      </c>
      <c r="B68" s="441" t="str">
        <f t="shared" si="11"/>
        <v/>
      </c>
      <c r="C68" s="485" t="str">
        <f t="shared" si="18"/>
        <v/>
      </c>
      <c r="D68" s="485" t="str">
        <f t="shared" si="12"/>
        <v/>
      </c>
      <c r="E68" s="485" t="str">
        <f t="shared" si="13"/>
        <v/>
      </c>
      <c r="F68" s="485" t="str">
        <f t="shared" si="14"/>
        <v/>
      </c>
      <c r="G68" s="485" t="str">
        <f t="shared" si="15"/>
        <v/>
      </c>
      <c r="H68" s="485" t="str">
        <f t="shared" si="16"/>
        <v/>
      </c>
      <c r="I68" s="485" t="str">
        <f t="shared" si="17"/>
        <v/>
      </c>
      <c r="J68" s="485" t="str">
        <f t="shared" si="19"/>
        <v/>
      </c>
    </row>
    <row r="69" spans="1:10">
      <c r="A69" s="486" t="str">
        <f t="shared" si="10"/>
        <v/>
      </c>
      <c r="B69" s="441" t="str">
        <f t="shared" si="11"/>
        <v/>
      </c>
      <c r="C69" s="485" t="str">
        <f t="shared" si="18"/>
        <v/>
      </c>
      <c r="D69" s="485" t="str">
        <f t="shared" si="12"/>
        <v/>
      </c>
      <c r="E69" s="485" t="str">
        <f t="shared" si="13"/>
        <v/>
      </c>
      <c r="F69" s="485" t="str">
        <f t="shared" si="14"/>
        <v/>
      </c>
      <c r="G69" s="485" t="str">
        <f t="shared" si="15"/>
        <v/>
      </c>
      <c r="H69" s="485" t="str">
        <f t="shared" si="16"/>
        <v/>
      </c>
      <c r="I69" s="485" t="str">
        <f t="shared" si="17"/>
        <v/>
      </c>
      <c r="J69" s="485" t="str">
        <f t="shared" si="19"/>
        <v/>
      </c>
    </row>
    <row r="70" spans="1:10">
      <c r="A70" s="486" t="str">
        <f t="shared" si="10"/>
        <v/>
      </c>
      <c r="B70" s="441" t="str">
        <f t="shared" si="11"/>
        <v/>
      </c>
      <c r="C70" s="485" t="str">
        <f t="shared" si="18"/>
        <v/>
      </c>
      <c r="D70" s="485" t="str">
        <f t="shared" si="12"/>
        <v/>
      </c>
      <c r="E70" s="485" t="str">
        <f t="shared" si="13"/>
        <v/>
      </c>
      <c r="F70" s="485" t="str">
        <f t="shared" si="14"/>
        <v/>
      </c>
      <c r="G70" s="485" t="str">
        <f t="shared" si="15"/>
        <v/>
      </c>
      <c r="H70" s="485" t="str">
        <f t="shared" si="16"/>
        <v/>
      </c>
      <c r="I70" s="485" t="str">
        <f t="shared" si="17"/>
        <v/>
      </c>
      <c r="J70" s="485" t="str">
        <f t="shared" si="19"/>
        <v/>
      </c>
    </row>
    <row r="71" spans="1:10">
      <c r="A71" s="486" t="str">
        <f t="shared" si="10"/>
        <v/>
      </c>
      <c r="B71" s="441" t="str">
        <f t="shared" si="11"/>
        <v/>
      </c>
      <c r="C71" s="485" t="str">
        <f t="shared" si="18"/>
        <v/>
      </c>
      <c r="D71" s="485" t="str">
        <f t="shared" si="12"/>
        <v/>
      </c>
      <c r="E71" s="485" t="str">
        <f t="shared" si="13"/>
        <v/>
      </c>
      <c r="F71" s="485" t="str">
        <f t="shared" si="14"/>
        <v/>
      </c>
      <c r="G71" s="485" t="str">
        <f t="shared" si="15"/>
        <v/>
      </c>
      <c r="H71" s="485" t="str">
        <f t="shared" si="16"/>
        <v/>
      </c>
      <c r="I71" s="485" t="str">
        <f t="shared" si="17"/>
        <v/>
      </c>
      <c r="J71" s="485" t="str">
        <f t="shared" si="19"/>
        <v/>
      </c>
    </row>
    <row r="72" spans="1:10">
      <c r="A72" s="486" t="str">
        <f t="shared" si="10"/>
        <v/>
      </c>
      <c r="B72" s="441" t="str">
        <f t="shared" si="11"/>
        <v/>
      </c>
      <c r="C72" s="485" t="str">
        <f t="shared" si="18"/>
        <v/>
      </c>
      <c r="D72" s="485" t="str">
        <f t="shared" si="12"/>
        <v/>
      </c>
      <c r="E72" s="485" t="str">
        <f t="shared" si="13"/>
        <v/>
      </c>
      <c r="F72" s="485" t="str">
        <f t="shared" si="14"/>
        <v/>
      </c>
      <c r="G72" s="485" t="str">
        <f t="shared" si="15"/>
        <v/>
      </c>
      <c r="H72" s="485" t="str">
        <f t="shared" si="16"/>
        <v/>
      </c>
      <c r="I72" s="485" t="str">
        <f t="shared" si="17"/>
        <v/>
      </c>
      <c r="J72" s="485" t="str">
        <f t="shared" si="19"/>
        <v/>
      </c>
    </row>
    <row r="73" spans="1:10">
      <c r="A73" s="486" t="str">
        <f t="shared" si="10"/>
        <v/>
      </c>
      <c r="B73" s="441" t="str">
        <f t="shared" si="11"/>
        <v/>
      </c>
      <c r="C73" s="485" t="str">
        <f t="shared" si="18"/>
        <v/>
      </c>
      <c r="D73" s="485" t="str">
        <f t="shared" si="12"/>
        <v/>
      </c>
      <c r="E73" s="485" t="str">
        <f t="shared" si="13"/>
        <v/>
      </c>
      <c r="F73" s="485" t="str">
        <f t="shared" si="14"/>
        <v/>
      </c>
      <c r="G73" s="485" t="str">
        <f t="shared" si="15"/>
        <v/>
      </c>
      <c r="H73" s="485" t="str">
        <f t="shared" si="16"/>
        <v/>
      </c>
      <c r="I73" s="485" t="str">
        <f t="shared" si="17"/>
        <v/>
      </c>
      <c r="J73" s="485" t="str">
        <f t="shared" si="19"/>
        <v/>
      </c>
    </row>
    <row r="74" spans="1:10">
      <c r="A74" s="486" t="str">
        <f t="shared" si="10"/>
        <v/>
      </c>
      <c r="B74" s="441" t="str">
        <f t="shared" si="11"/>
        <v/>
      </c>
      <c r="C74" s="485" t="str">
        <f t="shared" si="18"/>
        <v/>
      </c>
      <c r="D74" s="485" t="str">
        <f t="shared" si="12"/>
        <v/>
      </c>
      <c r="E74" s="485" t="str">
        <f t="shared" si="13"/>
        <v/>
      </c>
      <c r="F74" s="485" t="str">
        <f t="shared" si="14"/>
        <v/>
      </c>
      <c r="G74" s="485" t="str">
        <f t="shared" si="15"/>
        <v/>
      </c>
      <c r="H74" s="485" t="str">
        <f t="shared" si="16"/>
        <v/>
      </c>
      <c r="I74" s="485" t="str">
        <f t="shared" si="17"/>
        <v/>
      </c>
      <c r="J74" s="485" t="str">
        <f t="shared" si="19"/>
        <v/>
      </c>
    </row>
    <row r="75" spans="1:10">
      <c r="A75" s="486" t="str">
        <f t="shared" si="10"/>
        <v/>
      </c>
      <c r="B75" s="441" t="str">
        <f t="shared" si="11"/>
        <v/>
      </c>
      <c r="C75" s="485" t="str">
        <f t="shared" si="18"/>
        <v/>
      </c>
      <c r="D75" s="485" t="str">
        <f t="shared" si="12"/>
        <v/>
      </c>
      <c r="E75" s="485" t="str">
        <f t="shared" si="13"/>
        <v/>
      </c>
      <c r="F75" s="485" t="str">
        <f t="shared" si="14"/>
        <v/>
      </c>
      <c r="G75" s="485" t="str">
        <f t="shared" si="15"/>
        <v/>
      </c>
      <c r="H75" s="485" t="str">
        <f t="shared" si="16"/>
        <v/>
      </c>
      <c r="I75" s="485" t="str">
        <f t="shared" si="17"/>
        <v/>
      </c>
      <c r="J75" s="485" t="str">
        <f t="shared" si="19"/>
        <v/>
      </c>
    </row>
    <row r="76" spans="1:10">
      <c r="A76" s="486" t="str">
        <f t="shared" si="10"/>
        <v/>
      </c>
      <c r="B76" s="441" t="str">
        <f t="shared" si="11"/>
        <v/>
      </c>
      <c r="C76" s="485" t="str">
        <f t="shared" si="18"/>
        <v/>
      </c>
      <c r="D76" s="485" t="str">
        <f t="shared" si="12"/>
        <v/>
      </c>
      <c r="E76" s="485" t="str">
        <f t="shared" si="13"/>
        <v/>
      </c>
      <c r="F76" s="485" t="str">
        <f t="shared" si="14"/>
        <v/>
      </c>
      <c r="G76" s="485" t="str">
        <f t="shared" si="15"/>
        <v/>
      </c>
      <c r="H76" s="485" t="str">
        <f t="shared" si="16"/>
        <v/>
      </c>
      <c r="I76" s="485" t="str">
        <f t="shared" si="17"/>
        <v/>
      </c>
      <c r="J76" s="485" t="str">
        <f t="shared" si="19"/>
        <v/>
      </c>
    </row>
    <row r="77" spans="1:10">
      <c r="A77" s="486" t="str">
        <f t="shared" si="10"/>
        <v/>
      </c>
      <c r="B77" s="441" t="str">
        <f t="shared" si="11"/>
        <v/>
      </c>
      <c r="C77" s="485" t="str">
        <f t="shared" si="18"/>
        <v/>
      </c>
      <c r="D77" s="485" t="str">
        <f t="shared" si="12"/>
        <v/>
      </c>
      <c r="E77" s="485" t="str">
        <f t="shared" si="13"/>
        <v/>
      </c>
      <c r="F77" s="485" t="str">
        <f t="shared" si="14"/>
        <v/>
      </c>
      <c r="G77" s="485" t="str">
        <f t="shared" si="15"/>
        <v/>
      </c>
      <c r="H77" s="485" t="str">
        <f t="shared" si="16"/>
        <v/>
      </c>
      <c r="I77" s="485" t="str">
        <f t="shared" si="17"/>
        <v/>
      </c>
      <c r="J77" s="485" t="str">
        <f t="shared" si="19"/>
        <v/>
      </c>
    </row>
    <row r="78" spans="1:10">
      <c r="A78" s="486" t="str">
        <f t="shared" si="10"/>
        <v/>
      </c>
      <c r="B78" s="441" t="str">
        <f t="shared" si="11"/>
        <v/>
      </c>
      <c r="C78" s="485" t="str">
        <f t="shared" si="18"/>
        <v/>
      </c>
      <c r="D78" s="485" t="str">
        <f t="shared" si="12"/>
        <v/>
      </c>
      <c r="E78" s="485" t="str">
        <f t="shared" si="13"/>
        <v/>
      </c>
      <c r="F78" s="485" t="str">
        <f t="shared" si="14"/>
        <v/>
      </c>
      <c r="G78" s="485" t="str">
        <f t="shared" si="15"/>
        <v/>
      </c>
      <c r="H78" s="485" t="str">
        <f t="shared" si="16"/>
        <v/>
      </c>
      <c r="I78" s="485" t="str">
        <f t="shared" si="17"/>
        <v/>
      </c>
      <c r="J78" s="485" t="str">
        <f t="shared" si="19"/>
        <v/>
      </c>
    </row>
    <row r="79" spans="1:10">
      <c r="A79" s="486" t="str">
        <f t="shared" si="10"/>
        <v/>
      </c>
      <c r="B79" s="441" t="str">
        <f t="shared" si="11"/>
        <v/>
      </c>
      <c r="C79" s="485" t="str">
        <f t="shared" si="18"/>
        <v/>
      </c>
      <c r="D79" s="485" t="str">
        <f t="shared" si="12"/>
        <v/>
      </c>
      <c r="E79" s="485" t="str">
        <f t="shared" si="13"/>
        <v/>
      </c>
      <c r="F79" s="485" t="str">
        <f t="shared" si="14"/>
        <v/>
      </c>
      <c r="G79" s="485" t="str">
        <f t="shared" si="15"/>
        <v/>
      </c>
      <c r="H79" s="485" t="str">
        <f t="shared" si="16"/>
        <v/>
      </c>
      <c r="I79" s="485" t="str">
        <f t="shared" si="17"/>
        <v/>
      </c>
      <c r="J79" s="485" t="str">
        <f t="shared" si="19"/>
        <v/>
      </c>
    </row>
    <row r="80" spans="1:10">
      <c r="A80" s="486" t="str">
        <f t="shared" si="10"/>
        <v/>
      </c>
      <c r="B80" s="441" t="str">
        <f t="shared" si="11"/>
        <v/>
      </c>
      <c r="C80" s="485" t="str">
        <f t="shared" si="18"/>
        <v/>
      </c>
      <c r="D80" s="485" t="str">
        <f t="shared" si="12"/>
        <v/>
      </c>
      <c r="E80" s="485" t="str">
        <f t="shared" si="13"/>
        <v/>
      </c>
      <c r="F80" s="485" t="str">
        <f t="shared" si="14"/>
        <v/>
      </c>
      <c r="G80" s="485" t="str">
        <f t="shared" si="15"/>
        <v/>
      </c>
      <c r="H80" s="485" t="str">
        <f t="shared" si="16"/>
        <v/>
      </c>
      <c r="I80" s="485" t="str">
        <f t="shared" si="17"/>
        <v/>
      </c>
      <c r="J80" s="485" t="str">
        <f t="shared" si="19"/>
        <v/>
      </c>
    </row>
    <row r="81" spans="1:10">
      <c r="A81" s="486" t="str">
        <f t="shared" si="10"/>
        <v/>
      </c>
      <c r="B81" s="441" t="str">
        <f t="shared" si="11"/>
        <v/>
      </c>
      <c r="C81" s="485" t="str">
        <f t="shared" si="18"/>
        <v/>
      </c>
      <c r="D81" s="485" t="str">
        <f t="shared" si="12"/>
        <v/>
      </c>
      <c r="E81" s="485" t="str">
        <f t="shared" si="13"/>
        <v/>
      </c>
      <c r="F81" s="485" t="str">
        <f t="shared" si="14"/>
        <v/>
      </c>
      <c r="G81" s="485" t="str">
        <f t="shared" si="15"/>
        <v/>
      </c>
      <c r="H81" s="485" t="str">
        <f t="shared" si="16"/>
        <v/>
      </c>
      <c r="I81" s="485" t="str">
        <f t="shared" si="17"/>
        <v/>
      </c>
      <c r="J81" s="485" t="str">
        <f t="shared" si="19"/>
        <v/>
      </c>
    </row>
    <row r="82" spans="1:10">
      <c r="A82" s="486" t="str">
        <f t="shared" si="10"/>
        <v/>
      </c>
      <c r="B82" s="441" t="str">
        <f t="shared" si="11"/>
        <v/>
      </c>
      <c r="C82" s="485" t="str">
        <f t="shared" si="18"/>
        <v/>
      </c>
      <c r="D82" s="485" t="str">
        <f t="shared" si="12"/>
        <v/>
      </c>
      <c r="E82" s="485" t="str">
        <f t="shared" si="13"/>
        <v/>
      </c>
      <c r="F82" s="485" t="str">
        <f t="shared" si="14"/>
        <v/>
      </c>
      <c r="G82" s="485" t="str">
        <f t="shared" si="15"/>
        <v/>
      </c>
      <c r="H82" s="485" t="str">
        <f t="shared" si="16"/>
        <v/>
      </c>
      <c r="I82" s="485" t="str">
        <f t="shared" si="17"/>
        <v/>
      </c>
      <c r="J82" s="485" t="str">
        <f t="shared" si="19"/>
        <v/>
      </c>
    </row>
    <row r="83" spans="1:10">
      <c r="A83" s="486" t="str">
        <f t="shared" ref="A83:A118" si="20">IF(AND(N($D$5)&gt;0,ROW()-19+1&lt;=$D$12),ROW()-19+1,"")</f>
        <v/>
      </c>
      <c r="B83" s="441" t="str">
        <f t="shared" ref="B83:B118" si="21">IF($A83="","",EDATE($D$9,$A83))</f>
        <v/>
      </c>
      <c r="C83" s="485" t="str">
        <f t="shared" si="18"/>
        <v/>
      </c>
      <c r="D83" s="485" t="str">
        <f t="shared" ref="D83:D118" si="22">IF($A83="","",$J$5)</f>
        <v/>
      </c>
      <c r="E83" s="485" t="str">
        <f t="shared" ref="E83:E118" si="23">IF($A83="","",$D$10)</f>
        <v/>
      </c>
      <c r="F83" s="485" t="str">
        <f t="shared" ref="F83:F114" si="24">IF($A83="","",D83+E83)</f>
        <v/>
      </c>
      <c r="G83" s="485" t="str">
        <f t="shared" ref="G83:G114" si="25">IF($A83="","",MIN(F83-H83,C83))</f>
        <v/>
      </c>
      <c r="H83" s="485" t="str">
        <f t="shared" ref="H83:H118" si="26">IF($A83="","",C83*($D$6/$D$8))</f>
        <v/>
      </c>
      <c r="I83" s="485" t="str">
        <f t="shared" ref="I83:I118" si="27">IF($A83="","",C83-G83)</f>
        <v/>
      </c>
      <c r="J83" s="485" t="str">
        <f t="shared" si="19"/>
        <v/>
      </c>
    </row>
    <row r="84" spans="1:10">
      <c r="A84" s="486" t="str">
        <f t="shared" si="20"/>
        <v/>
      </c>
      <c r="B84" s="441" t="str">
        <f t="shared" si="21"/>
        <v/>
      </c>
      <c r="C84" s="485" t="str">
        <f t="shared" ref="C84:C118" si="28">IF($A84="","",I83)</f>
        <v/>
      </c>
      <c r="D84" s="485" t="str">
        <f t="shared" si="22"/>
        <v/>
      </c>
      <c r="E84" s="485" t="str">
        <f t="shared" si="23"/>
        <v/>
      </c>
      <c r="F84" s="485" t="str">
        <f t="shared" si="24"/>
        <v/>
      </c>
      <c r="G84" s="485" t="str">
        <f t="shared" si="25"/>
        <v/>
      </c>
      <c r="H84" s="485" t="str">
        <f t="shared" si="26"/>
        <v/>
      </c>
      <c r="I84" s="485" t="str">
        <f t="shared" si="27"/>
        <v/>
      </c>
      <c r="J84" s="485" t="str">
        <f t="shared" ref="J84:J118" si="29">IF($A84="","",J83+H84)</f>
        <v/>
      </c>
    </row>
    <row r="85" spans="1:10">
      <c r="A85" s="486" t="str">
        <f t="shared" si="20"/>
        <v/>
      </c>
      <c r="B85" s="441" t="str">
        <f t="shared" si="21"/>
        <v/>
      </c>
      <c r="C85" s="485" t="str">
        <f t="shared" si="28"/>
        <v/>
      </c>
      <c r="D85" s="485" t="str">
        <f t="shared" si="22"/>
        <v/>
      </c>
      <c r="E85" s="485" t="str">
        <f t="shared" si="23"/>
        <v/>
      </c>
      <c r="F85" s="485" t="str">
        <f t="shared" si="24"/>
        <v/>
      </c>
      <c r="G85" s="485" t="str">
        <f t="shared" si="25"/>
        <v/>
      </c>
      <c r="H85" s="485" t="str">
        <f t="shared" si="26"/>
        <v/>
      </c>
      <c r="I85" s="485" t="str">
        <f t="shared" si="27"/>
        <v/>
      </c>
      <c r="J85" s="485" t="str">
        <f t="shared" si="29"/>
        <v/>
      </c>
    </row>
    <row r="86" spans="1:10">
      <c r="A86" s="486" t="str">
        <f t="shared" si="20"/>
        <v/>
      </c>
      <c r="B86" s="441" t="str">
        <f t="shared" si="21"/>
        <v/>
      </c>
      <c r="C86" s="485" t="str">
        <f t="shared" si="28"/>
        <v/>
      </c>
      <c r="D86" s="485" t="str">
        <f t="shared" si="22"/>
        <v/>
      </c>
      <c r="E86" s="485" t="str">
        <f t="shared" si="23"/>
        <v/>
      </c>
      <c r="F86" s="485" t="str">
        <f t="shared" si="24"/>
        <v/>
      </c>
      <c r="G86" s="485" t="str">
        <f t="shared" si="25"/>
        <v/>
      </c>
      <c r="H86" s="485" t="str">
        <f t="shared" si="26"/>
        <v/>
      </c>
      <c r="I86" s="485" t="str">
        <f t="shared" si="27"/>
        <v/>
      </c>
      <c r="J86" s="485" t="str">
        <f t="shared" si="29"/>
        <v/>
      </c>
    </row>
    <row r="87" spans="1:10">
      <c r="A87" s="486" t="str">
        <f t="shared" si="20"/>
        <v/>
      </c>
      <c r="B87" s="441" t="str">
        <f t="shared" si="21"/>
        <v/>
      </c>
      <c r="C87" s="485" t="str">
        <f t="shared" si="28"/>
        <v/>
      </c>
      <c r="D87" s="485" t="str">
        <f t="shared" si="22"/>
        <v/>
      </c>
      <c r="E87" s="485" t="str">
        <f t="shared" si="23"/>
        <v/>
      </c>
      <c r="F87" s="485" t="str">
        <f t="shared" si="24"/>
        <v/>
      </c>
      <c r="G87" s="485" t="str">
        <f t="shared" si="25"/>
        <v/>
      </c>
      <c r="H87" s="485" t="str">
        <f t="shared" si="26"/>
        <v/>
      </c>
      <c r="I87" s="485" t="str">
        <f t="shared" si="27"/>
        <v/>
      </c>
      <c r="J87" s="485" t="str">
        <f t="shared" si="29"/>
        <v/>
      </c>
    </row>
    <row r="88" spans="1:10">
      <c r="A88" s="486" t="str">
        <f t="shared" si="20"/>
        <v/>
      </c>
      <c r="B88" s="441" t="str">
        <f t="shared" si="21"/>
        <v/>
      </c>
      <c r="C88" s="485" t="str">
        <f t="shared" si="28"/>
        <v/>
      </c>
      <c r="D88" s="485" t="str">
        <f t="shared" si="22"/>
        <v/>
      </c>
      <c r="E88" s="485" t="str">
        <f t="shared" si="23"/>
        <v/>
      </c>
      <c r="F88" s="485" t="str">
        <f t="shared" si="24"/>
        <v/>
      </c>
      <c r="G88" s="485" t="str">
        <f t="shared" si="25"/>
        <v/>
      </c>
      <c r="H88" s="485" t="str">
        <f t="shared" si="26"/>
        <v/>
      </c>
      <c r="I88" s="485" t="str">
        <f t="shared" si="27"/>
        <v/>
      </c>
      <c r="J88" s="485" t="str">
        <f t="shared" si="29"/>
        <v/>
      </c>
    </row>
    <row r="89" spans="1:10">
      <c r="A89" s="486" t="str">
        <f t="shared" si="20"/>
        <v/>
      </c>
      <c r="B89" s="441" t="str">
        <f t="shared" si="21"/>
        <v/>
      </c>
      <c r="C89" s="485" t="str">
        <f t="shared" si="28"/>
        <v/>
      </c>
      <c r="D89" s="485" t="str">
        <f t="shared" si="22"/>
        <v/>
      </c>
      <c r="E89" s="485" t="str">
        <f t="shared" si="23"/>
        <v/>
      </c>
      <c r="F89" s="485" t="str">
        <f t="shared" si="24"/>
        <v/>
      </c>
      <c r="G89" s="485" t="str">
        <f t="shared" si="25"/>
        <v/>
      </c>
      <c r="H89" s="485" t="str">
        <f t="shared" si="26"/>
        <v/>
      </c>
      <c r="I89" s="485" t="str">
        <f t="shared" si="27"/>
        <v/>
      </c>
      <c r="J89" s="485" t="str">
        <f t="shared" si="29"/>
        <v/>
      </c>
    </row>
    <row r="90" spans="1:10">
      <c r="A90" s="486" t="str">
        <f t="shared" si="20"/>
        <v/>
      </c>
      <c r="B90" s="441" t="str">
        <f t="shared" si="21"/>
        <v/>
      </c>
      <c r="C90" s="485" t="str">
        <f t="shared" si="28"/>
        <v/>
      </c>
      <c r="D90" s="485" t="str">
        <f t="shared" si="22"/>
        <v/>
      </c>
      <c r="E90" s="485" t="str">
        <f t="shared" si="23"/>
        <v/>
      </c>
      <c r="F90" s="485" t="str">
        <f t="shared" si="24"/>
        <v/>
      </c>
      <c r="G90" s="485" t="str">
        <f t="shared" si="25"/>
        <v/>
      </c>
      <c r="H90" s="485" t="str">
        <f t="shared" si="26"/>
        <v/>
      </c>
      <c r="I90" s="485" t="str">
        <f t="shared" si="27"/>
        <v/>
      </c>
      <c r="J90" s="485" t="str">
        <f t="shared" si="29"/>
        <v/>
      </c>
    </row>
    <row r="91" spans="1:10">
      <c r="A91" s="486" t="str">
        <f t="shared" si="20"/>
        <v/>
      </c>
      <c r="B91" s="441" t="str">
        <f t="shared" si="21"/>
        <v/>
      </c>
      <c r="C91" s="485" t="str">
        <f t="shared" si="28"/>
        <v/>
      </c>
      <c r="D91" s="485" t="str">
        <f t="shared" si="22"/>
        <v/>
      </c>
      <c r="E91" s="485" t="str">
        <f t="shared" si="23"/>
        <v/>
      </c>
      <c r="F91" s="485" t="str">
        <f t="shared" si="24"/>
        <v/>
      </c>
      <c r="G91" s="485" t="str">
        <f t="shared" si="25"/>
        <v/>
      </c>
      <c r="H91" s="485" t="str">
        <f t="shared" si="26"/>
        <v/>
      </c>
      <c r="I91" s="485" t="str">
        <f t="shared" si="27"/>
        <v/>
      </c>
      <c r="J91" s="485" t="str">
        <f t="shared" si="29"/>
        <v/>
      </c>
    </row>
    <row r="92" spans="1:10">
      <c r="A92" s="486" t="str">
        <f t="shared" si="20"/>
        <v/>
      </c>
      <c r="B92" s="441" t="str">
        <f t="shared" si="21"/>
        <v/>
      </c>
      <c r="C92" s="485" t="str">
        <f t="shared" si="28"/>
        <v/>
      </c>
      <c r="D92" s="485" t="str">
        <f t="shared" si="22"/>
        <v/>
      </c>
      <c r="E92" s="485" t="str">
        <f t="shared" si="23"/>
        <v/>
      </c>
      <c r="F92" s="485" t="str">
        <f t="shared" si="24"/>
        <v/>
      </c>
      <c r="G92" s="485" t="str">
        <f t="shared" si="25"/>
        <v/>
      </c>
      <c r="H92" s="485" t="str">
        <f t="shared" si="26"/>
        <v/>
      </c>
      <c r="I92" s="485" t="str">
        <f t="shared" si="27"/>
        <v/>
      </c>
      <c r="J92" s="485" t="str">
        <f t="shared" si="29"/>
        <v/>
      </c>
    </row>
    <row r="93" spans="1:10">
      <c r="A93" s="486" t="str">
        <f t="shared" si="20"/>
        <v/>
      </c>
      <c r="B93" s="441" t="str">
        <f t="shared" si="21"/>
        <v/>
      </c>
      <c r="C93" s="485" t="str">
        <f t="shared" si="28"/>
        <v/>
      </c>
      <c r="D93" s="485" t="str">
        <f t="shared" si="22"/>
        <v/>
      </c>
      <c r="E93" s="485" t="str">
        <f t="shared" si="23"/>
        <v/>
      </c>
      <c r="F93" s="485" t="str">
        <f t="shared" si="24"/>
        <v/>
      </c>
      <c r="G93" s="485" t="str">
        <f t="shared" si="25"/>
        <v/>
      </c>
      <c r="H93" s="485" t="str">
        <f t="shared" si="26"/>
        <v/>
      </c>
      <c r="I93" s="485" t="str">
        <f t="shared" si="27"/>
        <v/>
      </c>
      <c r="J93" s="485" t="str">
        <f t="shared" si="29"/>
        <v/>
      </c>
    </row>
    <row r="94" spans="1:10">
      <c r="A94" s="486" t="str">
        <f t="shared" si="20"/>
        <v/>
      </c>
      <c r="B94" s="441" t="str">
        <f t="shared" si="21"/>
        <v/>
      </c>
      <c r="C94" s="485" t="str">
        <f t="shared" si="28"/>
        <v/>
      </c>
      <c r="D94" s="485" t="str">
        <f t="shared" si="22"/>
        <v/>
      </c>
      <c r="E94" s="485" t="str">
        <f t="shared" si="23"/>
        <v/>
      </c>
      <c r="F94" s="485" t="str">
        <f t="shared" si="24"/>
        <v/>
      </c>
      <c r="G94" s="485" t="str">
        <f t="shared" si="25"/>
        <v/>
      </c>
      <c r="H94" s="485" t="str">
        <f t="shared" si="26"/>
        <v/>
      </c>
      <c r="I94" s="485" t="str">
        <f t="shared" si="27"/>
        <v/>
      </c>
      <c r="J94" s="485" t="str">
        <f t="shared" si="29"/>
        <v/>
      </c>
    </row>
    <row r="95" spans="1:10">
      <c r="A95" s="486" t="str">
        <f t="shared" si="20"/>
        <v/>
      </c>
      <c r="B95" s="441" t="str">
        <f t="shared" si="21"/>
        <v/>
      </c>
      <c r="C95" s="485" t="str">
        <f t="shared" si="28"/>
        <v/>
      </c>
      <c r="D95" s="485" t="str">
        <f t="shared" si="22"/>
        <v/>
      </c>
      <c r="E95" s="485" t="str">
        <f t="shared" si="23"/>
        <v/>
      </c>
      <c r="F95" s="485" t="str">
        <f t="shared" si="24"/>
        <v/>
      </c>
      <c r="G95" s="485" t="str">
        <f t="shared" si="25"/>
        <v/>
      </c>
      <c r="H95" s="485" t="str">
        <f t="shared" si="26"/>
        <v/>
      </c>
      <c r="I95" s="485" t="str">
        <f t="shared" si="27"/>
        <v/>
      </c>
      <c r="J95" s="485" t="str">
        <f t="shared" si="29"/>
        <v/>
      </c>
    </row>
    <row r="96" spans="1:10">
      <c r="A96" s="486" t="str">
        <f t="shared" si="20"/>
        <v/>
      </c>
      <c r="B96" s="441" t="str">
        <f t="shared" si="21"/>
        <v/>
      </c>
      <c r="C96" s="485" t="str">
        <f t="shared" si="28"/>
        <v/>
      </c>
      <c r="D96" s="485" t="str">
        <f t="shared" si="22"/>
        <v/>
      </c>
      <c r="E96" s="485" t="str">
        <f t="shared" si="23"/>
        <v/>
      </c>
      <c r="F96" s="485" t="str">
        <f t="shared" si="24"/>
        <v/>
      </c>
      <c r="G96" s="485" t="str">
        <f t="shared" si="25"/>
        <v/>
      </c>
      <c r="H96" s="485" t="str">
        <f t="shared" si="26"/>
        <v/>
      </c>
      <c r="I96" s="485" t="str">
        <f t="shared" si="27"/>
        <v/>
      </c>
      <c r="J96" s="485" t="str">
        <f t="shared" si="29"/>
        <v/>
      </c>
    </row>
    <row r="97" spans="1:10">
      <c r="A97" s="486" t="str">
        <f t="shared" si="20"/>
        <v/>
      </c>
      <c r="B97" s="441" t="str">
        <f t="shared" si="21"/>
        <v/>
      </c>
      <c r="C97" s="485" t="str">
        <f t="shared" si="28"/>
        <v/>
      </c>
      <c r="D97" s="485" t="str">
        <f t="shared" si="22"/>
        <v/>
      </c>
      <c r="E97" s="485" t="str">
        <f t="shared" si="23"/>
        <v/>
      </c>
      <c r="F97" s="485" t="str">
        <f t="shared" si="24"/>
        <v/>
      </c>
      <c r="G97" s="485" t="str">
        <f t="shared" si="25"/>
        <v/>
      </c>
      <c r="H97" s="485" t="str">
        <f t="shared" si="26"/>
        <v/>
      </c>
      <c r="I97" s="485" t="str">
        <f t="shared" si="27"/>
        <v/>
      </c>
      <c r="J97" s="485" t="str">
        <f t="shared" si="29"/>
        <v/>
      </c>
    </row>
    <row r="98" spans="1:10">
      <c r="A98" s="486" t="str">
        <f t="shared" si="20"/>
        <v/>
      </c>
      <c r="B98" s="441" t="str">
        <f t="shared" si="21"/>
        <v/>
      </c>
      <c r="C98" s="485" t="str">
        <f t="shared" si="28"/>
        <v/>
      </c>
      <c r="D98" s="485" t="str">
        <f t="shared" si="22"/>
        <v/>
      </c>
      <c r="E98" s="485" t="str">
        <f t="shared" si="23"/>
        <v/>
      </c>
      <c r="F98" s="485" t="str">
        <f t="shared" si="24"/>
        <v/>
      </c>
      <c r="G98" s="485" t="str">
        <f t="shared" si="25"/>
        <v/>
      </c>
      <c r="H98" s="485" t="str">
        <f t="shared" si="26"/>
        <v/>
      </c>
      <c r="I98" s="485" t="str">
        <f t="shared" si="27"/>
        <v/>
      </c>
      <c r="J98" s="485" t="str">
        <f t="shared" si="29"/>
        <v/>
      </c>
    </row>
    <row r="99" spans="1:10">
      <c r="A99" s="486" t="str">
        <f t="shared" si="20"/>
        <v/>
      </c>
      <c r="B99" s="441" t="str">
        <f t="shared" si="21"/>
        <v/>
      </c>
      <c r="C99" s="485" t="str">
        <f t="shared" si="28"/>
        <v/>
      </c>
      <c r="D99" s="485" t="str">
        <f t="shared" si="22"/>
        <v/>
      </c>
      <c r="E99" s="485" t="str">
        <f t="shared" si="23"/>
        <v/>
      </c>
      <c r="F99" s="485" t="str">
        <f t="shared" si="24"/>
        <v/>
      </c>
      <c r="G99" s="485" t="str">
        <f t="shared" si="25"/>
        <v/>
      </c>
      <c r="H99" s="485" t="str">
        <f t="shared" si="26"/>
        <v/>
      </c>
      <c r="I99" s="485" t="str">
        <f t="shared" si="27"/>
        <v/>
      </c>
      <c r="J99" s="485" t="str">
        <f t="shared" si="29"/>
        <v/>
      </c>
    </row>
    <row r="100" spans="1:10">
      <c r="A100" s="486" t="str">
        <f t="shared" si="20"/>
        <v/>
      </c>
      <c r="B100" s="441" t="str">
        <f t="shared" si="21"/>
        <v/>
      </c>
      <c r="C100" s="485" t="str">
        <f t="shared" si="28"/>
        <v/>
      </c>
      <c r="D100" s="485" t="str">
        <f t="shared" si="22"/>
        <v/>
      </c>
      <c r="E100" s="485" t="str">
        <f t="shared" si="23"/>
        <v/>
      </c>
      <c r="F100" s="485" t="str">
        <f t="shared" si="24"/>
        <v/>
      </c>
      <c r="G100" s="485" t="str">
        <f t="shared" si="25"/>
        <v/>
      </c>
      <c r="H100" s="485" t="str">
        <f t="shared" si="26"/>
        <v/>
      </c>
      <c r="I100" s="485" t="str">
        <f t="shared" si="27"/>
        <v/>
      </c>
      <c r="J100" s="485" t="str">
        <f t="shared" si="29"/>
        <v/>
      </c>
    </row>
    <row r="101" spans="1:10">
      <c r="A101" s="486" t="str">
        <f t="shared" si="20"/>
        <v/>
      </c>
      <c r="B101" s="441" t="str">
        <f t="shared" si="21"/>
        <v/>
      </c>
      <c r="C101" s="485" t="str">
        <f t="shared" si="28"/>
        <v/>
      </c>
      <c r="D101" s="485" t="str">
        <f t="shared" si="22"/>
        <v/>
      </c>
      <c r="E101" s="485" t="str">
        <f t="shared" si="23"/>
        <v/>
      </c>
      <c r="F101" s="485" t="str">
        <f t="shared" si="24"/>
        <v/>
      </c>
      <c r="G101" s="485" t="str">
        <f t="shared" si="25"/>
        <v/>
      </c>
      <c r="H101" s="485" t="str">
        <f t="shared" si="26"/>
        <v/>
      </c>
      <c r="I101" s="485" t="str">
        <f t="shared" si="27"/>
        <v/>
      </c>
      <c r="J101" s="485" t="str">
        <f t="shared" si="29"/>
        <v/>
      </c>
    </row>
    <row r="102" spans="1:10">
      <c r="A102" s="486" t="str">
        <f t="shared" si="20"/>
        <v/>
      </c>
      <c r="B102" s="441" t="str">
        <f t="shared" si="21"/>
        <v/>
      </c>
      <c r="C102" s="485" t="str">
        <f t="shared" si="28"/>
        <v/>
      </c>
      <c r="D102" s="485" t="str">
        <f t="shared" si="22"/>
        <v/>
      </c>
      <c r="E102" s="485" t="str">
        <f t="shared" si="23"/>
        <v/>
      </c>
      <c r="F102" s="485" t="str">
        <f t="shared" si="24"/>
        <v/>
      </c>
      <c r="G102" s="485" t="str">
        <f t="shared" si="25"/>
        <v/>
      </c>
      <c r="H102" s="485" t="str">
        <f t="shared" si="26"/>
        <v/>
      </c>
      <c r="I102" s="485" t="str">
        <f t="shared" si="27"/>
        <v/>
      </c>
      <c r="J102" s="485" t="str">
        <f t="shared" si="29"/>
        <v/>
      </c>
    </row>
    <row r="103" spans="1:10">
      <c r="A103" s="486" t="str">
        <f t="shared" si="20"/>
        <v/>
      </c>
      <c r="B103" s="441" t="str">
        <f t="shared" si="21"/>
        <v/>
      </c>
      <c r="C103" s="485" t="str">
        <f t="shared" si="28"/>
        <v/>
      </c>
      <c r="D103" s="485" t="str">
        <f t="shared" si="22"/>
        <v/>
      </c>
      <c r="E103" s="485" t="str">
        <f t="shared" si="23"/>
        <v/>
      </c>
      <c r="F103" s="485" t="str">
        <f t="shared" si="24"/>
        <v/>
      </c>
      <c r="G103" s="485" t="str">
        <f t="shared" si="25"/>
        <v/>
      </c>
      <c r="H103" s="485" t="str">
        <f t="shared" si="26"/>
        <v/>
      </c>
      <c r="I103" s="485" t="str">
        <f t="shared" si="27"/>
        <v/>
      </c>
      <c r="J103" s="485" t="str">
        <f t="shared" si="29"/>
        <v/>
      </c>
    </row>
    <row r="104" spans="1:10">
      <c r="A104" s="486" t="str">
        <f t="shared" si="20"/>
        <v/>
      </c>
      <c r="B104" s="441" t="str">
        <f t="shared" si="21"/>
        <v/>
      </c>
      <c r="C104" s="485" t="str">
        <f t="shared" si="28"/>
        <v/>
      </c>
      <c r="D104" s="485" t="str">
        <f t="shared" si="22"/>
        <v/>
      </c>
      <c r="E104" s="485" t="str">
        <f t="shared" si="23"/>
        <v/>
      </c>
      <c r="F104" s="485" t="str">
        <f t="shared" si="24"/>
        <v/>
      </c>
      <c r="G104" s="485" t="str">
        <f t="shared" si="25"/>
        <v/>
      </c>
      <c r="H104" s="485" t="str">
        <f t="shared" si="26"/>
        <v/>
      </c>
      <c r="I104" s="485" t="str">
        <f t="shared" si="27"/>
        <v/>
      </c>
      <c r="J104" s="485" t="str">
        <f t="shared" si="29"/>
        <v/>
      </c>
    </row>
    <row r="105" spans="1:10">
      <c r="A105" s="486" t="str">
        <f t="shared" si="20"/>
        <v/>
      </c>
      <c r="B105" s="441" t="str">
        <f t="shared" si="21"/>
        <v/>
      </c>
      <c r="C105" s="485" t="str">
        <f t="shared" si="28"/>
        <v/>
      </c>
      <c r="D105" s="485" t="str">
        <f t="shared" si="22"/>
        <v/>
      </c>
      <c r="E105" s="485" t="str">
        <f t="shared" si="23"/>
        <v/>
      </c>
      <c r="F105" s="485" t="str">
        <f t="shared" si="24"/>
        <v/>
      </c>
      <c r="G105" s="485" t="str">
        <f t="shared" si="25"/>
        <v/>
      </c>
      <c r="H105" s="485" t="str">
        <f t="shared" si="26"/>
        <v/>
      </c>
      <c r="I105" s="485" t="str">
        <f t="shared" si="27"/>
        <v/>
      </c>
      <c r="J105" s="485" t="str">
        <f t="shared" si="29"/>
        <v/>
      </c>
    </row>
    <row r="106" spans="1:10">
      <c r="A106" s="486" t="str">
        <f t="shared" si="20"/>
        <v/>
      </c>
      <c r="B106" s="441" t="str">
        <f t="shared" si="21"/>
        <v/>
      </c>
      <c r="C106" s="485" t="str">
        <f t="shared" si="28"/>
        <v/>
      </c>
      <c r="D106" s="485" t="str">
        <f t="shared" si="22"/>
        <v/>
      </c>
      <c r="E106" s="485" t="str">
        <f t="shared" si="23"/>
        <v/>
      </c>
      <c r="F106" s="485" t="str">
        <f t="shared" si="24"/>
        <v/>
      </c>
      <c r="G106" s="485" t="str">
        <f t="shared" si="25"/>
        <v/>
      </c>
      <c r="H106" s="485" t="str">
        <f t="shared" si="26"/>
        <v/>
      </c>
      <c r="I106" s="485" t="str">
        <f t="shared" si="27"/>
        <v/>
      </c>
      <c r="J106" s="485" t="str">
        <f t="shared" si="29"/>
        <v/>
      </c>
    </row>
    <row r="107" spans="1:10">
      <c r="A107" s="486" t="str">
        <f t="shared" si="20"/>
        <v/>
      </c>
      <c r="B107" s="441" t="str">
        <f t="shared" si="21"/>
        <v/>
      </c>
      <c r="C107" s="485" t="str">
        <f t="shared" si="28"/>
        <v/>
      </c>
      <c r="D107" s="485" t="str">
        <f t="shared" si="22"/>
        <v/>
      </c>
      <c r="E107" s="485" t="str">
        <f t="shared" si="23"/>
        <v/>
      </c>
      <c r="F107" s="485" t="str">
        <f t="shared" si="24"/>
        <v/>
      </c>
      <c r="G107" s="485" t="str">
        <f t="shared" si="25"/>
        <v/>
      </c>
      <c r="H107" s="485" t="str">
        <f t="shared" si="26"/>
        <v/>
      </c>
      <c r="I107" s="485" t="str">
        <f t="shared" si="27"/>
        <v/>
      </c>
      <c r="J107" s="485" t="str">
        <f t="shared" si="29"/>
        <v/>
      </c>
    </row>
    <row r="108" spans="1:10">
      <c r="A108" s="486" t="str">
        <f t="shared" si="20"/>
        <v/>
      </c>
      <c r="B108" s="441" t="str">
        <f t="shared" si="21"/>
        <v/>
      </c>
      <c r="C108" s="485" t="str">
        <f t="shared" si="28"/>
        <v/>
      </c>
      <c r="D108" s="485" t="str">
        <f t="shared" si="22"/>
        <v/>
      </c>
      <c r="E108" s="485" t="str">
        <f t="shared" si="23"/>
        <v/>
      </c>
      <c r="F108" s="485" t="str">
        <f t="shared" si="24"/>
        <v/>
      </c>
      <c r="G108" s="485" t="str">
        <f t="shared" si="25"/>
        <v/>
      </c>
      <c r="H108" s="485" t="str">
        <f t="shared" si="26"/>
        <v/>
      </c>
      <c r="I108" s="485" t="str">
        <f t="shared" si="27"/>
        <v/>
      </c>
      <c r="J108" s="485" t="str">
        <f t="shared" si="29"/>
        <v/>
      </c>
    </row>
    <row r="109" spans="1:10">
      <c r="A109" s="486" t="str">
        <f t="shared" si="20"/>
        <v/>
      </c>
      <c r="B109" s="441" t="str">
        <f t="shared" si="21"/>
        <v/>
      </c>
      <c r="C109" s="485" t="str">
        <f t="shared" si="28"/>
        <v/>
      </c>
      <c r="D109" s="485" t="str">
        <f t="shared" si="22"/>
        <v/>
      </c>
      <c r="E109" s="485" t="str">
        <f t="shared" si="23"/>
        <v/>
      </c>
      <c r="F109" s="485" t="str">
        <f t="shared" si="24"/>
        <v/>
      </c>
      <c r="G109" s="485" t="str">
        <f t="shared" si="25"/>
        <v/>
      </c>
      <c r="H109" s="485" t="str">
        <f t="shared" si="26"/>
        <v/>
      </c>
      <c r="I109" s="485" t="str">
        <f t="shared" si="27"/>
        <v/>
      </c>
      <c r="J109" s="485" t="str">
        <f t="shared" si="29"/>
        <v/>
      </c>
    </row>
    <row r="110" spans="1:10">
      <c r="A110" s="486" t="str">
        <f t="shared" si="20"/>
        <v/>
      </c>
      <c r="B110" s="441" t="str">
        <f t="shared" si="21"/>
        <v/>
      </c>
      <c r="C110" s="485" t="str">
        <f t="shared" si="28"/>
        <v/>
      </c>
      <c r="D110" s="485" t="str">
        <f t="shared" si="22"/>
        <v/>
      </c>
      <c r="E110" s="485" t="str">
        <f t="shared" si="23"/>
        <v/>
      </c>
      <c r="F110" s="485" t="str">
        <f t="shared" si="24"/>
        <v/>
      </c>
      <c r="G110" s="485" t="str">
        <f t="shared" si="25"/>
        <v/>
      </c>
      <c r="H110" s="485" t="str">
        <f t="shared" si="26"/>
        <v/>
      </c>
      <c r="I110" s="485" t="str">
        <f t="shared" si="27"/>
        <v/>
      </c>
      <c r="J110" s="485" t="str">
        <f t="shared" si="29"/>
        <v/>
      </c>
    </row>
    <row r="111" spans="1:10">
      <c r="A111" s="486" t="str">
        <f t="shared" si="20"/>
        <v/>
      </c>
      <c r="B111" s="441" t="str">
        <f t="shared" si="21"/>
        <v/>
      </c>
      <c r="C111" s="485" t="str">
        <f t="shared" si="28"/>
        <v/>
      </c>
      <c r="D111" s="485" t="str">
        <f t="shared" si="22"/>
        <v/>
      </c>
      <c r="E111" s="485" t="str">
        <f t="shared" si="23"/>
        <v/>
      </c>
      <c r="F111" s="485" t="str">
        <f t="shared" si="24"/>
        <v/>
      </c>
      <c r="G111" s="485" t="str">
        <f t="shared" si="25"/>
        <v/>
      </c>
      <c r="H111" s="485" t="str">
        <f t="shared" si="26"/>
        <v/>
      </c>
      <c r="I111" s="485" t="str">
        <f t="shared" si="27"/>
        <v/>
      </c>
      <c r="J111" s="485" t="str">
        <f t="shared" si="29"/>
        <v/>
      </c>
    </row>
    <row r="112" spans="1:10">
      <c r="A112" s="486" t="str">
        <f t="shared" si="20"/>
        <v/>
      </c>
      <c r="B112" s="441" t="str">
        <f t="shared" si="21"/>
        <v/>
      </c>
      <c r="C112" s="485" t="str">
        <f t="shared" si="28"/>
        <v/>
      </c>
      <c r="D112" s="485" t="str">
        <f t="shared" si="22"/>
        <v/>
      </c>
      <c r="E112" s="485" t="str">
        <f t="shared" si="23"/>
        <v/>
      </c>
      <c r="F112" s="485" t="str">
        <f t="shared" si="24"/>
        <v/>
      </c>
      <c r="G112" s="485" t="str">
        <f t="shared" si="25"/>
        <v/>
      </c>
      <c r="H112" s="485" t="str">
        <f t="shared" si="26"/>
        <v/>
      </c>
      <c r="I112" s="485" t="str">
        <f t="shared" si="27"/>
        <v/>
      </c>
      <c r="J112" s="485" t="str">
        <f t="shared" si="29"/>
        <v/>
      </c>
    </row>
    <row r="113" spans="1:10">
      <c r="A113" s="486" t="str">
        <f t="shared" si="20"/>
        <v/>
      </c>
      <c r="B113" s="441" t="str">
        <f t="shared" si="21"/>
        <v/>
      </c>
      <c r="C113" s="485" t="str">
        <f t="shared" si="28"/>
        <v/>
      </c>
      <c r="D113" s="485" t="str">
        <f t="shared" si="22"/>
        <v/>
      </c>
      <c r="E113" s="485" t="str">
        <f t="shared" si="23"/>
        <v/>
      </c>
      <c r="F113" s="485" t="str">
        <f t="shared" si="24"/>
        <v/>
      </c>
      <c r="G113" s="485" t="str">
        <f t="shared" si="25"/>
        <v/>
      </c>
      <c r="H113" s="485" t="str">
        <f t="shared" si="26"/>
        <v/>
      </c>
      <c r="I113" s="485" t="str">
        <f t="shared" si="27"/>
        <v/>
      </c>
      <c r="J113" s="485" t="str">
        <f t="shared" si="29"/>
        <v/>
      </c>
    </row>
    <row r="114" spans="1:10">
      <c r="A114" s="486" t="str">
        <f t="shared" si="20"/>
        <v/>
      </c>
      <c r="B114" s="441" t="str">
        <f t="shared" si="21"/>
        <v/>
      </c>
      <c r="C114" s="485" t="str">
        <f t="shared" si="28"/>
        <v/>
      </c>
      <c r="D114" s="485" t="str">
        <f t="shared" si="22"/>
        <v/>
      </c>
      <c r="E114" s="485" t="str">
        <f t="shared" si="23"/>
        <v/>
      </c>
      <c r="F114" s="485" t="str">
        <f t="shared" si="24"/>
        <v/>
      </c>
      <c r="G114" s="485" t="str">
        <f t="shared" si="25"/>
        <v/>
      </c>
      <c r="H114" s="485" t="str">
        <f t="shared" si="26"/>
        <v/>
      </c>
      <c r="I114" s="485" t="str">
        <f t="shared" si="27"/>
        <v/>
      </c>
      <c r="J114" s="485" t="str">
        <f t="shared" si="29"/>
        <v/>
      </c>
    </row>
    <row r="115" spans="1:10">
      <c r="A115" s="486" t="str">
        <f t="shared" si="20"/>
        <v/>
      </c>
      <c r="B115" s="441" t="str">
        <f t="shared" si="21"/>
        <v/>
      </c>
      <c r="C115" s="485" t="str">
        <f t="shared" si="28"/>
        <v/>
      </c>
      <c r="D115" s="485" t="str">
        <f t="shared" si="22"/>
        <v/>
      </c>
      <c r="E115" s="485" t="str">
        <f t="shared" si="23"/>
        <v/>
      </c>
      <c r="F115" s="485" t="str">
        <f t="shared" ref="F115:F118" si="30">IF($A115="","",D115+E115)</f>
        <v/>
      </c>
      <c r="G115" s="485" t="str">
        <f t="shared" ref="G115:G118" si="31">IF($A115="","",MIN(F115-H115,C115))</f>
        <v/>
      </c>
      <c r="H115" s="485" t="str">
        <f t="shared" si="26"/>
        <v/>
      </c>
      <c r="I115" s="485" t="str">
        <f t="shared" si="27"/>
        <v/>
      </c>
      <c r="J115" s="485" t="str">
        <f t="shared" si="29"/>
        <v/>
      </c>
    </row>
    <row r="116" spans="1:10">
      <c r="A116" s="486" t="str">
        <f t="shared" si="20"/>
        <v/>
      </c>
      <c r="B116" s="441" t="str">
        <f t="shared" si="21"/>
        <v/>
      </c>
      <c r="C116" s="485" t="str">
        <f t="shared" si="28"/>
        <v/>
      </c>
      <c r="D116" s="485" t="str">
        <f t="shared" si="22"/>
        <v/>
      </c>
      <c r="E116" s="485" t="str">
        <f t="shared" si="23"/>
        <v/>
      </c>
      <c r="F116" s="485" t="str">
        <f t="shared" si="30"/>
        <v/>
      </c>
      <c r="G116" s="485" t="str">
        <f t="shared" si="31"/>
        <v/>
      </c>
      <c r="H116" s="485" t="str">
        <f t="shared" si="26"/>
        <v/>
      </c>
      <c r="I116" s="485" t="str">
        <f t="shared" si="27"/>
        <v/>
      </c>
      <c r="J116" s="485" t="str">
        <f t="shared" si="29"/>
        <v/>
      </c>
    </row>
    <row r="117" spans="1:10">
      <c r="A117" s="486" t="str">
        <f t="shared" si="20"/>
        <v/>
      </c>
      <c r="B117" s="441" t="str">
        <f t="shared" si="21"/>
        <v/>
      </c>
      <c r="C117" s="485" t="str">
        <f t="shared" si="28"/>
        <v/>
      </c>
      <c r="D117" s="485" t="str">
        <f t="shared" si="22"/>
        <v/>
      </c>
      <c r="E117" s="485" t="str">
        <f t="shared" si="23"/>
        <v/>
      </c>
      <c r="F117" s="485" t="str">
        <f t="shared" si="30"/>
        <v/>
      </c>
      <c r="G117" s="485" t="str">
        <f t="shared" si="31"/>
        <v/>
      </c>
      <c r="H117" s="485" t="str">
        <f t="shared" si="26"/>
        <v/>
      </c>
      <c r="I117" s="485" t="str">
        <f t="shared" si="27"/>
        <v/>
      </c>
      <c r="J117" s="485" t="str">
        <f t="shared" si="29"/>
        <v/>
      </c>
    </row>
    <row r="118" spans="1:10">
      <c r="A118" s="486" t="str">
        <f t="shared" si="20"/>
        <v/>
      </c>
      <c r="B118" s="441" t="str">
        <f t="shared" si="21"/>
        <v/>
      </c>
      <c r="C118" s="485" t="str">
        <f t="shared" si="28"/>
        <v/>
      </c>
      <c r="D118" s="485" t="str">
        <f t="shared" si="22"/>
        <v/>
      </c>
      <c r="E118" s="485" t="str">
        <f t="shared" si="23"/>
        <v/>
      </c>
      <c r="F118" s="485" t="str">
        <f t="shared" si="30"/>
        <v/>
      </c>
      <c r="G118" s="485" t="str">
        <f t="shared" si="31"/>
        <v/>
      </c>
      <c r="H118" s="485" t="str">
        <f t="shared" si="26"/>
        <v/>
      </c>
      <c r="I118" s="485" t="str">
        <f t="shared" si="27"/>
        <v/>
      </c>
      <c r="J118" s="485" t="str">
        <f t="shared" si="29"/>
        <v/>
      </c>
    </row>
  </sheetData>
  <conditionalFormatting sqref="A19:J118">
    <cfRule type="expression" dxfId="0" priority="1" stopIfTrue="1">
      <formula>$A19&lt;&gt;""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412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413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414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415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416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417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418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419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66" t="s">
        <v>355</v>
      </c>
      <c r="B1" s="566"/>
      <c r="C1" s="566"/>
      <c r="D1" s="566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69" t="s">
        <v>420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7"/>
      <c r="B6" s="407" t="s">
        <v>369</v>
      </c>
      <c r="C6" s="408">
        <v>0</v>
      </c>
      <c r="D6" s="406">
        <v>0</v>
      </c>
      <c r="E6" s="409">
        <f>+D6*C6</f>
        <v>0</v>
      </c>
      <c r="F6" s="401">
        <f>IF(B6="si",D6*$F$4,0)</f>
        <v>0</v>
      </c>
      <c r="G6" s="401">
        <v>0</v>
      </c>
      <c r="H6" s="401">
        <f>(D6+F6+G6)*$H$4</f>
        <v>0</v>
      </c>
      <c r="I6" s="401">
        <f>IF(B6="si",(D6+F6+G6+H6)*$I$4,0)</f>
        <v>0</v>
      </c>
      <c r="J6" s="401">
        <f>D6+F6+G6+H6+I6</f>
        <v>0</v>
      </c>
      <c r="K6" s="401">
        <f>J6*$K$4</f>
        <v>0</v>
      </c>
      <c r="L6" s="403">
        <f>J6*C6</f>
        <v>0</v>
      </c>
      <c r="M6" s="401">
        <f>(J6+K6)*$M$4/(1-$M$4)</f>
        <v>0</v>
      </c>
      <c r="N6" s="401">
        <f>M6+J6+K6</f>
        <v>0</v>
      </c>
      <c r="O6" s="401">
        <f>N6*C6</f>
        <v>0</v>
      </c>
      <c r="P6" s="10"/>
    </row>
    <row r="7" spans="1:16">
      <c r="A7" s="407"/>
      <c r="B7" s="407" t="s">
        <v>369</v>
      </c>
      <c r="C7" s="408">
        <v>0</v>
      </c>
      <c r="D7" s="406">
        <v>0</v>
      </c>
      <c r="E7" s="409">
        <f>+D7*C7</f>
        <v>0</v>
      </c>
      <c r="F7" s="401">
        <f t="shared" ref="F7:F20" si="0">IF(B7="si",D7*$F$4,0)</f>
        <v>0</v>
      </c>
      <c r="G7" s="411">
        <f>(D7+F7)*$G$4</f>
        <v>0</v>
      </c>
      <c r="H7" s="411">
        <f>(D7+F7+G7)*$H$4</f>
        <v>0</v>
      </c>
      <c r="I7" s="401">
        <f t="shared" ref="I7:I20" si="1">IF(B7="si",(D7+F7+G7+H7)*$I$4,0)</f>
        <v>0</v>
      </c>
      <c r="J7" s="411">
        <f>D7+F7+G7+H7+I7</f>
        <v>0</v>
      </c>
      <c r="K7" s="401">
        <f t="shared" ref="K7:K20" si="2">J7*$K$4</f>
        <v>0</v>
      </c>
      <c r="L7" s="416">
        <f>J7*C7</f>
        <v>0</v>
      </c>
      <c r="M7" s="411">
        <f>J7*$M$4/(1-$M$4)</f>
        <v>0</v>
      </c>
      <c r="N7" s="411">
        <f>M7+J7</f>
        <v>0</v>
      </c>
      <c r="O7" s="411">
        <f>N7*C7</f>
        <v>0</v>
      </c>
    </row>
    <row r="8" spans="1:16">
      <c r="A8" s="410"/>
      <c r="B8" s="407" t="s">
        <v>369</v>
      </c>
      <c r="C8" s="408">
        <v>0</v>
      </c>
      <c r="D8" s="406">
        <v>0</v>
      </c>
      <c r="E8" s="409">
        <f t="shared" ref="E8:E12" si="3">+D8*C8</f>
        <v>0</v>
      </c>
      <c r="F8" s="401">
        <f t="shared" si="0"/>
        <v>0</v>
      </c>
      <c r="G8" s="411">
        <f t="shared" ref="G8:G12" si="4">(D8+F8)*$G$4</f>
        <v>0</v>
      </c>
      <c r="H8" s="411">
        <f t="shared" ref="H8:H12" si="5">(D8+F8+G8)*$H$4</f>
        <v>0</v>
      </c>
      <c r="I8" s="401">
        <f t="shared" si="1"/>
        <v>0</v>
      </c>
      <c r="J8" s="411">
        <f t="shared" ref="J8:J12" si="6">D8+F8+G8+H8+I8</f>
        <v>0</v>
      </c>
      <c r="K8" s="401">
        <f t="shared" si="2"/>
        <v>0</v>
      </c>
      <c r="L8" s="416">
        <f t="shared" ref="L8:L12" si="7">J8*C8</f>
        <v>0</v>
      </c>
      <c r="M8" s="411">
        <f t="shared" ref="M8:M12" si="8">J8*$M$4/(1-$M$4)</f>
        <v>0</v>
      </c>
      <c r="N8" s="411">
        <f t="shared" ref="N8:N12" si="9">M8+J8</f>
        <v>0</v>
      </c>
      <c r="O8" s="411">
        <f t="shared" ref="O8:O12" si="10">N8*C8</f>
        <v>0</v>
      </c>
    </row>
    <row r="9" spans="1:16">
      <c r="A9" s="410"/>
      <c r="B9" s="407" t="s">
        <v>369</v>
      </c>
      <c r="C9" s="421"/>
      <c r="D9" s="422">
        <v>0</v>
      </c>
      <c r="E9" s="409">
        <f t="shared" si="3"/>
        <v>0</v>
      </c>
      <c r="F9" s="401">
        <f t="shared" si="0"/>
        <v>0</v>
      </c>
      <c r="G9" s="411">
        <f t="shared" si="4"/>
        <v>0</v>
      </c>
      <c r="H9" s="411">
        <f t="shared" si="5"/>
        <v>0</v>
      </c>
      <c r="I9" s="401">
        <f t="shared" si="1"/>
        <v>0</v>
      </c>
      <c r="J9" s="411">
        <f t="shared" si="6"/>
        <v>0</v>
      </c>
      <c r="K9" s="401">
        <f t="shared" si="2"/>
        <v>0</v>
      </c>
      <c r="L9" s="416">
        <f t="shared" si="7"/>
        <v>0</v>
      </c>
      <c r="M9" s="411">
        <f t="shared" si="8"/>
        <v>0</v>
      </c>
      <c r="N9" s="411">
        <f t="shared" si="9"/>
        <v>0</v>
      </c>
      <c r="O9" s="411">
        <f t="shared" si="10"/>
        <v>0</v>
      </c>
    </row>
    <row r="10" spans="1:16">
      <c r="A10" s="410"/>
      <c r="B10" s="407" t="s">
        <v>369</v>
      </c>
      <c r="C10" s="421"/>
      <c r="D10" s="422">
        <v>0</v>
      </c>
      <c r="E10" s="409">
        <f t="shared" si="3"/>
        <v>0</v>
      </c>
      <c r="F10" s="401">
        <f t="shared" si="0"/>
        <v>0</v>
      </c>
      <c r="G10" s="411">
        <f t="shared" si="4"/>
        <v>0</v>
      </c>
      <c r="H10" s="411">
        <f t="shared" si="5"/>
        <v>0</v>
      </c>
      <c r="I10" s="401">
        <f t="shared" si="1"/>
        <v>0</v>
      </c>
      <c r="J10" s="411">
        <f t="shared" si="6"/>
        <v>0</v>
      </c>
      <c r="K10" s="401">
        <f t="shared" si="2"/>
        <v>0</v>
      </c>
      <c r="L10" s="416">
        <f t="shared" si="7"/>
        <v>0</v>
      </c>
      <c r="M10" s="411">
        <f t="shared" si="8"/>
        <v>0</v>
      </c>
      <c r="N10" s="411">
        <f t="shared" si="9"/>
        <v>0</v>
      </c>
      <c r="O10" s="411">
        <f t="shared" si="10"/>
        <v>0</v>
      </c>
    </row>
    <row r="11" spans="1:16">
      <c r="A11" s="412"/>
      <c r="B11" s="407" t="s">
        <v>369</v>
      </c>
      <c r="C11" s="423"/>
      <c r="D11" s="422">
        <v>0</v>
      </c>
      <c r="E11" s="409">
        <f t="shared" si="3"/>
        <v>0</v>
      </c>
      <c r="F11" s="401">
        <f t="shared" si="0"/>
        <v>0</v>
      </c>
      <c r="G11" s="411">
        <f t="shared" si="4"/>
        <v>0</v>
      </c>
      <c r="H11" s="411">
        <f t="shared" si="5"/>
        <v>0</v>
      </c>
      <c r="I11" s="401">
        <f t="shared" si="1"/>
        <v>0</v>
      </c>
      <c r="J11" s="411">
        <f t="shared" si="6"/>
        <v>0</v>
      </c>
      <c r="K11" s="401">
        <f t="shared" si="2"/>
        <v>0</v>
      </c>
      <c r="L11" s="416">
        <f t="shared" si="7"/>
        <v>0</v>
      </c>
      <c r="M11" s="411">
        <f t="shared" si="8"/>
        <v>0</v>
      </c>
      <c r="N11" s="411">
        <f t="shared" si="9"/>
        <v>0</v>
      </c>
      <c r="O11" s="411">
        <f t="shared" si="10"/>
        <v>0</v>
      </c>
    </row>
    <row r="12" spans="1:16">
      <c r="A12" s="412"/>
      <c r="B12" s="407" t="s">
        <v>369</v>
      </c>
      <c r="C12" s="423"/>
      <c r="D12" s="422">
        <v>0</v>
      </c>
      <c r="E12" s="409">
        <f t="shared" si="3"/>
        <v>0</v>
      </c>
      <c r="F12" s="401">
        <f t="shared" si="0"/>
        <v>0</v>
      </c>
      <c r="G12" s="411">
        <f t="shared" si="4"/>
        <v>0</v>
      </c>
      <c r="H12" s="411">
        <f t="shared" si="5"/>
        <v>0</v>
      </c>
      <c r="I12" s="401">
        <f t="shared" si="1"/>
        <v>0</v>
      </c>
      <c r="J12" s="411">
        <f t="shared" si="6"/>
        <v>0</v>
      </c>
      <c r="K12" s="401">
        <f t="shared" si="2"/>
        <v>0</v>
      </c>
      <c r="L12" s="416">
        <f t="shared" si="7"/>
        <v>0</v>
      </c>
      <c r="M12" s="411">
        <f t="shared" si="8"/>
        <v>0</v>
      </c>
      <c r="N12" s="411">
        <f t="shared" si="9"/>
        <v>0</v>
      </c>
      <c r="O12" s="411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1">
        <f t="shared" si="0"/>
        <v>0</v>
      </c>
      <c r="G13" s="74"/>
      <c r="H13" s="73"/>
      <c r="I13" s="401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7"/>
      <c r="B14" s="407"/>
      <c r="C14" s="417"/>
      <c r="D14" s="420">
        <v>0</v>
      </c>
      <c r="E14" s="402">
        <f>+C14*D14*(1-C23)</f>
        <v>0</v>
      </c>
      <c r="F14" s="401">
        <f t="shared" si="0"/>
        <v>0</v>
      </c>
      <c r="G14" s="401">
        <f t="shared" ref="G14:G18" si="11">(D14+F14)*$G$4</f>
        <v>0</v>
      </c>
      <c r="H14" s="401">
        <f t="shared" ref="H14:H18" si="12">(D14+F14+G14)*$H$4</f>
        <v>0</v>
      </c>
      <c r="I14" s="401">
        <f t="shared" si="1"/>
        <v>0</v>
      </c>
      <c r="J14" s="401">
        <f t="shared" ref="J14:J18" si="13">D14+F14+G14+H14+I14</f>
        <v>0</v>
      </c>
      <c r="K14" s="401">
        <f t="shared" si="2"/>
        <v>0</v>
      </c>
      <c r="L14" s="403">
        <f t="shared" ref="L14:L18" si="14">J14*C14</f>
        <v>0</v>
      </c>
      <c r="M14" s="401">
        <f t="shared" ref="M14:M18" si="15">J14*$M$4/(1-$M$4)</f>
        <v>0</v>
      </c>
      <c r="N14" s="401">
        <f t="shared" ref="N14:N18" si="16">M14+J14</f>
        <v>0</v>
      </c>
      <c r="O14" s="401">
        <f t="shared" ref="O14:O18" si="17">N14*C14</f>
        <v>0</v>
      </c>
    </row>
    <row r="15" spans="1:16">
      <c r="A15" s="413"/>
      <c r="B15" s="407"/>
      <c r="C15" s="417"/>
      <c r="D15" s="420">
        <v>0</v>
      </c>
      <c r="E15" s="402">
        <f>+C15*D15</f>
        <v>0</v>
      </c>
      <c r="F15" s="401">
        <f t="shared" si="0"/>
        <v>0</v>
      </c>
      <c r="G15" s="401">
        <f t="shared" si="11"/>
        <v>0</v>
      </c>
      <c r="H15" s="401">
        <f t="shared" si="12"/>
        <v>0</v>
      </c>
      <c r="I15" s="401">
        <f t="shared" si="1"/>
        <v>0</v>
      </c>
      <c r="J15" s="401">
        <f t="shared" si="13"/>
        <v>0</v>
      </c>
      <c r="K15" s="401">
        <f t="shared" si="2"/>
        <v>0</v>
      </c>
      <c r="L15" s="403">
        <f t="shared" si="14"/>
        <v>0</v>
      </c>
      <c r="M15" s="401">
        <f t="shared" si="15"/>
        <v>0</v>
      </c>
      <c r="N15" s="401">
        <f t="shared" si="16"/>
        <v>0</v>
      </c>
      <c r="O15" s="401">
        <f t="shared" si="17"/>
        <v>0</v>
      </c>
    </row>
    <row r="16" spans="1:16">
      <c r="A16" s="413"/>
      <c r="B16" s="407"/>
      <c r="C16" s="417"/>
      <c r="D16" s="420">
        <v>0</v>
      </c>
      <c r="E16" s="402">
        <f>+C16*D16</f>
        <v>0</v>
      </c>
      <c r="F16" s="401">
        <f t="shared" si="0"/>
        <v>0</v>
      </c>
      <c r="G16" s="401">
        <f t="shared" si="11"/>
        <v>0</v>
      </c>
      <c r="H16" s="401">
        <f t="shared" si="12"/>
        <v>0</v>
      </c>
      <c r="I16" s="401">
        <f t="shared" si="1"/>
        <v>0</v>
      </c>
      <c r="J16" s="401">
        <f t="shared" si="13"/>
        <v>0</v>
      </c>
      <c r="K16" s="401">
        <f t="shared" si="2"/>
        <v>0</v>
      </c>
      <c r="L16" s="403">
        <f t="shared" si="14"/>
        <v>0</v>
      </c>
      <c r="M16" s="401">
        <f t="shared" si="15"/>
        <v>0</v>
      </c>
      <c r="N16" s="401">
        <f t="shared" si="16"/>
        <v>0</v>
      </c>
      <c r="O16" s="401">
        <f t="shared" si="17"/>
        <v>0</v>
      </c>
    </row>
    <row r="17" spans="1:18">
      <c r="A17" s="414"/>
      <c r="B17" s="407"/>
      <c r="C17" s="417"/>
      <c r="D17" s="420">
        <v>0</v>
      </c>
      <c r="E17" s="402">
        <f>+C17*D17</f>
        <v>0</v>
      </c>
      <c r="F17" s="401">
        <f t="shared" si="0"/>
        <v>0</v>
      </c>
      <c r="G17" s="401">
        <f t="shared" si="11"/>
        <v>0</v>
      </c>
      <c r="H17" s="401">
        <f t="shared" si="12"/>
        <v>0</v>
      </c>
      <c r="I17" s="401">
        <f t="shared" si="1"/>
        <v>0</v>
      </c>
      <c r="J17" s="401">
        <f t="shared" si="13"/>
        <v>0</v>
      </c>
      <c r="K17" s="401">
        <f t="shared" si="2"/>
        <v>0</v>
      </c>
      <c r="L17" s="403">
        <f t="shared" si="14"/>
        <v>0</v>
      </c>
      <c r="M17" s="401">
        <f t="shared" si="15"/>
        <v>0</v>
      </c>
      <c r="N17" s="401">
        <f t="shared" si="16"/>
        <v>0</v>
      </c>
      <c r="O17" s="401">
        <f t="shared" si="17"/>
        <v>0</v>
      </c>
    </row>
    <row r="18" spans="1:18">
      <c r="A18" s="414"/>
      <c r="B18" s="407"/>
      <c r="C18" s="417"/>
      <c r="D18" s="420">
        <v>0</v>
      </c>
      <c r="E18" s="402">
        <f>+C18*D18</f>
        <v>0</v>
      </c>
      <c r="F18" s="401">
        <f t="shared" si="0"/>
        <v>0</v>
      </c>
      <c r="G18" s="401">
        <f t="shared" si="11"/>
        <v>0</v>
      </c>
      <c r="H18" s="401">
        <f t="shared" si="12"/>
        <v>0</v>
      </c>
      <c r="I18" s="401">
        <f t="shared" si="1"/>
        <v>0</v>
      </c>
      <c r="J18" s="401">
        <f t="shared" si="13"/>
        <v>0</v>
      </c>
      <c r="K18" s="401">
        <f t="shared" si="2"/>
        <v>0</v>
      </c>
      <c r="L18" s="403">
        <f t="shared" si="14"/>
        <v>0</v>
      </c>
      <c r="M18" s="401">
        <f t="shared" si="15"/>
        <v>0</v>
      </c>
      <c r="N18" s="401">
        <f t="shared" si="16"/>
        <v>0</v>
      </c>
      <c r="O18" s="401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1">
        <f t="shared" si="0"/>
        <v>0</v>
      </c>
      <c r="G19" s="132"/>
      <c r="H19" s="76"/>
      <c r="I19" s="401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4"/>
      <c r="B20" s="407"/>
      <c r="C20" s="417"/>
      <c r="D20" s="401">
        <v>0</v>
      </c>
      <c r="E20" s="402">
        <f>+C20*D20</f>
        <v>0</v>
      </c>
      <c r="F20" s="401">
        <f t="shared" si="0"/>
        <v>0</v>
      </c>
      <c r="G20" s="401">
        <f t="shared" ref="G20" si="18">(D20+F20)*$G$4</f>
        <v>0</v>
      </c>
      <c r="H20" s="401">
        <f t="shared" ref="H20" si="19">(D20+F20+G20)*$H$4</f>
        <v>0</v>
      </c>
      <c r="I20" s="401">
        <f t="shared" si="1"/>
        <v>0</v>
      </c>
      <c r="J20" s="401">
        <f t="shared" ref="J20" si="20">D20+F20+G20+H20+I20</f>
        <v>0</v>
      </c>
      <c r="K20" s="401">
        <f t="shared" si="2"/>
        <v>0</v>
      </c>
      <c r="L20" s="403">
        <f t="shared" ref="L20" si="21">J20*C20</f>
        <v>0</v>
      </c>
      <c r="M20" s="401">
        <f t="shared" ref="M20" si="22">J20*$M$4/(1-$M$4)</f>
        <v>0</v>
      </c>
      <c r="N20" s="401">
        <f t="shared" ref="N20" si="23">M20+J20</f>
        <v>0</v>
      </c>
      <c r="O20" s="401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526" t="s">
        <v>243</v>
      </c>
      <c r="C2" s="526"/>
      <c r="D2" s="526"/>
      <c r="E2" s="526"/>
      <c r="F2" s="526"/>
      <c r="G2" s="526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527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528"/>
      <c r="B5" s="391" t="str">
        <f>+'Productos 2'!A3</f>
        <v>Productos 2</v>
      </c>
      <c r="C5" s="392">
        <f>+'Productos 2'!L17</f>
        <v>0</v>
      </c>
      <c r="D5" s="393" t="str">
        <f t="shared" si="0"/>
        <v/>
      </c>
      <c r="E5" s="394">
        <f>+'Productos 2'!M4</f>
        <v>0.3</v>
      </c>
      <c r="F5" s="395">
        <f>Tabla24[[#This Row],[Costo]]/(1-Tabla24[[#This Row],[% de venta]])</f>
        <v>0</v>
      </c>
      <c r="G5" s="396">
        <f>+Tabla24[[#This Row],[P. Venta ]]-Tabla24[[#This Row],[Costo]]</f>
        <v>0</v>
      </c>
      <c r="H5" s="234"/>
    </row>
    <row r="6" spans="1:11" ht="16" customHeight="1">
      <c r="A6" s="528"/>
      <c r="B6" s="397" t="str">
        <f>+'Productos 3'!A3</f>
        <v>Productos 3</v>
      </c>
      <c r="C6" s="392">
        <f>+'Productos 3'!L22</f>
        <v>0</v>
      </c>
      <c r="D6" s="393" t="str">
        <f t="shared" si="0"/>
        <v/>
      </c>
      <c r="E6" s="394">
        <f>+'Productos 3'!M4</f>
        <v>0.3</v>
      </c>
      <c r="F6" s="395">
        <f>Tabla24[[#This Row],[Costo]]/(1-Tabla24[[#This Row],[% de venta]])</f>
        <v>0</v>
      </c>
      <c r="G6" s="396">
        <f>+Tabla24[[#This Row],[P. Venta ]]-Tabla24[[#This Row],[Costo]]</f>
        <v>0</v>
      </c>
      <c r="H6" s="234"/>
    </row>
    <row r="7" spans="1:11" ht="16" customHeight="1">
      <c r="A7" s="528"/>
      <c r="B7" s="391" t="str">
        <f>+'Productos 4'!A3</f>
        <v>Productos 4</v>
      </c>
      <c r="C7" s="392">
        <f>+'Productos 4'!L21</f>
        <v>0</v>
      </c>
      <c r="D7" s="393" t="str">
        <f t="shared" si="0"/>
        <v/>
      </c>
      <c r="E7" s="394">
        <f>+'Productos 4'!M4</f>
        <v>0.3</v>
      </c>
      <c r="F7" s="395">
        <f>Tabla24[[#This Row],[Costo]]/(1-Tabla24[[#This Row],[% de venta]])</f>
        <v>0</v>
      </c>
      <c r="G7" s="396">
        <f>+Tabla24[[#This Row],[P. Venta ]]-Tabla24[[#This Row],[Costo]]</f>
        <v>0</v>
      </c>
      <c r="H7" s="234"/>
    </row>
    <row r="8" spans="1:11" ht="16" customHeight="1" thickBot="1">
      <c r="A8" s="529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398" t="str">
        <f>+'OPEX GV'!A3</f>
        <v>OPEX GV</v>
      </c>
      <c r="C10" s="399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523" t="s">
        <v>287</v>
      </c>
      <c r="I14" s="524"/>
      <c r="J14" s="524"/>
      <c r="K14" s="525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520" t="s">
        <v>304</v>
      </c>
      <c r="C32" s="521"/>
      <c r="D32" s="522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66" t="s">
        <v>355</v>
      </c>
      <c r="B1" s="566"/>
      <c r="C1" s="566"/>
      <c r="D1" s="566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69" t="s">
        <v>421</v>
      </c>
      <c r="B3" s="569"/>
      <c r="C3" s="569"/>
      <c r="D3" s="569"/>
      <c r="E3" s="569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0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7" t="s">
        <v>520</v>
      </c>
      <c r="B6" s="407" t="s">
        <v>369</v>
      </c>
      <c r="C6" s="423">
        <v>0</v>
      </c>
      <c r="D6" s="424">
        <f>+'MANO DE OBRA '!G9+'MANO DE OBRA '!K9</f>
        <v>0</v>
      </c>
      <c r="E6" s="409">
        <f>+D6*C6</f>
        <v>0</v>
      </c>
      <c r="F6" s="420">
        <f>IF(B6="si",D6*$F$4,0)</f>
        <v>0</v>
      </c>
      <c r="G6" s="424">
        <f>(D6+F6)*$G$4</f>
        <v>0</v>
      </c>
      <c r="H6" s="420">
        <f>(D6+F6+G6)*$H$4</f>
        <v>0</v>
      </c>
      <c r="I6" s="420">
        <f>IF(B6="si",(D6+F6+G6+H6)*$I$4,0)</f>
        <v>0</v>
      </c>
      <c r="J6" s="420">
        <f>D6+F6+G6+H6+I6</f>
        <v>0</v>
      </c>
      <c r="K6" s="420">
        <f>J6*$K$4</f>
        <v>0</v>
      </c>
      <c r="L6" s="403">
        <f>(J6+K6)*C6</f>
        <v>0</v>
      </c>
      <c r="M6" s="420">
        <f>(J6+K6)*$M$4/(1-$M$4)</f>
        <v>0</v>
      </c>
      <c r="N6" s="420">
        <f>M6+J6+K6</f>
        <v>0</v>
      </c>
      <c r="O6" s="420">
        <f>N6*C6</f>
        <v>0</v>
      </c>
      <c r="P6" s="10"/>
    </row>
    <row r="7" spans="1:17">
      <c r="A7" s="407" t="s">
        <v>422</v>
      </c>
      <c r="B7" s="407" t="s">
        <v>369</v>
      </c>
      <c r="C7" s="423">
        <v>0</v>
      </c>
      <c r="D7" s="424">
        <v>100</v>
      </c>
      <c r="E7" s="409">
        <f>+D7*C7</f>
        <v>0</v>
      </c>
      <c r="F7" s="420">
        <f t="shared" ref="F7:F15" si="0">IF(B7="si",D7*$F$4,0)</f>
        <v>0</v>
      </c>
      <c r="G7" s="424">
        <f>(D7+F7)*$G$4</f>
        <v>3</v>
      </c>
      <c r="H7" s="424">
        <f>(D7+F7+G7)*$H$4</f>
        <v>0</v>
      </c>
      <c r="I7" s="420">
        <f t="shared" ref="I7:I15" si="1">IF(B7="si",(D7+F7+G7+H7)*$I$4,0)</f>
        <v>0</v>
      </c>
      <c r="J7" s="424">
        <f>D7+F7+G7+H7+I7</f>
        <v>103</v>
      </c>
      <c r="K7" s="420">
        <f t="shared" ref="K7:K15" si="2">J7*$K$4</f>
        <v>3.09</v>
      </c>
      <c r="L7" s="403">
        <f t="shared" ref="L7:L15" si="3">(J7+K7)*C7</f>
        <v>0</v>
      </c>
      <c r="M7" s="420">
        <f t="shared" ref="M7:M15" si="4">(J7+K7)*$M$4/(1-$M$4)</f>
        <v>40.039476584022047</v>
      </c>
      <c r="N7" s="420">
        <f t="shared" ref="N7:N15" si="5">M7+J7+K7</f>
        <v>146.12947658402206</v>
      </c>
      <c r="O7" s="424">
        <f>N7*C7</f>
        <v>0</v>
      </c>
    </row>
    <row r="8" spans="1:17">
      <c r="A8" s="410" t="s">
        <v>423</v>
      </c>
      <c r="B8" s="407" t="s">
        <v>369</v>
      </c>
      <c r="C8" s="423">
        <v>0</v>
      </c>
      <c r="D8" s="424">
        <v>100</v>
      </c>
      <c r="E8" s="409">
        <f t="shared" ref="E8:E10" si="6">+D8*C8</f>
        <v>0</v>
      </c>
      <c r="F8" s="420">
        <f t="shared" si="0"/>
        <v>0</v>
      </c>
      <c r="G8" s="424">
        <f t="shared" ref="G8:G10" si="7">(D8+F8)*$G$4</f>
        <v>3</v>
      </c>
      <c r="H8" s="424">
        <f t="shared" ref="H8:H10" si="8">(D8+F8+G8)*$H$4</f>
        <v>0</v>
      </c>
      <c r="I8" s="420">
        <f t="shared" si="1"/>
        <v>0</v>
      </c>
      <c r="J8" s="424">
        <f t="shared" ref="J8:J10" si="9">D8+F8+G8+H8+I8</f>
        <v>103</v>
      </c>
      <c r="K8" s="420">
        <f t="shared" si="2"/>
        <v>3.09</v>
      </c>
      <c r="L8" s="403">
        <f t="shared" si="3"/>
        <v>0</v>
      </c>
      <c r="M8" s="420">
        <f t="shared" si="4"/>
        <v>40.039476584022047</v>
      </c>
      <c r="N8" s="420">
        <f t="shared" si="5"/>
        <v>146.12947658402206</v>
      </c>
      <c r="O8" s="424">
        <f t="shared" ref="O8:O10" si="10">N8*C8</f>
        <v>0</v>
      </c>
    </row>
    <row r="9" spans="1:17">
      <c r="A9" s="412" t="s">
        <v>425</v>
      </c>
      <c r="B9" s="407" t="s">
        <v>369</v>
      </c>
      <c r="C9" s="423">
        <v>0</v>
      </c>
      <c r="D9" s="424">
        <v>100</v>
      </c>
      <c r="E9" s="409">
        <f t="shared" si="6"/>
        <v>0</v>
      </c>
      <c r="F9" s="420">
        <f t="shared" si="0"/>
        <v>0</v>
      </c>
      <c r="G9" s="424">
        <f t="shared" si="7"/>
        <v>3</v>
      </c>
      <c r="H9" s="424">
        <f t="shared" si="8"/>
        <v>0</v>
      </c>
      <c r="I9" s="420">
        <f t="shared" si="1"/>
        <v>0</v>
      </c>
      <c r="J9" s="424">
        <f t="shared" si="9"/>
        <v>103</v>
      </c>
      <c r="K9" s="420">
        <f t="shared" si="2"/>
        <v>3.09</v>
      </c>
      <c r="L9" s="403">
        <f t="shared" si="3"/>
        <v>0</v>
      </c>
      <c r="M9" s="420">
        <f t="shared" si="4"/>
        <v>40.039476584022047</v>
      </c>
      <c r="N9" s="420">
        <f t="shared" si="5"/>
        <v>146.12947658402206</v>
      </c>
      <c r="O9" s="424">
        <f t="shared" si="10"/>
        <v>0</v>
      </c>
    </row>
    <row r="10" spans="1:17">
      <c r="A10" s="210" t="s">
        <v>517</v>
      </c>
      <c r="B10" s="407" t="s">
        <v>369</v>
      </c>
      <c r="C10" s="423">
        <v>0</v>
      </c>
      <c r="D10" s="424">
        <v>100</v>
      </c>
      <c r="E10" s="409">
        <f t="shared" si="6"/>
        <v>0</v>
      </c>
      <c r="F10" s="420">
        <f t="shared" si="0"/>
        <v>0</v>
      </c>
      <c r="G10" s="424">
        <f t="shared" si="7"/>
        <v>3</v>
      </c>
      <c r="H10" s="424">
        <f t="shared" si="8"/>
        <v>0</v>
      </c>
      <c r="I10" s="420">
        <f t="shared" si="1"/>
        <v>0</v>
      </c>
      <c r="J10" s="424">
        <f t="shared" si="9"/>
        <v>103</v>
      </c>
      <c r="K10" s="420">
        <f t="shared" si="2"/>
        <v>3.09</v>
      </c>
      <c r="L10" s="403">
        <f t="shared" si="3"/>
        <v>0</v>
      </c>
      <c r="M10" s="401">
        <f t="shared" si="4"/>
        <v>40.039476584022047</v>
      </c>
      <c r="N10" s="401">
        <f t="shared" si="5"/>
        <v>146.12947658402206</v>
      </c>
      <c r="O10" s="411">
        <f t="shared" si="10"/>
        <v>0</v>
      </c>
    </row>
    <row r="11" spans="1:17">
      <c r="A11" s="407"/>
      <c r="B11" s="407" t="s">
        <v>369</v>
      </c>
      <c r="C11" s="423">
        <v>0</v>
      </c>
      <c r="D11" s="424">
        <v>100</v>
      </c>
      <c r="E11" s="402">
        <f>+C11*D11*(1-C18)</f>
        <v>0</v>
      </c>
      <c r="F11" s="420">
        <f t="shared" si="0"/>
        <v>0</v>
      </c>
      <c r="G11" s="420">
        <f t="shared" ref="G11:G15" si="11">(D11+F11)*$G$4</f>
        <v>3</v>
      </c>
      <c r="H11" s="420">
        <f t="shared" ref="H11:H15" si="12">(D11+F11+G11)*$H$4</f>
        <v>0</v>
      </c>
      <c r="I11" s="420">
        <f t="shared" si="1"/>
        <v>0</v>
      </c>
      <c r="J11" s="420">
        <f t="shared" ref="J11:J15" si="13">D11+F11+G11+H11+I11</f>
        <v>103</v>
      </c>
      <c r="K11" s="420">
        <f t="shared" si="2"/>
        <v>3.09</v>
      </c>
      <c r="L11" s="403">
        <f t="shared" si="3"/>
        <v>0</v>
      </c>
      <c r="M11" s="401">
        <f t="shared" si="4"/>
        <v>40.039476584022047</v>
      </c>
      <c r="N11" s="401">
        <f t="shared" si="5"/>
        <v>146.12947658402206</v>
      </c>
      <c r="O11" s="401">
        <f t="shared" ref="O11:O15" si="14">N11*C11</f>
        <v>0</v>
      </c>
    </row>
    <row r="12" spans="1:17">
      <c r="A12" s="413"/>
      <c r="B12" s="407" t="s">
        <v>369</v>
      </c>
      <c r="C12" s="423">
        <v>0</v>
      </c>
      <c r="D12" s="422">
        <v>100</v>
      </c>
      <c r="E12" s="402">
        <f>+C12*D12</f>
        <v>0</v>
      </c>
      <c r="F12" s="401">
        <f t="shared" si="0"/>
        <v>0</v>
      </c>
      <c r="G12" s="401">
        <f t="shared" si="11"/>
        <v>3</v>
      </c>
      <c r="H12" s="401">
        <f t="shared" si="12"/>
        <v>0</v>
      </c>
      <c r="I12" s="401">
        <f t="shared" si="1"/>
        <v>0</v>
      </c>
      <c r="J12" s="401">
        <f t="shared" si="13"/>
        <v>103</v>
      </c>
      <c r="K12" s="401">
        <f t="shared" si="2"/>
        <v>3.09</v>
      </c>
      <c r="L12" s="403">
        <f t="shared" si="3"/>
        <v>0</v>
      </c>
      <c r="M12" s="401">
        <f t="shared" si="4"/>
        <v>40.039476584022047</v>
      </c>
      <c r="N12" s="401">
        <f t="shared" si="5"/>
        <v>146.12947658402206</v>
      </c>
      <c r="O12" s="401">
        <f t="shared" si="14"/>
        <v>0</v>
      </c>
    </row>
    <row r="13" spans="1:17">
      <c r="A13" s="413"/>
      <c r="B13" s="407" t="s">
        <v>369</v>
      </c>
      <c r="C13" s="423">
        <v>0</v>
      </c>
      <c r="D13" s="422">
        <v>100</v>
      </c>
      <c r="E13" s="402">
        <f>+C13*D13</f>
        <v>0</v>
      </c>
      <c r="F13" s="401">
        <f t="shared" si="0"/>
        <v>0</v>
      </c>
      <c r="G13" s="401">
        <f t="shared" si="11"/>
        <v>3</v>
      </c>
      <c r="H13" s="401">
        <f t="shared" si="12"/>
        <v>0</v>
      </c>
      <c r="I13" s="401">
        <f t="shared" si="1"/>
        <v>0</v>
      </c>
      <c r="J13" s="401">
        <f t="shared" si="13"/>
        <v>103</v>
      </c>
      <c r="K13" s="401">
        <f t="shared" si="2"/>
        <v>3.09</v>
      </c>
      <c r="L13" s="403">
        <f t="shared" si="3"/>
        <v>0</v>
      </c>
      <c r="M13" s="401">
        <f t="shared" si="4"/>
        <v>40.039476584022047</v>
      </c>
      <c r="N13" s="401">
        <f t="shared" si="5"/>
        <v>146.12947658402206</v>
      </c>
      <c r="O13" s="401">
        <f t="shared" si="14"/>
        <v>0</v>
      </c>
    </row>
    <row r="14" spans="1:17">
      <c r="A14" s="414"/>
      <c r="B14" s="407" t="s">
        <v>369</v>
      </c>
      <c r="C14" s="423">
        <v>0</v>
      </c>
      <c r="D14" s="422">
        <v>100</v>
      </c>
      <c r="E14" s="402">
        <f>+C14*D14</f>
        <v>0</v>
      </c>
      <c r="F14" s="401">
        <f t="shared" si="0"/>
        <v>0</v>
      </c>
      <c r="G14" s="401">
        <f t="shared" si="11"/>
        <v>3</v>
      </c>
      <c r="H14" s="401">
        <f t="shared" si="12"/>
        <v>0</v>
      </c>
      <c r="I14" s="401">
        <f t="shared" si="1"/>
        <v>0</v>
      </c>
      <c r="J14" s="401">
        <f t="shared" si="13"/>
        <v>103</v>
      </c>
      <c r="K14" s="401">
        <f t="shared" si="2"/>
        <v>3.09</v>
      </c>
      <c r="L14" s="403">
        <f t="shared" si="3"/>
        <v>0</v>
      </c>
      <c r="M14" s="401">
        <f t="shared" si="4"/>
        <v>40.039476584022047</v>
      </c>
      <c r="N14" s="401">
        <f t="shared" si="5"/>
        <v>146.12947658402206</v>
      </c>
      <c r="O14" s="401">
        <f t="shared" si="14"/>
        <v>0</v>
      </c>
    </row>
    <row r="15" spans="1:17">
      <c r="A15" s="414"/>
      <c r="B15" s="407" t="s">
        <v>369</v>
      </c>
      <c r="C15" s="423">
        <v>0</v>
      </c>
      <c r="D15" s="422">
        <v>100</v>
      </c>
      <c r="E15" s="402">
        <f>+C15*D15</f>
        <v>0</v>
      </c>
      <c r="F15" s="401">
        <f t="shared" si="0"/>
        <v>0</v>
      </c>
      <c r="G15" s="401">
        <f t="shared" si="11"/>
        <v>3</v>
      </c>
      <c r="H15" s="401">
        <f t="shared" si="12"/>
        <v>0</v>
      </c>
      <c r="I15" s="401">
        <f t="shared" si="1"/>
        <v>0</v>
      </c>
      <c r="J15" s="401">
        <f t="shared" si="13"/>
        <v>103</v>
      </c>
      <c r="K15" s="401">
        <f t="shared" si="2"/>
        <v>3.09</v>
      </c>
      <c r="L15" s="403">
        <f t="shared" si="3"/>
        <v>0</v>
      </c>
      <c r="M15" s="401">
        <f t="shared" si="4"/>
        <v>40.039476584022047</v>
      </c>
      <c r="N15" s="401">
        <f t="shared" si="5"/>
        <v>146.12947658402206</v>
      </c>
      <c r="O15" s="401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Q178"/>
  <sheetViews>
    <sheetView showGridLines="0" topLeftCell="B1" workbookViewId="0">
      <selection activeCell="L5" sqref="L5:N8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3" width="10.6328125" style="307" customWidth="1"/>
    <col min="14" max="14" width="16.6328125" style="307" customWidth="1"/>
    <col min="15" max="15" width="13.54296875" style="307" bestFit="1" customWidth="1"/>
    <col min="16" max="17" width="0" style="307" hidden="1" customWidth="1"/>
    <col min="18" max="16384" width="11.54296875" style="307"/>
  </cols>
  <sheetData>
    <row r="2" spans="2:17" ht="14.5">
      <c r="B2" s="574" t="s">
        <v>530</v>
      </c>
      <c r="C2" s="575"/>
      <c r="D2" s="575"/>
      <c r="E2" s="575"/>
      <c r="F2" s="575"/>
      <c r="G2" s="575"/>
      <c r="H2" s="575"/>
      <c r="I2" s="575"/>
      <c r="J2" s="575"/>
      <c r="K2" s="575"/>
      <c r="L2" s="498"/>
      <c r="M2" s="498"/>
      <c r="N2" s="498"/>
      <c r="P2" s="587" t="s">
        <v>439</v>
      </c>
      <c r="Q2" s="588"/>
    </row>
    <row r="3" spans="2:17" ht="43.5">
      <c r="B3" s="571" t="s">
        <v>440</v>
      </c>
      <c r="C3" s="572" t="s">
        <v>441</v>
      </c>
      <c r="D3" s="572"/>
      <c r="E3" s="572"/>
      <c r="F3" s="572"/>
      <c r="G3" s="572"/>
      <c r="H3" s="573" t="s">
        <v>442</v>
      </c>
      <c r="I3" s="573"/>
      <c r="J3" s="573"/>
      <c r="K3" s="573"/>
      <c r="L3" s="601" t="s">
        <v>882</v>
      </c>
      <c r="M3" s="594"/>
      <c r="N3" s="594"/>
      <c r="P3" s="308" t="s">
        <v>441</v>
      </c>
      <c r="Q3" s="309">
        <v>237600.00000000003</v>
      </c>
    </row>
    <row r="4" spans="2:17" ht="42">
      <c r="B4" s="571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877</v>
      </c>
      <c r="J4" s="310" t="s">
        <v>878</v>
      </c>
      <c r="K4" s="310" t="s">
        <v>14</v>
      </c>
      <c r="L4" s="600" t="s">
        <v>879</v>
      </c>
      <c r="M4" s="600" t="s">
        <v>880</v>
      </c>
      <c r="N4" s="600" t="s">
        <v>881</v>
      </c>
      <c r="P4" s="308" t="s">
        <v>442</v>
      </c>
      <c r="Q4" s="309">
        <v>0</v>
      </c>
    </row>
    <row r="5" spans="2:17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0">
        <f>IF(N5&lt;&gt;"",N5/'Datos del proyecto'!$B$47,Transporte!I3)</f>
        <v>21.599999999999998</v>
      </c>
      <c r="J5" s="315">
        <v>0</v>
      </c>
      <c r="K5" s="316">
        <f>(H5*E5*F5)+(I5*IF(L5="",E5,L5))+(J5*IF(M5="",E5,M5))</f>
        <v>0</v>
      </c>
      <c r="L5" s="602"/>
      <c r="M5" s="602"/>
      <c r="N5" s="603"/>
      <c r="P5" s="317" t="s">
        <v>14</v>
      </c>
      <c r="Q5" s="318">
        <f>SUM(Q3:Q4)</f>
        <v>237600.00000000003</v>
      </c>
    </row>
    <row r="6" spans="2:17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(H6*E6*F6)+(I6*IF(L6="",E6,L6))+(J6*IF(M6="",E6,M6))</f>
        <v>0</v>
      </c>
      <c r="L6" s="602"/>
      <c r="M6" s="602"/>
      <c r="N6" s="603"/>
      <c r="P6" s="317" t="s">
        <v>452</v>
      </c>
      <c r="Q6" s="318">
        <f>Q5-(G10+K10)</f>
        <v>237600.00000000003</v>
      </c>
    </row>
    <row r="7" spans="2:17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>(H7*E7*F7)+(I7*IF(L7="",E7,L7))+(J7*IF(M7="",E7,M7))</f>
        <v>0</v>
      </c>
      <c r="L7" s="602"/>
      <c r="M7" s="602"/>
      <c r="N7" s="603"/>
    </row>
    <row r="8" spans="2:17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>(H8*E8*F8)+(I8*IF(L8="",E8,L8))+(J8*IF(M8="",E8,M8))</f>
        <v>0</v>
      </c>
      <c r="L8" s="602"/>
      <c r="M8" s="602"/>
      <c r="N8" s="603"/>
      <c r="P8" s="474" t="s">
        <v>883</v>
      </c>
    </row>
    <row r="9" spans="2:17" ht="14">
      <c r="G9" s="319">
        <f>SUM(G5:G8)</f>
        <v>0</v>
      </c>
      <c r="H9" s="320"/>
      <c r="I9" s="320"/>
      <c r="J9" s="320"/>
      <c r="K9" s="321">
        <f>SUM(K5:K8)</f>
        <v>0</v>
      </c>
      <c r="L9" s="597"/>
      <c r="M9" s="597"/>
      <c r="N9" s="597"/>
    </row>
    <row r="10" spans="2:17" ht="13">
      <c r="P10" s="475" t="s">
        <v>856</v>
      </c>
    </row>
    <row r="11" spans="2:17" ht="14">
      <c r="B11" s="310" t="s">
        <v>455</v>
      </c>
      <c r="C11" s="310" t="s">
        <v>445</v>
      </c>
      <c r="D11" s="310" t="s">
        <v>456</v>
      </c>
      <c r="P11" s="474" t="s">
        <v>857</v>
      </c>
    </row>
    <row r="12" spans="2:17" ht="14">
      <c r="B12" s="322" t="s">
        <v>457</v>
      </c>
      <c r="C12" s="323">
        <v>0</v>
      </c>
      <c r="D12" s="313">
        <f>C12/5</f>
        <v>0</v>
      </c>
      <c r="P12" s="474" t="s">
        <v>858</v>
      </c>
    </row>
    <row r="13" spans="2:17" ht="14">
      <c r="B13" s="322" t="s">
        <v>458</v>
      </c>
      <c r="C13" s="323">
        <v>0</v>
      </c>
      <c r="D13" s="313">
        <f>C13/5</f>
        <v>0</v>
      </c>
      <c r="P13" s="474" t="s">
        <v>859</v>
      </c>
    </row>
    <row r="14" spans="2:17" ht="14">
      <c r="B14" s="322" t="s">
        <v>459</v>
      </c>
      <c r="C14" s="323">
        <v>0</v>
      </c>
      <c r="D14" s="313">
        <f>C14/5</f>
        <v>0</v>
      </c>
      <c r="P14" s="474" t="s">
        <v>860</v>
      </c>
    </row>
    <row r="15" spans="2:17" ht="14">
      <c r="B15" s="322" t="s">
        <v>460</v>
      </c>
      <c r="C15" s="323">
        <v>0</v>
      </c>
      <c r="D15" s="313">
        <f>C15/5</f>
        <v>0</v>
      </c>
      <c r="P15" s="474" t="s">
        <v>861</v>
      </c>
    </row>
    <row r="16" spans="2:17" ht="14">
      <c r="B16" s="324" t="s">
        <v>461</v>
      </c>
      <c r="C16" s="325">
        <f>SUM(C12:C15)</f>
        <v>0</v>
      </c>
      <c r="D16" s="325">
        <f>SUM(D12:D15)</f>
        <v>0</v>
      </c>
      <c r="P16" s="474" t="s">
        <v>862</v>
      </c>
    </row>
    <row r="17" spans="2:17" ht="13">
      <c r="P17" s="474" t="s">
        <v>863</v>
      </c>
    </row>
    <row r="18" spans="2:17" ht="14.5">
      <c r="B18" s="576" t="s">
        <v>529</v>
      </c>
      <c r="C18" s="577"/>
      <c r="D18" s="577"/>
      <c r="E18" s="577"/>
      <c r="F18" s="577"/>
      <c r="G18" s="577"/>
      <c r="H18" s="577"/>
      <c r="I18" s="577"/>
      <c r="J18" s="577"/>
      <c r="K18" s="577"/>
      <c r="L18" s="598"/>
      <c r="M18" s="598"/>
      <c r="N18" s="598"/>
      <c r="P18" s="578" t="s">
        <v>439</v>
      </c>
      <c r="Q18" s="578"/>
    </row>
    <row r="19" spans="2:17" ht="14.5">
      <c r="B19" s="571" t="s">
        <v>440</v>
      </c>
      <c r="C19" s="572" t="s">
        <v>441</v>
      </c>
      <c r="D19" s="572"/>
      <c r="E19" s="572"/>
      <c r="F19" s="572"/>
      <c r="G19" s="572"/>
      <c r="H19" s="573" t="s">
        <v>442</v>
      </c>
      <c r="I19" s="573"/>
      <c r="J19" s="573"/>
      <c r="K19" s="573"/>
      <c r="L19" s="594"/>
      <c r="M19" s="594"/>
      <c r="N19" s="594"/>
      <c r="P19" s="308" t="s">
        <v>441</v>
      </c>
      <c r="Q19" s="309">
        <v>79200.000000000015</v>
      </c>
    </row>
    <row r="20" spans="2:17" ht="14">
      <c r="B20" s="571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L20" s="595"/>
      <c r="M20" s="595"/>
      <c r="N20" s="595"/>
      <c r="P20" s="308" t="s">
        <v>442</v>
      </c>
      <c r="Q20" s="309">
        <v>157500</v>
      </c>
    </row>
    <row r="21" spans="2:17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L21" s="596"/>
      <c r="M21" s="596"/>
      <c r="N21" s="596"/>
      <c r="P21" s="317" t="s">
        <v>14</v>
      </c>
      <c r="Q21" s="318">
        <f>SUM(Q19:Q20)</f>
        <v>236700</v>
      </c>
    </row>
    <row r="22" spans="2:17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L22" s="596"/>
      <c r="M22" s="596"/>
      <c r="N22" s="596"/>
      <c r="P22" s="317" t="s">
        <v>452</v>
      </c>
      <c r="Q22" s="318">
        <f>Q21-(G26+K26)</f>
        <v>236700</v>
      </c>
    </row>
    <row r="23" spans="2:17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  <c r="L23" s="596"/>
      <c r="M23" s="596"/>
      <c r="N23" s="596"/>
    </row>
    <row r="24" spans="2:17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L24" s="596"/>
      <c r="M24" s="596"/>
      <c r="N24" s="596"/>
      <c r="P24" s="326" t="s">
        <v>462</v>
      </c>
      <c r="Q24" s="327">
        <f>Q22+Q6</f>
        <v>474300</v>
      </c>
    </row>
    <row r="25" spans="2:17" ht="14">
      <c r="G25" s="319">
        <f>SUM(G21:G24)</f>
        <v>0</v>
      </c>
      <c r="H25" s="320"/>
      <c r="I25" s="320"/>
      <c r="J25" s="320"/>
      <c r="K25" s="321">
        <f>SUM(K21:K24)</f>
        <v>0</v>
      </c>
      <c r="L25" s="597"/>
      <c r="M25" s="597"/>
      <c r="N25" s="597"/>
    </row>
    <row r="27" spans="2:17" ht="14">
      <c r="B27" s="310" t="s">
        <v>455</v>
      </c>
      <c r="C27" s="310" t="s">
        <v>445</v>
      </c>
      <c r="D27" s="310" t="s">
        <v>456</v>
      </c>
    </row>
    <row r="28" spans="2:17" ht="14">
      <c r="B28" s="322" t="s">
        <v>457</v>
      </c>
      <c r="C28" s="323">
        <v>0</v>
      </c>
      <c r="D28" s="313">
        <f>C28/5</f>
        <v>0</v>
      </c>
    </row>
    <row r="29" spans="2:17" ht="14">
      <c r="B29" s="322" t="s">
        <v>458</v>
      </c>
      <c r="C29" s="323">
        <v>0</v>
      </c>
      <c r="D29" s="313">
        <f>C29/5</f>
        <v>0</v>
      </c>
    </row>
    <row r="30" spans="2:17" ht="14">
      <c r="B30" s="322" t="s">
        <v>459</v>
      </c>
      <c r="C30" s="323">
        <v>0</v>
      </c>
      <c r="D30" s="313">
        <f>C30/5</f>
        <v>0</v>
      </c>
    </row>
    <row r="31" spans="2:17" ht="14">
      <c r="B31" s="322" t="s">
        <v>460</v>
      </c>
      <c r="C31" s="323">
        <v>0</v>
      </c>
      <c r="D31" s="313">
        <f>C31/5</f>
        <v>0</v>
      </c>
    </row>
    <row r="32" spans="2:17" ht="14">
      <c r="B32" s="324" t="s">
        <v>461</v>
      </c>
      <c r="C32" s="325">
        <f>SUM(C28:C31)</f>
        <v>0</v>
      </c>
      <c r="D32" s="325">
        <f>SUM(D28:D31)</f>
        <v>0</v>
      </c>
    </row>
    <row r="34" spans="2:17" ht="14.5">
      <c r="B34" s="574" t="s">
        <v>529</v>
      </c>
      <c r="C34" s="575"/>
      <c r="D34" s="575"/>
      <c r="E34" s="575"/>
      <c r="F34" s="575"/>
      <c r="G34" s="575"/>
      <c r="H34" s="575"/>
      <c r="I34" s="575"/>
      <c r="J34" s="575"/>
      <c r="K34" s="575"/>
      <c r="L34" s="575"/>
      <c r="M34" s="575"/>
      <c r="N34" s="575"/>
      <c r="O34" s="589"/>
      <c r="P34" s="587" t="s">
        <v>439</v>
      </c>
      <c r="Q34" s="588"/>
    </row>
    <row r="35" spans="2:17" ht="14.5">
      <c r="B35" s="579" t="s">
        <v>440</v>
      </c>
      <c r="C35" s="581" t="s">
        <v>441</v>
      </c>
      <c r="D35" s="582"/>
      <c r="E35" s="582"/>
      <c r="F35" s="582"/>
      <c r="G35" s="583"/>
      <c r="H35" s="584" t="s">
        <v>442</v>
      </c>
      <c r="I35" s="585"/>
      <c r="J35" s="585"/>
      <c r="K35" s="585"/>
      <c r="L35" s="585"/>
      <c r="M35" s="585"/>
      <c r="N35" s="585"/>
      <c r="O35" s="586"/>
      <c r="P35" s="308" t="s">
        <v>441</v>
      </c>
      <c r="Q35" s="309">
        <v>237600.00000000003</v>
      </c>
    </row>
    <row r="36" spans="2:17" ht="14">
      <c r="B36" s="580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/>
      <c r="M36" s="310"/>
      <c r="N36" s="310"/>
      <c r="O36" s="310" t="s">
        <v>14</v>
      </c>
      <c r="P36" s="308" t="s">
        <v>442</v>
      </c>
      <c r="Q36" s="309">
        <v>0</v>
      </c>
    </row>
    <row r="37" spans="2:17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5"/>
      <c r="M37" s="315"/>
      <c r="N37" s="315"/>
      <c r="O37" s="316">
        <f>(H37*F37*E37)+(I37*E37)+(J37*(E37-1))*F37+K37*2*F37</f>
        <v>0</v>
      </c>
      <c r="P37" s="317" t="s">
        <v>14</v>
      </c>
      <c r="Q37" s="318">
        <f>SUM(Q35:Q36)</f>
        <v>237600.00000000003</v>
      </c>
    </row>
    <row r="38" spans="2:17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5"/>
      <c r="M38" s="315"/>
      <c r="N38" s="315"/>
      <c r="O38" s="316">
        <f>(H38*F38*E38)+(I38*E38)+(J38*(E38-1))*F38+K38*2*F38</f>
        <v>0</v>
      </c>
      <c r="P38" s="317" t="s">
        <v>452</v>
      </c>
      <c r="Q38" s="318">
        <f>Q37-(G42+O42)</f>
        <v>237600.00000000003</v>
      </c>
    </row>
    <row r="39" spans="2:17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5"/>
      <c r="M39" s="315"/>
      <c r="N39" s="315"/>
      <c r="O39" s="316">
        <f>(H39*F39*E39)+(I39*E39)+(J39*(E39-1))*F39+K39*2*F39</f>
        <v>0</v>
      </c>
    </row>
    <row r="40" spans="2:17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5"/>
      <c r="M40" s="315"/>
      <c r="N40" s="315"/>
      <c r="O40" s="316"/>
    </row>
    <row r="41" spans="2:17" ht="14">
      <c r="G41" s="319">
        <f>SUM(G37:G40)</f>
        <v>0</v>
      </c>
      <c r="H41" s="320"/>
      <c r="I41" s="320"/>
      <c r="J41" s="320"/>
      <c r="O41" s="321">
        <f>SUM(O37:O40)</f>
        <v>0</v>
      </c>
    </row>
    <row r="43" spans="2:17" ht="14">
      <c r="B43" s="310" t="s">
        <v>455</v>
      </c>
      <c r="C43" s="310" t="s">
        <v>445</v>
      </c>
      <c r="D43" s="310" t="s">
        <v>456</v>
      </c>
    </row>
    <row r="44" spans="2:17" ht="14">
      <c r="B44" s="322" t="s">
        <v>457</v>
      </c>
      <c r="C44" s="323">
        <v>0</v>
      </c>
      <c r="D44" s="313">
        <f>C44/5</f>
        <v>0</v>
      </c>
    </row>
    <row r="45" spans="2:17" ht="14">
      <c r="B45" s="322" t="s">
        <v>458</v>
      </c>
      <c r="C45" s="323">
        <v>0</v>
      </c>
      <c r="D45" s="313">
        <f>C45/5</f>
        <v>0</v>
      </c>
    </row>
    <row r="46" spans="2:17" ht="14">
      <c r="B46" s="322" t="s">
        <v>459</v>
      </c>
      <c r="C46" s="323">
        <v>0</v>
      </c>
      <c r="D46" s="313">
        <f>C46/5</f>
        <v>0</v>
      </c>
    </row>
    <row r="47" spans="2:17" ht="14">
      <c r="B47" s="322" t="s">
        <v>460</v>
      </c>
      <c r="C47" s="323">
        <v>0</v>
      </c>
      <c r="D47" s="313">
        <f>C47/5</f>
        <v>0</v>
      </c>
    </row>
    <row r="48" spans="2:17" ht="14">
      <c r="B48" s="324" t="s">
        <v>461</v>
      </c>
      <c r="C48" s="325">
        <f>SUM(C44:C47)</f>
        <v>0</v>
      </c>
      <c r="D48" s="325">
        <f>SUM(D44:D47)</f>
        <v>0</v>
      </c>
    </row>
    <row r="50" spans="2:17" ht="14.5">
      <c r="B50" s="576" t="s">
        <v>529</v>
      </c>
      <c r="C50" s="577"/>
      <c r="D50" s="577"/>
      <c r="E50" s="577"/>
      <c r="F50" s="577"/>
      <c r="G50" s="577"/>
      <c r="H50" s="577"/>
      <c r="I50" s="577"/>
      <c r="J50" s="577"/>
      <c r="K50" s="577"/>
      <c r="L50" s="598"/>
      <c r="M50" s="598"/>
      <c r="N50" s="598"/>
      <c r="P50" s="578" t="s">
        <v>439</v>
      </c>
      <c r="Q50" s="578"/>
    </row>
    <row r="51" spans="2:17" ht="14.5">
      <c r="B51" s="571" t="s">
        <v>440</v>
      </c>
      <c r="C51" s="572" t="s">
        <v>441</v>
      </c>
      <c r="D51" s="572"/>
      <c r="E51" s="572"/>
      <c r="F51" s="572"/>
      <c r="G51" s="572"/>
      <c r="H51" s="573" t="s">
        <v>442</v>
      </c>
      <c r="I51" s="573"/>
      <c r="J51" s="573"/>
      <c r="K51" s="573"/>
      <c r="L51" s="594"/>
      <c r="M51" s="594"/>
      <c r="N51" s="594"/>
      <c r="P51" s="308" t="s">
        <v>441</v>
      </c>
      <c r="Q51" s="309">
        <v>79200.000000000015</v>
      </c>
    </row>
    <row r="52" spans="2:17" ht="14">
      <c r="B52" s="571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L52" s="595"/>
      <c r="M52" s="595"/>
      <c r="N52" s="595"/>
      <c r="P52" s="308" t="s">
        <v>442</v>
      </c>
      <c r="Q52" s="309">
        <v>157500</v>
      </c>
    </row>
    <row r="53" spans="2:17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L53" s="596"/>
      <c r="M53" s="596"/>
      <c r="N53" s="596"/>
      <c r="P53" s="317" t="s">
        <v>14</v>
      </c>
      <c r="Q53" s="318">
        <f>SUM(Q51:Q52)</f>
        <v>236700</v>
      </c>
    </row>
    <row r="54" spans="2:17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L54" s="596"/>
      <c r="M54" s="596"/>
      <c r="N54" s="596"/>
      <c r="P54" s="317" t="s">
        <v>452</v>
      </c>
      <c r="Q54" s="318">
        <f>Q53-(G58+K58)</f>
        <v>236700</v>
      </c>
    </row>
    <row r="55" spans="2:17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  <c r="L55" s="596"/>
      <c r="M55" s="596"/>
      <c r="N55" s="596"/>
    </row>
    <row r="56" spans="2:17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L56" s="596"/>
      <c r="M56" s="596"/>
      <c r="N56" s="596"/>
      <c r="P56" s="326" t="s">
        <v>462</v>
      </c>
      <c r="Q56" s="327">
        <f>Q54+Q38</f>
        <v>474300</v>
      </c>
    </row>
    <row r="57" spans="2:17" ht="14">
      <c r="G57" s="319">
        <f>SUM(G53:G56)</f>
        <v>0</v>
      </c>
      <c r="H57" s="320"/>
      <c r="I57" s="320"/>
      <c r="J57" s="320"/>
      <c r="K57" s="321">
        <f>SUM(K53:K56)</f>
        <v>0</v>
      </c>
      <c r="L57" s="597"/>
      <c r="M57" s="597"/>
      <c r="N57" s="597"/>
    </row>
    <row r="59" spans="2:17" ht="14">
      <c r="B59" s="310" t="s">
        <v>455</v>
      </c>
      <c r="C59" s="310" t="s">
        <v>445</v>
      </c>
      <c r="D59" s="310" t="s">
        <v>456</v>
      </c>
    </row>
    <row r="60" spans="2:17" ht="14">
      <c r="B60" s="322" t="s">
        <v>457</v>
      </c>
      <c r="C60" s="323">
        <v>0</v>
      </c>
      <c r="D60" s="313">
        <f>C60/5</f>
        <v>0</v>
      </c>
    </row>
    <row r="61" spans="2:17" ht="14">
      <c r="B61" s="322" t="s">
        <v>458</v>
      </c>
      <c r="C61" s="323">
        <v>0</v>
      </c>
      <c r="D61" s="313">
        <f>C61/5</f>
        <v>0</v>
      </c>
    </row>
    <row r="62" spans="2:17" ht="14">
      <c r="B62" s="322" t="s">
        <v>459</v>
      </c>
      <c r="C62" s="323">
        <v>0</v>
      </c>
      <c r="D62" s="313">
        <f>C62/5</f>
        <v>0</v>
      </c>
    </row>
    <row r="63" spans="2:17" ht="14">
      <c r="B63" s="322" t="s">
        <v>460</v>
      </c>
      <c r="C63" s="323">
        <v>0</v>
      </c>
      <c r="D63" s="313">
        <f>C63/5</f>
        <v>0</v>
      </c>
    </row>
    <row r="64" spans="2:17" ht="14">
      <c r="B64" s="324" t="s">
        <v>461</v>
      </c>
      <c r="C64" s="325">
        <v>0</v>
      </c>
      <c r="D64" s="325">
        <f>SUM(D60:D63)</f>
        <v>0</v>
      </c>
    </row>
    <row r="69" spans="2:6" ht="18">
      <c r="B69" s="570" t="s">
        <v>464</v>
      </c>
      <c r="C69" s="570"/>
      <c r="D69" s="570"/>
      <c r="E69" s="570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0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0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0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0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0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0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0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4" ht="18">
      <c r="B81" s="570" t="s">
        <v>474</v>
      </c>
      <c r="C81" s="570"/>
      <c r="D81" s="570"/>
      <c r="E81" s="570"/>
      <c r="F81" s="328"/>
    </row>
    <row r="82" spans="2:14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4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4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4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4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4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4" ht="14.5">
      <c r="B88" s="328"/>
      <c r="C88" s="328"/>
      <c r="D88" s="328"/>
      <c r="E88" s="328"/>
      <c r="F88" s="328"/>
    </row>
    <row r="89" spans="2:14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4" ht="14.5">
      <c r="B91" s="574" t="s">
        <v>481</v>
      </c>
      <c r="C91" s="575"/>
      <c r="D91" s="575"/>
      <c r="E91" s="575"/>
      <c r="F91" s="575"/>
      <c r="G91" s="575"/>
      <c r="H91" s="575"/>
      <c r="I91" s="575"/>
      <c r="J91" s="575"/>
      <c r="K91" s="575"/>
      <c r="L91" s="498"/>
      <c r="M91" s="498"/>
      <c r="N91" s="498"/>
    </row>
    <row r="92" spans="2:14" ht="14.5">
      <c r="B92" s="571" t="s">
        <v>440</v>
      </c>
      <c r="C92" s="572" t="s">
        <v>441</v>
      </c>
      <c r="D92" s="572"/>
      <c r="E92" s="572"/>
      <c r="F92" s="572"/>
      <c r="G92" s="572"/>
      <c r="H92" s="573" t="s">
        <v>442</v>
      </c>
      <c r="I92" s="573"/>
      <c r="J92" s="573"/>
      <c r="K92" s="573"/>
      <c r="L92" s="594"/>
      <c r="M92" s="594"/>
      <c r="N92" s="594"/>
    </row>
    <row r="93" spans="2:14" ht="14">
      <c r="B93" s="571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  <c r="L93" s="595"/>
      <c r="M93" s="595"/>
      <c r="N93" s="595"/>
    </row>
    <row r="94" spans="2:14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  <c r="L94" s="596"/>
      <c r="M94" s="596"/>
      <c r="N94" s="596"/>
    </row>
    <row r="95" spans="2:14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  <c r="L95" s="596"/>
      <c r="M95" s="596"/>
      <c r="N95" s="596"/>
    </row>
    <row r="96" spans="2:14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  <c r="L96" s="596"/>
      <c r="M96" s="596"/>
      <c r="N96" s="596"/>
    </row>
    <row r="97" spans="2:14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  <c r="L97" s="596"/>
      <c r="M97" s="596"/>
      <c r="N97" s="596"/>
    </row>
    <row r="98" spans="2:14" ht="14">
      <c r="G98" s="319">
        <f>SUM(G94:G97)</f>
        <v>0</v>
      </c>
      <c r="H98" s="320"/>
      <c r="I98" s="320"/>
      <c r="J98" s="320"/>
      <c r="K98" s="321">
        <f>SUM(K94:K97)</f>
        <v>0</v>
      </c>
      <c r="L98" s="597"/>
      <c r="M98" s="597"/>
      <c r="N98" s="597"/>
    </row>
    <row r="99" spans="2:14" ht="14">
      <c r="G99" s="336">
        <f>G98*25</f>
        <v>0</v>
      </c>
      <c r="K99" s="336">
        <f>K98*25</f>
        <v>0</v>
      </c>
      <c r="L99" s="599"/>
      <c r="M99" s="599"/>
      <c r="N99" s="599"/>
    </row>
    <row r="100" spans="2:14" ht="14">
      <c r="B100" s="310" t="s">
        <v>455</v>
      </c>
      <c r="C100" s="310" t="s">
        <v>445</v>
      </c>
      <c r="D100" s="310" t="s">
        <v>456</v>
      </c>
    </row>
    <row r="101" spans="2:14" ht="14">
      <c r="B101" s="322" t="s">
        <v>457</v>
      </c>
      <c r="C101" s="323">
        <v>0</v>
      </c>
      <c r="D101" s="313">
        <f>C101/5</f>
        <v>0</v>
      </c>
    </row>
    <row r="102" spans="2:14" ht="14">
      <c r="B102" s="322"/>
      <c r="C102" s="323">
        <v>0</v>
      </c>
      <c r="D102" s="313">
        <f>C102/5</f>
        <v>0</v>
      </c>
    </row>
    <row r="103" spans="2:14" ht="14">
      <c r="B103" s="322" t="s">
        <v>459</v>
      </c>
      <c r="C103" s="323">
        <v>0</v>
      </c>
      <c r="D103" s="313">
        <f>C103/5</f>
        <v>0</v>
      </c>
    </row>
    <row r="104" spans="2:14" ht="14">
      <c r="B104" s="322" t="s">
        <v>460</v>
      </c>
      <c r="C104" s="323">
        <v>0</v>
      </c>
      <c r="D104" s="313">
        <f>C104/5</f>
        <v>0</v>
      </c>
    </row>
    <row r="105" spans="2:14" ht="14">
      <c r="B105" s="324" t="s">
        <v>461</v>
      </c>
      <c r="C105" s="325">
        <v>0</v>
      </c>
      <c r="D105" s="325">
        <f>SUM(D101:D104)</f>
        <v>0</v>
      </c>
    </row>
    <row r="107" spans="2:14" ht="14.5">
      <c r="B107" s="576" t="s">
        <v>482</v>
      </c>
      <c r="C107" s="577"/>
      <c r="D107" s="577"/>
      <c r="E107" s="577"/>
      <c r="F107" s="577"/>
      <c r="G107" s="577"/>
      <c r="H107" s="577"/>
      <c r="I107" s="577"/>
      <c r="J107" s="577"/>
      <c r="K107" s="577"/>
      <c r="L107" s="598"/>
      <c r="M107" s="598"/>
      <c r="N107" s="598"/>
    </row>
    <row r="108" spans="2:14" ht="14.5">
      <c r="B108" s="571" t="s">
        <v>440</v>
      </c>
      <c r="C108" s="572" t="s">
        <v>441</v>
      </c>
      <c r="D108" s="572"/>
      <c r="E108" s="572"/>
      <c r="F108" s="572"/>
      <c r="G108" s="572"/>
      <c r="H108" s="573" t="s">
        <v>442</v>
      </c>
      <c r="I108" s="573"/>
      <c r="J108" s="573"/>
      <c r="K108" s="573"/>
      <c r="L108" s="594"/>
      <c r="M108" s="594"/>
      <c r="N108" s="594"/>
    </row>
    <row r="109" spans="2:14" ht="14">
      <c r="B109" s="571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  <c r="L109" s="595"/>
      <c r="M109" s="595"/>
      <c r="N109" s="595"/>
    </row>
    <row r="110" spans="2:14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  <c r="L110" s="596"/>
      <c r="M110" s="596"/>
      <c r="N110" s="596"/>
    </row>
    <row r="111" spans="2:14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  <c r="L111" s="596"/>
      <c r="M111" s="596"/>
      <c r="N111" s="596"/>
    </row>
    <row r="112" spans="2:14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  <c r="L112" s="596"/>
      <c r="M112" s="596"/>
      <c r="N112" s="596"/>
    </row>
    <row r="113" spans="2:14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  <c r="L113" s="596"/>
      <c r="M113" s="596"/>
      <c r="N113" s="596"/>
    </row>
    <row r="114" spans="2:14" ht="14">
      <c r="G114" s="319">
        <f>SUM(G110:G113)</f>
        <v>0</v>
      </c>
      <c r="H114" s="320"/>
      <c r="I114" s="320"/>
      <c r="J114" s="320"/>
      <c r="K114" s="321">
        <f>SUM(K110:K113)</f>
        <v>0</v>
      </c>
      <c r="L114" s="597"/>
      <c r="M114" s="597"/>
      <c r="N114" s="597"/>
    </row>
    <row r="115" spans="2:14" ht="14">
      <c r="G115" s="336">
        <f>G114*25</f>
        <v>0</v>
      </c>
      <c r="K115" s="336">
        <f>K114*25</f>
        <v>0</v>
      </c>
      <c r="L115" s="599"/>
      <c r="M115" s="599"/>
      <c r="N115" s="599"/>
    </row>
    <row r="116" spans="2:14" ht="14">
      <c r="B116" s="310" t="s">
        <v>455</v>
      </c>
      <c r="C116" s="310" t="s">
        <v>445</v>
      </c>
      <c r="D116" s="310" t="s">
        <v>456</v>
      </c>
    </row>
    <row r="117" spans="2:14" ht="14">
      <c r="B117" s="322" t="s">
        <v>457</v>
      </c>
      <c r="C117" s="323">
        <v>0</v>
      </c>
      <c r="D117" s="313">
        <f>C117/5</f>
        <v>0</v>
      </c>
    </row>
    <row r="118" spans="2:14" ht="14">
      <c r="B118" s="322" t="s">
        <v>458</v>
      </c>
      <c r="C118" s="323">
        <v>0</v>
      </c>
      <c r="D118" s="313">
        <f>C118/5</f>
        <v>0</v>
      </c>
    </row>
    <row r="119" spans="2:14" ht="14">
      <c r="B119" s="322" t="s">
        <v>459</v>
      </c>
      <c r="C119" s="323">
        <v>0</v>
      </c>
      <c r="D119" s="313">
        <f>C119/5</f>
        <v>0</v>
      </c>
    </row>
    <row r="120" spans="2:14" ht="14">
      <c r="B120" s="322" t="s">
        <v>460</v>
      </c>
      <c r="C120" s="323">
        <v>0</v>
      </c>
      <c r="D120" s="313">
        <f>C120/5</f>
        <v>0</v>
      </c>
    </row>
    <row r="121" spans="2:14" ht="14">
      <c r="B121" s="324" t="s">
        <v>461</v>
      </c>
      <c r="C121" s="325">
        <v>0</v>
      </c>
      <c r="D121" s="325">
        <f>SUM(D117:D120)</f>
        <v>0</v>
      </c>
    </row>
    <row r="123" spans="2:14" ht="14.5">
      <c r="B123" s="574" t="s">
        <v>483</v>
      </c>
      <c r="C123" s="575"/>
      <c r="D123" s="575"/>
      <c r="E123" s="575"/>
      <c r="F123" s="575"/>
      <c r="G123" s="575"/>
      <c r="H123" s="575"/>
      <c r="I123" s="575"/>
      <c r="J123" s="575"/>
      <c r="K123" s="575"/>
      <c r="L123" s="498"/>
      <c r="M123" s="498"/>
      <c r="N123" s="498"/>
    </row>
    <row r="124" spans="2:14" ht="14.5">
      <c r="B124" s="571" t="s">
        <v>440</v>
      </c>
      <c r="C124" s="572" t="s">
        <v>441</v>
      </c>
      <c r="D124" s="572"/>
      <c r="E124" s="572"/>
      <c r="F124" s="572"/>
      <c r="G124" s="572"/>
      <c r="H124" s="573" t="s">
        <v>442</v>
      </c>
      <c r="I124" s="573"/>
      <c r="J124" s="573"/>
      <c r="K124" s="573"/>
      <c r="L124" s="594"/>
      <c r="M124" s="594"/>
      <c r="N124" s="594"/>
    </row>
    <row r="125" spans="2:14" ht="14">
      <c r="B125" s="571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  <c r="L125" s="595"/>
      <c r="M125" s="595"/>
      <c r="N125" s="595"/>
    </row>
    <row r="126" spans="2:14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  <c r="L126" s="596"/>
      <c r="M126" s="596"/>
      <c r="N126" s="596"/>
    </row>
    <row r="127" spans="2:14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  <c r="L127" s="596"/>
      <c r="M127" s="596"/>
      <c r="N127" s="596"/>
    </row>
    <row r="128" spans="2:14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  <c r="L128" s="596"/>
      <c r="M128" s="596"/>
      <c r="N128" s="596"/>
    </row>
    <row r="129" spans="2:14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  <c r="L129" s="596"/>
      <c r="M129" s="596"/>
      <c r="N129" s="596"/>
    </row>
    <row r="130" spans="2:14" ht="14">
      <c r="G130" s="319">
        <f>SUM(G126:G129)</f>
        <v>0</v>
      </c>
      <c r="H130" s="320"/>
      <c r="I130" s="320"/>
      <c r="J130" s="320"/>
      <c r="K130" s="321">
        <f>SUM(K126:K129)</f>
        <v>0</v>
      </c>
      <c r="L130" s="597"/>
      <c r="M130" s="597"/>
      <c r="N130" s="597"/>
    </row>
    <row r="131" spans="2:14" ht="14">
      <c r="G131" s="336">
        <f>G130*25</f>
        <v>0</v>
      </c>
      <c r="K131" s="336">
        <f>K130*25</f>
        <v>0</v>
      </c>
      <c r="L131" s="599"/>
      <c r="M131" s="599"/>
      <c r="N131" s="599"/>
    </row>
    <row r="132" spans="2:14" ht="14">
      <c r="B132" s="310" t="s">
        <v>455</v>
      </c>
      <c r="C132" s="310" t="s">
        <v>445</v>
      </c>
      <c r="D132" s="310" t="s">
        <v>456</v>
      </c>
    </row>
    <row r="133" spans="2:14" ht="14">
      <c r="B133" s="322" t="s">
        <v>457</v>
      </c>
      <c r="C133" s="323">
        <v>0</v>
      </c>
      <c r="D133" s="313">
        <f>C133/5</f>
        <v>0</v>
      </c>
    </row>
    <row r="134" spans="2:14" ht="14">
      <c r="B134" s="322" t="s">
        <v>458</v>
      </c>
      <c r="C134" s="323">
        <v>0</v>
      </c>
      <c r="D134" s="313">
        <f>C134/5</f>
        <v>0</v>
      </c>
    </row>
    <row r="135" spans="2:14" ht="14">
      <c r="B135" s="322" t="s">
        <v>459</v>
      </c>
      <c r="C135" s="323">
        <v>0</v>
      </c>
      <c r="D135" s="313">
        <f>C135/5</f>
        <v>0</v>
      </c>
    </row>
    <row r="136" spans="2:14" ht="14">
      <c r="B136" s="322" t="s">
        <v>460</v>
      </c>
      <c r="C136" s="323">
        <v>0</v>
      </c>
      <c r="D136" s="313">
        <f>C136/5</f>
        <v>0</v>
      </c>
    </row>
    <row r="137" spans="2:14" ht="14">
      <c r="B137" s="324" t="s">
        <v>461</v>
      </c>
      <c r="C137" s="325">
        <v>0</v>
      </c>
      <c r="D137" s="325">
        <f>SUM(D133:D136)</f>
        <v>0</v>
      </c>
    </row>
    <row r="139" spans="2:14" ht="14.5">
      <c r="B139" s="576" t="s">
        <v>484</v>
      </c>
      <c r="C139" s="577"/>
      <c r="D139" s="577"/>
      <c r="E139" s="577"/>
      <c r="F139" s="577"/>
      <c r="G139" s="577"/>
      <c r="H139" s="577"/>
      <c r="I139" s="577"/>
      <c r="J139" s="577"/>
      <c r="K139" s="577"/>
      <c r="L139" s="598"/>
      <c r="M139" s="598"/>
      <c r="N139" s="598"/>
    </row>
    <row r="140" spans="2:14" ht="14.5">
      <c r="B140" s="571" t="s">
        <v>440</v>
      </c>
      <c r="C140" s="572" t="s">
        <v>441</v>
      </c>
      <c r="D140" s="572"/>
      <c r="E140" s="572"/>
      <c r="F140" s="572"/>
      <c r="G140" s="572"/>
      <c r="H140" s="573" t="s">
        <v>442</v>
      </c>
      <c r="I140" s="573"/>
      <c r="J140" s="573"/>
      <c r="K140" s="573"/>
      <c r="L140" s="594"/>
      <c r="M140" s="594"/>
      <c r="N140" s="594"/>
    </row>
    <row r="141" spans="2:14" ht="14">
      <c r="B141" s="571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  <c r="L141" s="595"/>
      <c r="M141" s="595"/>
      <c r="N141" s="595"/>
    </row>
    <row r="142" spans="2:14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  <c r="L142" s="596"/>
      <c r="M142" s="596"/>
      <c r="N142" s="596"/>
    </row>
    <row r="143" spans="2:14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  <c r="L143" s="596"/>
      <c r="M143" s="596"/>
      <c r="N143" s="596"/>
    </row>
    <row r="144" spans="2:14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  <c r="L144" s="596"/>
      <c r="M144" s="596"/>
      <c r="N144" s="596"/>
    </row>
    <row r="145" spans="2:14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  <c r="L145" s="596"/>
      <c r="M145" s="596"/>
      <c r="N145" s="596"/>
    </row>
    <row r="146" spans="2:14" ht="14">
      <c r="G146" s="319">
        <f>SUM(G142:G145)</f>
        <v>0</v>
      </c>
      <c r="H146" s="320"/>
      <c r="I146" s="320"/>
      <c r="J146" s="320"/>
      <c r="K146" s="321">
        <f>SUM(K142:K145)</f>
        <v>0</v>
      </c>
      <c r="L146" s="597"/>
      <c r="M146" s="597"/>
      <c r="N146" s="597"/>
    </row>
    <row r="147" spans="2:14" ht="14">
      <c r="G147" s="336">
        <f>G146*25</f>
        <v>0</v>
      </c>
      <c r="K147" s="336">
        <f>K146*25</f>
        <v>0</v>
      </c>
      <c r="L147" s="599"/>
      <c r="M147" s="599"/>
      <c r="N147" s="599"/>
    </row>
    <row r="148" spans="2:14" ht="14">
      <c r="B148" s="310" t="s">
        <v>455</v>
      </c>
      <c r="C148" s="310" t="s">
        <v>445</v>
      </c>
      <c r="D148" s="310" t="s">
        <v>456</v>
      </c>
    </row>
    <row r="149" spans="2:14" ht="14">
      <c r="B149" s="322" t="s">
        <v>457</v>
      </c>
      <c r="C149" s="323">
        <v>0</v>
      </c>
      <c r="D149" s="313">
        <f>C149/5</f>
        <v>0</v>
      </c>
    </row>
    <row r="150" spans="2:14" ht="14">
      <c r="B150" s="322" t="s">
        <v>458</v>
      </c>
      <c r="C150" s="323">
        <v>0</v>
      </c>
      <c r="D150" s="313">
        <f>C150/5</f>
        <v>0</v>
      </c>
    </row>
    <row r="151" spans="2:14" ht="14">
      <c r="B151" s="322" t="s">
        <v>459</v>
      </c>
      <c r="C151" s="323">
        <v>0</v>
      </c>
      <c r="D151" s="313">
        <f>C151/5</f>
        <v>0</v>
      </c>
    </row>
    <row r="152" spans="2:14" ht="14">
      <c r="B152" s="322" t="s">
        <v>460</v>
      </c>
      <c r="C152" s="323">
        <v>0</v>
      </c>
      <c r="D152" s="313">
        <f>C152/5</f>
        <v>0</v>
      </c>
    </row>
    <row r="153" spans="2:14" ht="14">
      <c r="B153" s="324" t="s">
        <v>461</v>
      </c>
      <c r="C153" s="325">
        <v>0</v>
      </c>
      <c r="D153" s="325">
        <f>SUM(D149:D152)</f>
        <v>0</v>
      </c>
    </row>
    <row r="158" spans="2:14" ht="18">
      <c r="B158" s="570" t="s">
        <v>464</v>
      </c>
      <c r="C158" s="570"/>
      <c r="D158" s="570"/>
      <c r="E158" s="570"/>
      <c r="F158" s="328"/>
    </row>
    <row r="159" spans="2:14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4" ht="14.5">
      <c r="B160" s="330" t="s">
        <v>467</v>
      </c>
      <c r="C160" s="331">
        <v>0</v>
      </c>
      <c r="D160" s="332">
        <v>0</v>
      </c>
      <c r="E160" s="332">
        <f t="shared" ref="E160:E166" si="1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1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1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1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1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1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1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70" t="s">
        <v>474</v>
      </c>
      <c r="C170" s="570"/>
      <c r="D170" s="570"/>
      <c r="E170" s="570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35:B36"/>
    <mergeCell ref="C35:G35"/>
    <mergeCell ref="H35:O35"/>
    <mergeCell ref="B2:K2"/>
    <mergeCell ref="P2:Q2"/>
    <mergeCell ref="B3:B4"/>
    <mergeCell ref="C3:G3"/>
    <mergeCell ref="H3:K3"/>
    <mergeCell ref="B18:K18"/>
    <mergeCell ref="P18:Q18"/>
    <mergeCell ref="B19:B20"/>
    <mergeCell ref="C19:G19"/>
    <mergeCell ref="H19:K19"/>
    <mergeCell ref="B34:O34"/>
    <mergeCell ref="P34:Q34"/>
    <mergeCell ref="B107:K107"/>
    <mergeCell ref="B50:K50"/>
    <mergeCell ref="P50:Q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639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29" t="s">
        <v>509</v>
      </c>
      <c r="M16" s="429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0" t="s">
        <v>640</v>
      </c>
    </row>
    <row r="25" spans="12:13" ht="15" customHeight="1">
      <c r="L25" s="450" t="s">
        <v>641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66" t="s">
        <v>355</v>
      </c>
      <c r="B1" s="566"/>
      <c r="C1" s="566"/>
      <c r="D1" s="566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69" t="s">
        <v>217</v>
      </c>
      <c r="B3" s="569"/>
      <c r="C3" s="569"/>
      <c r="D3" s="569"/>
      <c r="E3" s="569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2"/>
      <c r="B6" s="407" t="s">
        <v>375</v>
      </c>
      <c r="C6" s="423">
        <v>0</v>
      </c>
      <c r="D6" s="422">
        <v>0</v>
      </c>
      <c r="E6" s="409">
        <f t="shared" ref="E6:E13" si="0">+D6*C6</f>
        <v>0</v>
      </c>
      <c r="F6" s="401">
        <f t="shared" ref="F6:F22" si="1">IF(B6="si",D6*$F$4,0)</f>
        <v>0</v>
      </c>
      <c r="G6" s="411">
        <f t="shared" ref="G6:G13" si="2">(D6+F6)*$G$4</f>
        <v>0</v>
      </c>
      <c r="H6" s="411">
        <f t="shared" ref="H6:H13" si="3">(D6+F6+G6)*$H$4</f>
        <v>0</v>
      </c>
      <c r="I6" s="401">
        <f t="shared" ref="I6:I22" si="4">IF(B6="si",(D6+F6+G6+H6)*$I$4,0)</f>
        <v>0</v>
      </c>
      <c r="J6" s="411">
        <f t="shared" ref="J6:J13" si="5">D6+F6+G6+H6+I6</f>
        <v>0</v>
      </c>
      <c r="K6" s="401">
        <f t="shared" ref="K6:K22" si="6">J6*$K$4</f>
        <v>0</v>
      </c>
      <c r="L6" s="403">
        <f t="shared" ref="L6:L22" si="7">(J6+K6)*C6</f>
        <v>0</v>
      </c>
      <c r="M6" s="411">
        <f>(J6+K6)*$M$4/(1-$M$4)</f>
        <v>0</v>
      </c>
      <c r="N6" s="411">
        <f>M6+J6+K6</f>
        <v>0</v>
      </c>
      <c r="O6" s="411">
        <f t="shared" ref="O6:O13" si="8">N6*C6</f>
        <v>0</v>
      </c>
    </row>
    <row r="7" spans="1:15">
      <c r="A7" s="412"/>
      <c r="B7" s="407" t="s">
        <v>375</v>
      </c>
      <c r="C7" s="423">
        <v>0</v>
      </c>
      <c r="D7" s="422">
        <v>0</v>
      </c>
      <c r="E7" s="409">
        <f t="shared" si="0"/>
        <v>0</v>
      </c>
      <c r="F7" s="401">
        <f t="shared" si="1"/>
        <v>0</v>
      </c>
      <c r="G7" s="411">
        <f t="shared" si="2"/>
        <v>0</v>
      </c>
      <c r="H7" s="411">
        <f t="shared" si="3"/>
        <v>0</v>
      </c>
      <c r="I7" s="401">
        <f t="shared" si="4"/>
        <v>0</v>
      </c>
      <c r="J7" s="411">
        <f t="shared" si="5"/>
        <v>0</v>
      </c>
      <c r="K7" s="401">
        <f t="shared" si="6"/>
        <v>0</v>
      </c>
      <c r="L7" s="403">
        <f t="shared" si="7"/>
        <v>0</v>
      </c>
      <c r="M7" s="411">
        <f t="shared" ref="M7:M22" si="9">(J7+K7)*$M$4/(1-$M$4)</f>
        <v>0</v>
      </c>
      <c r="N7" s="411">
        <f t="shared" ref="N7:N22" si="10">M7+J7+K7</f>
        <v>0</v>
      </c>
      <c r="O7" s="411">
        <f t="shared" si="8"/>
        <v>0</v>
      </c>
    </row>
    <row r="8" spans="1:15">
      <c r="A8" s="412"/>
      <c r="B8" s="407" t="s">
        <v>375</v>
      </c>
      <c r="C8" s="423">
        <v>0</v>
      </c>
      <c r="D8" s="422">
        <v>0</v>
      </c>
      <c r="E8" s="409">
        <f t="shared" si="0"/>
        <v>0</v>
      </c>
      <c r="F8" s="401">
        <f t="shared" si="1"/>
        <v>0</v>
      </c>
      <c r="G8" s="411">
        <f t="shared" si="2"/>
        <v>0</v>
      </c>
      <c r="H8" s="411">
        <f t="shared" si="3"/>
        <v>0</v>
      </c>
      <c r="I8" s="401">
        <f t="shared" si="4"/>
        <v>0</v>
      </c>
      <c r="J8" s="411">
        <f t="shared" si="5"/>
        <v>0</v>
      </c>
      <c r="K8" s="401">
        <f t="shared" si="6"/>
        <v>0</v>
      </c>
      <c r="L8" s="403">
        <f t="shared" si="7"/>
        <v>0</v>
      </c>
      <c r="M8" s="411">
        <f t="shared" si="9"/>
        <v>0</v>
      </c>
      <c r="N8" s="411">
        <f t="shared" si="10"/>
        <v>0</v>
      </c>
      <c r="O8" s="411">
        <f t="shared" si="8"/>
        <v>0</v>
      </c>
    </row>
    <row r="9" spans="1:15">
      <c r="A9" s="412"/>
      <c r="B9" s="407" t="s">
        <v>375</v>
      </c>
      <c r="C9" s="423">
        <v>0</v>
      </c>
      <c r="D9" s="422">
        <v>0</v>
      </c>
      <c r="E9" s="409">
        <f t="shared" ref="E9:E11" si="11">+D9*C9</f>
        <v>0</v>
      </c>
      <c r="F9" s="401">
        <f t="shared" ref="F9:F11" si="12">IF(B9="si",D9*$F$4,0)</f>
        <v>0</v>
      </c>
      <c r="G9" s="411">
        <f t="shared" ref="G9:G11" si="13">(D9+F9)*$G$4</f>
        <v>0</v>
      </c>
      <c r="H9" s="411">
        <f t="shared" ref="H9:H11" si="14">(D9+F9+G9)*$H$4</f>
        <v>0</v>
      </c>
      <c r="I9" s="401">
        <f t="shared" ref="I9:I11" si="15">IF(B9="si",(D9+F9+G9+H9)*$I$4,0)</f>
        <v>0</v>
      </c>
      <c r="J9" s="411">
        <f t="shared" ref="J9:J11" si="16">D9+F9+G9+H9+I9</f>
        <v>0</v>
      </c>
      <c r="K9" s="401">
        <f t="shared" ref="K9:K11" si="17">J9*$K$4</f>
        <v>0</v>
      </c>
      <c r="L9" s="403">
        <f t="shared" si="7"/>
        <v>0</v>
      </c>
      <c r="M9" s="411">
        <f t="shared" si="9"/>
        <v>0</v>
      </c>
      <c r="N9" s="411">
        <f t="shared" si="10"/>
        <v>0</v>
      </c>
      <c r="O9" s="411">
        <f t="shared" ref="O9:O11" si="18">N9*C9</f>
        <v>0</v>
      </c>
    </row>
    <row r="10" spans="1:15">
      <c r="A10" s="412"/>
      <c r="B10" s="407" t="s">
        <v>375</v>
      </c>
      <c r="C10" s="423">
        <v>0</v>
      </c>
      <c r="D10" s="422">
        <v>0</v>
      </c>
      <c r="E10" s="409">
        <f t="shared" si="11"/>
        <v>0</v>
      </c>
      <c r="F10" s="401">
        <f t="shared" si="12"/>
        <v>0</v>
      </c>
      <c r="G10" s="411">
        <f t="shared" si="13"/>
        <v>0</v>
      </c>
      <c r="H10" s="411">
        <f t="shared" si="14"/>
        <v>0</v>
      </c>
      <c r="I10" s="401">
        <f t="shared" si="15"/>
        <v>0</v>
      </c>
      <c r="J10" s="411">
        <f t="shared" si="16"/>
        <v>0</v>
      </c>
      <c r="K10" s="401">
        <f t="shared" si="17"/>
        <v>0</v>
      </c>
      <c r="L10" s="403">
        <f t="shared" si="7"/>
        <v>0</v>
      </c>
      <c r="M10" s="411">
        <f t="shared" si="9"/>
        <v>0</v>
      </c>
      <c r="N10" s="411">
        <f t="shared" si="10"/>
        <v>0</v>
      </c>
      <c r="O10" s="411">
        <f t="shared" si="18"/>
        <v>0</v>
      </c>
    </row>
    <row r="11" spans="1:15">
      <c r="A11" s="412"/>
      <c r="B11" s="407" t="s">
        <v>375</v>
      </c>
      <c r="C11" s="423">
        <v>0</v>
      </c>
      <c r="D11" s="422">
        <v>0</v>
      </c>
      <c r="E11" s="409">
        <f t="shared" si="11"/>
        <v>0</v>
      </c>
      <c r="F11" s="401">
        <f t="shared" si="12"/>
        <v>0</v>
      </c>
      <c r="G11" s="411">
        <f t="shared" si="13"/>
        <v>0</v>
      </c>
      <c r="H11" s="411">
        <f t="shared" si="14"/>
        <v>0</v>
      </c>
      <c r="I11" s="401">
        <f t="shared" si="15"/>
        <v>0</v>
      </c>
      <c r="J11" s="411">
        <f t="shared" si="16"/>
        <v>0</v>
      </c>
      <c r="K11" s="401">
        <f t="shared" si="17"/>
        <v>0</v>
      </c>
      <c r="L11" s="403">
        <f t="shared" si="7"/>
        <v>0</v>
      </c>
      <c r="M11" s="411">
        <f t="shared" si="9"/>
        <v>0</v>
      </c>
      <c r="N11" s="411">
        <f t="shared" si="10"/>
        <v>0</v>
      </c>
      <c r="O11" s="411">
        <f t="shared" si="18"/>
        <v>0</v>
      </c>
    </row>
    <row r="12" spans="1:15">
      <c r="A12" s="412"/>
      <c r="B12" s="407" t="s">
        <v>375</v>
      </c>
      <c r="C12" s="423">
        <v>0</v>
      </c>
      <c r="D12" s="422">
        <v>0</v>
      </c>
      <c r="E12" s="409">
        <f t="shared" ref="E12" si="19">+D12*C12</f>
        <v>0</v>
      </c>
      <c r="F12" s="401">
        <f t="shared" ref="F12" si="20">IF(B12="si",D12*$F$4,0)</f>
        <v>0</v>
      </c>
      <c r="G12" s="411">
        <f t="shared" ref="G12" si="21">(D12+F12)*$G$4</f>
        <v>0</v>
      </c>
      <c r="H12" s="411">
        <f t="shared" ref="H12" si="22">(D12+F12+G12)*$H$4</f>
        <v>0</v>
      </c>
      <c r="I12" s="401">
        <f t="shared" ref="I12" si="23">IF(B12="si",(D12+F12+G12+H12)*$I$4,0)</f>
        <v>0</v>
      </c>
      <c r="J12" s="411">
        <f t="shared" ref="J12" si="24">D12+F12+G12+H12+I12</f>
        <v>0</v>
      </c>
      <c r="K12" s="401">
        <f t="shared" ref="K12" si="25">J12*$K$4</f>
        <v>0</v>
      </c>
      <c r="L12" s="403">
        <f t="shared" si="7"/>
        <v>0</v>
      </c>
      <c r="M12" s="411">
        <f t="shared" si="9"/>
        <v>0</v>
      </c>
      <c r="N12" s="411">
        <f t="shared" si="10"/>
        <v>0</v>
      </c>
      <c r="O12" s="411">
        <f t="shared" ref="O12" si="26">N12*C12</f>
        <v>0</v>
      </c>
    </row>
    <row r="13" spans="1:15">
      <c r="A13" s="412"/>
      <c r="B13" s="407" t="s">
        <v>375</v>
      </c>
      <c r="C13" s="423">
        <v>0</v>
      </c>
      <c r="D13" s="422">
        <v>0</v>
      </c>
      <c r="E13" s="409">
        <f t="shared" si="0"/>
        <v>0</v>
      </c>
      <c r="F13" s="401">
        <f t="shared" si="1"/>
        <v>0</v>
      </c>
      <c r="G13" s="411">
        <f t="shared" si="2"/>
        <v>0</v>
      </c>
      <c r="H13" s="411">
        <f t="shared" si="3"/>
        <v>0</v>
      </c>
      <c r="I13" s="401">
        <f t="shared" si="4"/>
        <v>0</v>
      </c>
      <c r="J13" s="411">
        <f t="shared" si="5"/>
        <v>0</v>
      </c>
      <c r="K13" s="401">
        <f t="shared" si="6"/>
        <v>0</v>
      </c>
      <c r="L13" s="403">
        <f t="shared" si="7"/>
        <v>0</v>
      </c>
      <c r="M13" s="411">
        <f t="shared" si="9"/>
        <v>0</v>
      </c>
      <c r="N13" s="411">
        <f t="shared" si="10"/>
        <v>0</v>
      </c>
      <c r="O13" s="411">
        <f t="shared" si="8"/>
        <v>0</v>
      </c>
    </row>
    <row r="14" spans="1:15">
      <c r="A14" s="210"/>
      <c r="B14" s="407" t="s">
        <v>375</v>
      </c>
      <c r="C14" s="423">
        <v>0</v>
      </c>
      <c r="D14" s="422">
        <v>0</v>
      </c>
      <c r="E14" s="409">
        <f t="shared" ref="E14" si="27">+D14*C14</f>
        <v>0</v>
      </c>
      <c r="F14" s="401">
        <f t="shared" ref="F14" si="28">IF(B14="si",D14*$F$4,0)</f>
        <v>0</v>
      </c>
      <c r="G14" s="411">
        <f t="shared" ref="G14" si="29">(D14+F14)*$G$4</f>
        <v>0</v>
      </c>
      <c r="H14" s="411">
        <f t="shared" ref="H14" si="30">(D14+F14+G14)*$H$4</f>
        <v>0</v>
      </c>
      <c r="I14" s="401">
        <f t="shared" ref="I14" si="31">IF(B14="si",(D14+F14+G14+H14)*$I$4,0)</f>
        <v>0</v>
      </c>
      <c r="J14" s="411">
        <f t="shared" ref="J14" si="32">D14+F14+G14+H14+I14</f>
        <v>0</v>
      </c>
      <c r="K14" s="401">
        <f t="shared" ref="K14" si="33">J14*$K$4</f>
        <v>0</v>
      </c>
      <c r="L14" s="403">
        <f t="shared" si="7"/>
        <v>0</v>
      </c>
      <c r="M14" s="411">
        <f t="shared" si="9"/>
        <v>0</v>
      </c>
      <c r="N14" s="411">
        <f t="shared" si="10"/>
        <v>0</v>
      </c>
      <c r="O14" s="411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7"/>
      <c r="B16" s="407" t="s">
        <v>375</v>
      </c>
      <c r="C16" s="423">
        <v>0</v>
      </c>
      <c r="D16" s="422">
        <v>0</v>
      </c>
      <c r="E16" s="402">
        <f>+C16*D16*(1-C25)</f>
        <v>0</v>
      </c>
      <c r="F16" s="401">
        <f t="shared" si="1"/>
        <v>0</v>
      </c>
      <c r="G16" s="401">
        <f t="shared" ref="G16:G20" si="35">(D16+F16)*$G$4</f>
        <v>0</v>
      </c>
      <c r="H16" s="401">
        <f t="shared" ref="H16:H20" si="36">(D16+F16+G16)*$H$4</f>
        <v>0</v>
      </c>
      <c r="I16" s="401">
        <f t="shared" si="4"/>
        <v>0</v>
      </c>
      <c r="J16" s="401">
        <f t="shared" ref="J16:J20" si="37">D16+F16+G16+H16+I16</f>
        <v>0</v>
      </c>
      <c r="K16" s="401">
        <f t="shared" si="6"/>
        <v>0</v>
      </c>
      <c r="L16" s="403">
        <f t="shared" si="7"/>
        <v>0</v>
      </c>
      <c r="M16" s="411">
        <f t="shared" si="9"/>
        <v>0</v>
      </c>
      <c r="N16" s="411">
        <f t="shared" si="10"/>
        <v>0</v>
      </c>
      <c r="O16" s="401">
        <f t="shared" ref="O16:O20" si="38">N16*C16</f>
        <v>0</v>
      </c>
    </row>
    <row r="17" spans="1:18">
      <c r="A17" s="413"/>
      <c r="B17" s="407" t="s">
        <v>375</v>
      </c>
      <c r="C17" s="423">
        <v>0</v>
      </c>
      <c r="D17" s="422">
        <v>0</v>
      </c>
      <c r="E17" s="402">
        <f>+C17*D17</f>
        <v>0</v>
      </c>
      <c r="F17" s="401">
        <f t="shared" si="1"/>
        <v>0</v>
      </c>
      <c r="G17" s="401">
        <f t="shared" si="35"/>
        <v>0</v>
      </c>
      <c r="H17" s="401">
        <f t="shared" si="36"/>
        <v>0</v>
      </c>
      <c r="I17" s="401">
        <f t="shared" si="4"/>
        <v>0</v>
      </c>
      <c r="J17" s="401">
        <f t="shared" si="37"/>
        <v>0</v>
      </c>
      <c r="K17" s="401">
        <f t="shared" si="6"/>
        <v>0</v>
      </c>
      <c r="L17" s="403">
        <f t="shared" si="7"/>
        <v>0</v>
      </c>
      <c r="M17" s="411">
        <f t="shared" si="9"/>
        <v>0</v>
      </c>
      <c r="N17" s="411">
        <f t="shared" si="10"/>
        <v>0</v>
      </c>
      <c r="O17" s="401">
        <f t="shared" si="38"/>
        <v>0</v>
      </c>
    </row>
    <row r="18" spans="1:18">
      <c r="A18" s="413"/>
      <c r="B18" s="407" t="s">
        <v>375</v>
      </c>
      <c r="C18" s="423">
        <v>0</v>
      </c>
      <c r="D18" s="422">
        <v>0</v>
      </c>
      <c r="E18" s="402">
        <f>+C18*D18</f>
        <v>0</v>
      </c>
      <c r="F18" s="401">
        <f t="shared" si="1"/>
        <v>0</v>
      </c>
      <c r="G18" s="401">
        <f t="shared" si="35"/>
        <v>0</v>
      </c>
      <c r="H18" s="401">
        <f t="shared" si="36"/>
        <v>0</v>
      </c>
      <c r="I18" s="401">
        <f t="shared" si="4"/>
        <v>0</v>
      </c>
      <c r="J18" s="401">
        <f t="shared" si="37"/>
        <v>0</v>
      </c>
      <c r="K18" s="401">
        <f t="shared" si="6"/>
        <v>0</v>
      </c>
      <c r="L18" s="403">
        <f t="shared" si="7"/>
        <v>0</v>
      </c>
      <c r="M18" s="411">
        <f t="shared" si="9"/>
        <v>0</v>
      </c>
      <c r="N18" s="411">
        <f t="shared" si="10"/>
        <v>0</v>
      </c>
      <c r="O18" s="401">
        <f t="shared" si="38"/>
        <v>0</v>
      </c>
    </row>
    <row r="19" spans="1:18">
      <c r="A19" s="414"/>
      <c r="B19" s="407" t="s">
        <v>375</v>
      </c>
      <c r="C19" s="423">
        <v>0</v>
      </c>
      <c r="D19" s="422">
        <v>0</v>
      </c>
      <c r="E19" s="402">
        <f>+C19*D19</f>
        <v>0</v>
      </c>
      <c r="F19" s="401">
        <f t="shared" si="1"/>
        <v>0</v>
      </c>
      <c r="G19" s="401">
        <f t="shared" si="35"/>
        <v>0</v>
      </c>
      <c r="H19" s="401">
        <f t="shared" si="36"/>
        <v>0</v>
      </c>
      <c r="I19" s="401">
        <f t="shared" si="4"/>
        <v>0</v>
      </c>
      <c r="J19" s="401">
        <f t="shared" si="37"/>
        <v>0</v>
      </c>
      <c r="K19" s="401">
        <f t="shared" si="6"/>
        <v>0</v>
      </c>
      <c r="L19" s="403">
        <f t="shared" si="7"/>
        <v>0</v>
      </c>
      <c r="M19" s="411">
        <f t="shared" si="9"/>
        <v>0</v>
      </c>
      <c r="N19" s="411">
        <f t="shared" si="10"/>
        <v>0</v>
      </c>
      <c r="O19" s="401">
        <f t="shared" si="38"/>
        <v>0</v>
      </c>
    </row>
    <row r="20" spans="1:18">
      <c r="A20" s="414"/>
      <c r="B20" s="407" t="s">
        <v>375</v>
      </c>
      <c r="C20" s="423">
        <v>0</v>
      </c>
      <c r="D20" s="422">
        <v>0</v>
      </c>
      <c r="E20" s="402">
        <f>+C20*D20</f>
        <v>0</v>
      </c>
      <c r="F20" s="401">
        <f t="shared" si="1"/>
        <v>0</v>
      </c>
      <c r="G20" s="401">
        <f t="shared" si="35"/>
        <v>0</v>
      </c>
      <c r="H20" s="401">
        <f t="shared" si="36"/>
        <v>0</v>
      </c>
      <c r="I20" s="401">
        <f t="shared" si="4"/>
        <v>0</v>
      </c>
      <c r="J20" s="401">
        <f t="shared" si="37"/>
        <v>0</v>
      </c>
      <c r="K20" s="401">
        <f t="shared" si="6"/>
        <v>0</v>
      </c>
      <c r="L20" s="403">
        <f t="shared" si="7"/>
        <v>0</v>
      </c>
      <c r="M20" s="411">
        <f t="shared" si="9"/>
        <v>0</v>
      </c>
      <c r="N20" s="411">
        <f t="shared" si="10"/>
        <v>0</v>
      </c>
      <c r="O20" s="401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4"/>
      <c r="B22" s="407" t="s">
        <v>375</v>
      </c>
      <c r="C22" s="423">
        <v>0</v>
      </c>
      <c r="D22" s="422">
        <v>0</v>
      </c>
      <c r="E22" s="402">
        <f>+C22*D22</f>
        <v>0</v>
      </c>
      <c r="F22" s="401">
        <f t="shared" si="1"/>
        <v>0</v>
      </c>
      <c r="G22" s="401">
        <f t="shared" ref="G22" si="39">(D22+F22)*$G$4</f>
        <v>0</v>
      </c>
      <c r="H22" s="401">
        <f t="shared" ref="H22" si="40">(D22+F22+G22)*$H$4</f>
        <v>0</v>
      </c>
      <c r="I22" s="401">
        <f t="shared" si="4"/>
        <v>0</v>
      </c>
      <c r="J22" s="401">
        <f t="shared" ref="J22" si="41">D22+F22+G22+H22+I22</f>
        <v>0</v>
      </c>
      <c r="K22" s="401">
        <f t="shared" si="6"/>
        <v>0</v>
      </c>
      <c r="L22" s="403">
        <f t="shared" si="7"/>
        <v>0</v>
      </c>
      <c r="M22" s="411">
        <f t="shared" si="9"/>
        <v>0</v>
      </c>
      <c r="N22" s="411">
        <f t="shared" si="10"/>
        <v>0</v>
      </c>
      <c r="O22" s="401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48" customWidth="1"/>
    <col min="4" max="4" width="44.6328125" style="448" customWidth="1"/>
  </cols>
  <sheetData>
    <row r="1" spans="1:4" ht="20">
      <c r="A1" s="442" t="s">
        <v>573</v>
      </c>
    </row>
    <row r="2" spans="1:4" ht="13">
      <c r="A2" s="443" t="s">
        <v>574</v>
      </c>
    </row>
    <row r="4" spans="1:4" ht="13">
      <c r="A4" s="444" t="s">
        <v>575</v>
      </c>
    </row>
    <row r="5" spans="1:4" ht="13">
      <c r="A5" t="s">
        <v>576</v>
      </c>
      <c r="B5" s="445"/>
      <c r="C5" s="449" t="s">
        <v>577</v>
      </c>
      <c r="D5" s="448" t="s">
        <v>578</v>
      </c>
    </row>
    <row r="6" spans="1:4" ht="13">
      <c r="A6" t="s">
        <v>485</v>
      </c>
      <c r="B6" s="445"/>
      <c r="C6" s="449"/>
    </row>
    <row r="7" spans="1:4" ht="13">
      <c r="A7" t="s">
        <v>579</v>
      </c>
      <c r="B7" s="445"/>
      <c r="C7" s="449"/>
    </row>
    <row r="8" spans="1:4" ht="13">
      <c r="A8" t="s">
        <v>580</v>
      </c>
      <c r="B8" s="445"/>
      <c r="C8" s="449" t="s">
        <v>581</v>
      </c>
    </row>
    <row r="9" spans="1:4" ht="13">
      <c r="A9" t="s">
        <v>582</v>
      </c>
      <c r="B9" s="445"/>
      <c r="C9" s="449"/>
      <c r="D9" s="448" t="s">
        <v>583</v>
      </c>
    </row>
    <row r="10" spans="1:4" ht="13">
      <c r="A10" t="s">
        <v>584</v>
      </c>
      <c r="B10" s="446">
        <f ca="1">TODAY()</f>
        <v>46322</v>
      </c>
      <c r="C10" s="449"/>
    </row>
    <row r="11" spans="1:4" ht="13">
      <c r="A11" t="s">
        <v>585</v>
      </c>
      <c r="B11" s="445"/>
      <c r="C11" s="449"/>
    </row>
    <row r="12" spans="1:4" ht="13">
      <c r="A12" t="s">
        <v>586</v>
      </c>
      <c r="B12" s="445"/>
      <c r="C12" s="449"/>
    </row>
    <row r="14" spans="1:4" ht="13">
      <c r="A14" s="444" t="s">
        <v>587</v>
      </c>
      <c r="D14" s="448" t="s">
        <v>588</v>
      </c>
    </row>
    <row r="15" spans="1:4" ht="13">
      <c r="A15" t="s">
        <v>589</v>
      </c>
      <c r="B15" s="445"/>
      <c r="C15" s="449" t="s">
        <v>590</v>
      </c>
      <c r="D15" s="448" t="s">
        <v>591</v>
      </c>
    </row>
    <row r="16" spans="1:4" ht="13">
      <c r="A16" t="s">
        <v>592</v>
      </c>
      <c r="B16" s="445"/>
      <c r="C16" s="449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48" t="s">
        <v>593</v>
      </c>
    </row>
    <row r="17" spans="1:4" ht="13">
      <c r="A17" t="s">
        <v>594</v>
      </c>
      <c r="B17" s="445"/>
      <c r="C17" s="449"/>
      <c r="D17" s="448" t="s">
        <v>595</v>
      </c>
    </row>
    <row r="19" spans="1:4" ht="13">
      <c r="A19" s="444" t="s">
        <v>596</v>
      </c>
      <c r="D19" s="448" t="s">
        <v>597</v>
      </c>
    </row>
    <row r="20" spans="1:4" ht="13">
      <c r="A20" t="s">
        <v>598</v>
      </c>
      <c r="B20" s="445"/>
      <c r="C20" s="449" t="s">
        <v>590</v>
      </c>
      <c r="D20" s="448" t="s">
        <v>599</v>
      </c>
    </row>
    <row r="21" spans="1:4" ht="13">
      <c r="A21" t="s">
        <v>600</v>
      </c>
      <c r="B21" s="445"/>
      <c r="C21" s="449"/>
    </row>
    <row r="22" spans="1:4" ht="13">
      <c r="A22" t="s">
        <v>601</v>
      </c>
      <c r="B22" s="445"/>
      <c r="C22" s="449"/>
    </row>
    <row r="23" spans="1:4" ht="13">
      <c r="A23" t="s">
        <v>602</v>
      </c>
      <c r="B23" s="445"/>
      <c r="C23" s="449"/>
      <c r="D23" s="448" t="s">
        <v>603</v>
      </c>
    </row>
    <row r="24" spans="1:4" ht="13">
      <c r="A24" t="s">
        <v>604</v>
      </c>
      <c r="B24" s="445"/>
      <c r="C24" s="449" t="s">
        <v>872</v>
      </c>
      <c r="D24" s="448" t="s">
        <v>605</v>
      </c>
    </row>
    <row r="26" spans="1:4" ht="13">
      <c r="A26" s="444" t="s">
        <v>606</v>
      </c>
      <c r="D26" s="448" t="s">
        <v>607</v>
      </c>
    </row>
    <row r="27" spans="1:4" ht="13">
      <c r="A27" t="s">
        <v>608</v>
      </c>
      <c r="B27" s="447">
        <f>Equipos!G4</f>
        <v>0.1</v>
      </c>
      <c r="C27" s="449"/>
    </row>
    <row r="28" spans="1:4" ht="13">
      <c r="A28" t="s">
        <v>609</v>
      </c>
      <c r="B28" s="447">
        <f>Equipos!H4</f>
        <v>0.03</v>
      </c>
      <c r="C28" s="449"/>
    </row>
    <row r="29" spans="1:4" ht="13">
      <c r="A29" t="s">
        <v>610</v>
      </c>
      <c r="B29" s="447">
        <f>Equipos!I4</f>
        <v>0</v>
      </c>
      <c r="C29" s="449"/>
      <c r="D29" s="448" t="s">
        <v>611</v>
      </c>
    </row>
    <row r="30" spans="1:4" ht="13">
      <c r="A30" t="s">
        <v>612</v>
      </c>
      <c r="B30" s="447">
        <f>Equipos!J4</f>
        <v>0.15</v>
      </c>
      <c r="C30" s="449"/>
    </row>
    <row r="31" spans="1:4" ht="13">
      <c r="A31" t="s">
        <v>613</v>
      </c>
      <c r="B31" s="447">
        <f>Equipos!L4</f>
        <v>0.03</v>
      </c>
      <c r="C31" s="449"/>
    </row>
    <row r="32" spans="1:4" ht="13">
      <c r="A32" t="s">
        <v>614</v>
      </c>
      <c r="B32" s="447">
        <f>Equipos!N4</f>
        <v>0.27400000000000002</v>
      </c>
      <c r="C32" s="449"/>
      <c r="D32" s="448" t="s">
        <v>615</v>
      </c>
    </row>
    <row r="33" spans="1:4" ht="13">
      <c r="A33" t="s">
        <v>616</v>
      </c>
      <c r="B33" s="447">
        <f>MATERIALES!M4</f>
        <v>0.3</v>
      </c>
      <c r="C33" s="449"/>
    </row>
    <row r="35" spans="1:4" ht="13">
      <c r="A35" s="444" t="s">
        <v>617</v>
      </c>
      <c r="D35" s="448" t="s">
        <v>618</v>
      </c>
    </row>
    <row r="36" spans="1:4" ht="13">
      <c r="A36" t="s">
        <v>619</v>
      </c>
      <c r="B36" s="445"/>
      <c r="C36" s="449" t="s">
        <v>620</v>
      </c>
    </row>
    <row r="37" spans="1:4" ht="13">
      <c r="A37" t="s">
        <v>621</v>
      </c>
      <c r="B37" s="445"/>
      <c r="C37" s="449"/>
      <c r="D37" s="448" t="s">
        <v>622</v>
      </c>
    </row>
    <row r="38" spans="1:4" ht="13">
      <c r="A38" t="s">
        <v>623</v>
      </c>
      <c r="B38" s="445"/>
      <c r="C38" s="449"/>
      <c r="D38" s="448" t="s">
        <v>624</v>
      </c>
    </row>
    <row r="39" spans="1:4" ht="13">
      <c r="A39" t="s">
        <v>625</v>
      </c>
      <c r="B39" s="445"/>
      <c r="C39" s="449"/>
      <c r="D39" s="448" t="s">
        <v>626</v>
      </c>
    </row>
    <row r="41" spans="1:4" ht="13">
      <c r="A41" s="444" t="s">
        <v>627</v>
      </c>
      <c r="D41" s="448" t="s">
        <v>628</v>
      </c>
    </row>
    <row r="42" spans="1:4" ht="13">
      <c r="A42" t="s">
        <v>629</v>
      </c>
      <c r="B42" s="445"/>
      <c r="C42" s="449" t="s">
        <v>590</v>
      </c>
      <c r="D42" s="448" t="s">
        <v>630</v>
      </c>
    </row>
    <row r="43" spans="1:4" ht="13">
      <c r="A43" t="s">
        <v>631</v>
      </c>
      <c r="B43" s="445"/>
      <c r="C43" s="449"/>
      <c r="D43" s="448" t="s">
        <v>632</v>
      </c>
    </row>
    <row r="44" spans="1:4" ht="13">
      <c r="A44" t="s">
        <v>633</v>
      </c>
      <c r="B44" s="445"/>
      <c r="C44" s="449"/>
      <c r="D44" s="448" t="s">
        <v>632</v>
      </c>
    </row>
    <row r="46" spans="1:4" ht="13">
      <c r="A46" s="444" t="s">
        <v>634</v>
      </c>
      <c r="D46" s="448" t="s">
        <v>635</v>
      </c>
    </row>
    <row r="47" spans="1:4" ht="13">
      <c r="A47" t="s">
        <v>636</v>
      </c>
      <c r="B47" s="445"/>
      <c r="C47" s="449"/>
      <c r="D47" s="448" t="s">
        <v>637</v>
      </c>
    </row>
    <row r="48" spans="1:4" ht="13">
      <c r="A48" t="s">
        <v>638</v>
      </c>
      <c r="B48" s="445"/>
      <c r="C48" s="44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B066-4E25-49C3-B2B3-C354C4E1C86E}">
  <sheetPr>
    <tabColor rgb="FF2F5496"/>
  </sheetPr>
  <dimension ref="B1:F18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1" customWidth="1"/>
    <col min="2" max="2" width="21.6328125" style="451" customWidth="1"/>
    <col min="3" max="3" width="40.6328125" style="451" customWidth="1"/>
    <col min="4" max="4" width="44.6328125" style="451" customWidth="1"/>
    <col min="5" max="5" width="42.6328125" style="451" customWidth="1"/>
    <col min="6" max="6" width="46.6328125" style="451" customWidth="1"/>
    <col min="7" max="16384" width="8.7265625" style="451"/>
  </cols>
  <sheetData>
    <row r="1" spans="2:6" ht="32" customHeight="1">
      <c r="B1" s="452" t="s">
        <v>654</v>
      </c>
    </row>
    <row r="2" spans="2:6" ht="16" customHeight="1">
      <c r="B2" s="453" t="s">
        <v>802</v>
      </c>
    </row>
    <row r="3" spans="2:6" ht="8" customHeight="1"/>
    <row r="4" spans="2:6">
      <c r="B4" s="464" t="s">
        <v>655</v>
      </c>
      <c r="C4" s="464" t="s">
        <v>656</v>
      </c>
      <c r="D4" s="464" t="s">
        <v>657</v>
      </c>
      <c r="E4" s="464" t="s">
        <v>658</v>
      </c>
      <c r="F4" s="464" t="s">
        <v>659</v>
      </c>
    </row>
    <row r="5" spans="2:6" ht="29">
      <c r="B5" s="465" t="s">
        <v>660</v>
      </c>
      <c r="C5" s="458" t="s">
        <v>661</v>
      </c>
      <c r="D5" s="458" t="s">
        <v>662</v>
      </c>
      <c r="E5" s="458" t="s">
        <v>663</v>
      </c>
      <c r="F5" s="458" t="s">
        <v>664</v>
      </c>
    </row>
    <row r="6" spans="2:6" ht="29">
      <c r="B6" s="466" t="s">
        <v>665</v>
      </c>
      <c r="C6" s="460" t="s">
        <v>666</v>
      </c>
      <c r="D6" s="460" t="s">
        <v>667</v>
      </c>
      <c r="E6" s="460" t="s">
        <v>668</v>
      </c>
      <c r="F6" s="460" t="s">
        <v>669</v>
      </c>
    </row>
    <row r="7" spans="2:6" ht="29">
      <c r="B7" s="465" t="s">
        <v>670</v>
      </c>
      <c r="C7" s="458" t="s">
        <v>671</v>
      </c>
      <c r="D7" s="458" t="s">
        <v>662</v>
      </c>
      <c r="E7" s="458" t="s">
        <v>672</v>
      </c>
      <c r="F7" s="458" t="s">
        <v>673</v>
      </c>
    </row>
    <row r="8" spans="2:6" ht="43.5">
      <c r="B8" s="466" t="s">
        <v>516</v>
      </c>
      <c r="C8" s="460" t="s">
        <v>674</v>
      </c>
      <c r="D8" s="460" t="s">
        <v>675</v>
      </c>
      <c r="E8" s="460" t="s">
        <v>676</v>
      </c>
      <c r="F8" s="460" t="s">
        <v>677</v>
      </c>
    </row>
    <row r="9" spans="2:6" ht="29">
      <c r="B9" s="465" t="s">
        <v>376</v>
      </c>
      <c r="C9" s="458" t="s">
        <v>678</v>
      </c>
      <c r="D9" s="458" t="s">
        <v>679</v>
      </c>
      <c r="E9" s="458" t="s">
        <v>680</v>
      </c>
      <c r="F9" s="458" t="s">
        <v>681</v>
      </c>
    </row>
    <row r="10" spans="2:6" ht="43.5">
      <c r="B10" s="466" t="s">
        <v>682</v>
      </c>
      <c r="C10" s="460" t="s">
        <v>683</v>
      </c>
      <c r="D10" s="460" t="s">
        <v>684</v>
      </c>
      <c r="E10" s="460" t="s">
        <v>680</v>
      </c>
      <c r="F10" s="460" t="s">
        <v>681</v>
      </c>
    </row>
    <row r="11" spans="2:6" ht="43.5">
      <c r="B11" s="465" t="s">
        <v>685</v>
      </c>
      <c r="C11" s="458" t="s">
        <v>686</v>
      </c>
      <c r="D11" s="458" t="s">
        <v>687</v>
      </c>
      <c r="E11" s="458" t="s">
        <v>688</v>
      </c>
      <c r="F11" s="458" t="s">
        <v>689</v>
      </c>
    </row>
    <row r="12" spans="2:6" ht="29">
      <c r="B12" s="466" t="s">
        <v>690</v>
      </c>
      <c r="C12" s="460" t="s">
        <v>691</v>
      </c>
      <c r="D12" s="460" t="s">
        <v>692</v>
      </c>
      <c r="E12" s="460" t="s">
        <v>693</v>
      </c>
      <c r="F12" s="460" t="s">
        <v>694</v>
      </c>
    </row>
    <row r="13" spans="2:6" ht="29">
      <c r="B13" s="465" t="s">
        <v>695</v>
      </c>
      <c r="C13" s="458" t="s">
        <v>696</v>
      </c>
      <c r="D13" s="458" t="s">
        <v>662</v>
      </c>
      <c r="E13" s="458" t="s">
        <v>697</v>
      </c>
      <c r="F13" s="458" t="s">
        <v>698</v>
      </c>
    </row>
    <row r="14" spans="2:6" ht="29">
      <c r="B14" s="466" t="s">
        <v>421</v>
      </c>
      <c r="C14" s="460" t="s">
        <v>699</v>
      </c>
      <c r="D14" s="460" t="s">
        <v>700</v>
      </c>
      <c r="E14" s="460" t="s">
        <v>701</v>
      </c>
      <c r="F14" s="460" t="s">
        <v>702</v>
      </c>
    </row>
    <row r="15" spans="2:6" ht="29">
      <c r="B15" s="465" t="s">
        <v>703</v>
      </c>
      <c r="C15" s="458" t="s">
        <v>704</v>
      </c>
      <c r="D15" s="458" t="s">
        <v>705</v>
      </c>
      <c r="E15" s="458" t="s">
        <v>706</v>
      </c>
      <c r="F15" s="458" t="s">
        <v>707</v>
      </c>
    </row>
    <row r="16" spans="2:6" ht="29">
      <c r="B16" s="466" t="s">
        <v>357</v>
      </c>
      <c r="C16" s="460" t="s">
        <v>708</v>
      </c>
      <c r="D16" s="460" t="s">
        <v>709</v>
      </c>
      <c r="E16" s="460" t="s">
        <v>710</v>
      </c>
      <c r="F16" s="460" t="s">
        <v>803</v>
      </c>
    </row>
    <row r="17" spans="2:6" ht="29">
      <c r="B17" s="465" t="s">
        <v>711</v>
      </c>
      <c r="C17" s="458" t="s">
        <v>712</v>
      </c>
      <c r="D17" s="458" t="s">
        <v>679</v>
      </c>
      <c r="E17" s="458" t="s">
        <v>713</v>
      </c>
      <c r="F17" s="458" t="s">
        <v>714</v>
      </c>
    </row>
    <row r="18" spans="2:6" ht="43.5">
      <c r="B18" s="466" t="s">
        <v>715</v>
      </c>
      <c r="C18" s="460" t="s">
        <v>716</v>
      </c>
      <c r="D18" s="460" t="s">
        <v>717</v>
      </c>
      <c r="E18" s="460" t="s">
        <v>718</v>
      </c>
      <c r="F18" s="460" t="s">
        <v>719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E2E3-004A-4144-BB21-4A72465C93E7}">
  <sheetPr>
    <tabColor rgb="FF548235"/>
  </sheetPr>
  <dimension ref="B1:D45"/>
  <sheetViews>
    <sheetView showGridLines="0" workbookViewId="0">
      <pane ySplit="4" topLeftCell="A5" activePane="bottomLeft" state="frozen"/>
      <selection pane="bottomLeft"/>
    </sheetView>
  </sheetViews>
  <sheetFormatPr defaultRowHeight="14.5"/>
  <cols>
    <col min="1" max="1" width="3.1796875" style="451" customWidth="1"/>
    <col min="2" max="2" width="26.6328125" style="451" customWidth="1"/>
    <col min="3" max="3" width="50.6328125" style="467" customWidth="1"/>
    <col min="4" max="4" width="78.6328125" style="451" customWidth="1"/>
    <col min="5" max="16384" width="8.7265625" style="451"/>
  </cols>
  <sheetData>
    <row r="1" spans="2:4" ht="32" customHeight="1">
      <c r="B1" s="452" t="s">
        <v>720</v>
      </c>
    </row>
    <row r="2" spans="2:4" ht="16" customHeight="1">
      <c r="B2" s="453" t="s">
        <v>804</v>
      </c>
    </row>
    <row r="3" spans="2:4" ht="8" customHeight="1"/>
    <row r="4" spans="2:4">
      <c r="B4" s="464" t="s">
        <v>721</v>
      </c>
      <c r="C4" s="468" t="s">
        <v>722</v>
      </c>
      <c r="D4" s="464" t="s">
        <v>723</v>
      </c>
    </row>
    <row r="5" spans="2:4" ht="15.5">
      <c r="B5" s="590" t="s">
        <v>805</v>
      </c>
      <c r="C5" s="591"/>
      <c r="D5" s="591"/>
    </row>
    <row r="6" spans="2:4">
      <c r="B6" s="469" t="s">
        <v>806</v>
      </c>
      <c r="C6" s="470" t="s">
        <v>724</v>
      </c>
      <c r="D6" s="458" t="s">
        <v>725</v>
      </c>
    </row>
    <row r="7" spans="2:4">
      <c r="B7" s="471" t="s">
        <v>807</v>
      </c>
      <c r="C7" s="472" t="s">
        <v>726</v>
      </c>
      <c r="D7" s="460" t="s">
        <v>727</v>
      </c>
    </row>
    <row r="8" spans="2:4">
      <c r="B8" s="469" t="s">
        <v>808</v>
      </c>
      <c r="C8" s="470" t="s">
        <v>728</v>
      </c>
      <c r="D8" s="458" t="s">
        <v>729</v>
      </c>
    </row>
    <row r="9" spans="2:4">
      <c r="B9" s="471" t="s">
        <v>809</v>
      </c>
      <c r="C9" s="472" t="s">
        <v>730</v>
      </c>
      <c r="D9" s="460" t="s">
        <v>731</v>
      </c>
    </row>
    <row r="10" spans="2:4">
      <c r="B10" s="473" t="s">
        <v>810</v>
      </c>
      <c r="C10" s="592" t="s">
        <v>811</v>
      </c>
      <c r="D10" s="593"/>
    </row>
    <row r="11" spans="2:4">
      <c r="B11" s="469" t="s">
        <v>812</v>
      </c>
      <c r="C11" s="470" t="s">
        <v>732</v>
      </c>
      <c r="D11" s="458" t="s">
        <v>733</v>
      </c>
    </row>
    <row r="12" spans="2:4">
      <c r="B12" s="471" t="s">
        <v>813</v>
      </c>
      <c r="C12" s="472" t="s">
        <v>734</v>
      </c>
      <c r="D12" s="460" t="s">
        <v>735</v>
      </c>
    </row>
    <row r="13" spans="2:4">
      <c r="B13" s="469" t="s">
        <v>814</v>
      </c>
      <c r="C13" s="470" t="s">
        <v>736</v>
      </c>
      <c r="D13" s="458" t="s">
        <v>737</v>
      </c>
    </row>
    <row r="14" spans="2:4" ht="29">
      <c r="B14" s="471" t="s">
        <v>815</v>
      </c>
      <c r="C14" s="472" t="s">
        <v>738</v>
      </c>
      <c r="D14" s="460" t="s">
        <v>816</v>
      </c>
    </row>
    <row r="15" spans="2:4">
      <c r="B15" s="473" t="s">
        <v>810</v>
      </c>
      <c r="C15" s="592" t="s">
        <v>817</v>
      </c>
      <c r="D15" s="593"/>
    </row>
    <row r="16" spans="2:4">
      <c r="B16" s="469" t="s">
        <v>818</v>
      </c>
      <c r="C16" s="470" t="s">
        <v>739</v>
      </c>
      <c r="D16" s="458" t="s">
        <v>740</v>
      </c>
    </row>
    <row r="17" spans="2:4">
      <c r="B17" s="471" t="s">
        <v>819</v>
      </c>
      <c r="C17" s="472" t="s">
        <v>741</v>
      </c>
      <c r="D17" s="460" t="s">
        <v>742</v>
      </c>
    </row>
    <row r="18" spans="2:4">
      <c r="B18" s="469" t="s">
        <v>820</v>
      </c>
      <c r="C18" s="470" t="s">
        <v>743</v>
      </c>
      <c r="D18" s="458" t="s">
        <v>744</v>
      </c>
    </row>
    <row r="19" spans="2:4" ht="15.5">
      <c r="B19" s="590" t="s">
        <v>821</v>
      </c>
      <c r="C19" s="591"/>
      <c r="D19" s="591"/>
    </row>
    <row r="20" spans="2:4">
      <c r="B20" s="469" t="s">
        <v>822</v>
      </c>
      <c r="C20" s="470" t="s">
        <v>745</v>
      </c>
      <c r="D20" s="458" t="s">
        <v>746</v>
      </c>
    </row>
    <row r="21" spans="2:4">
      <c r="B21" s="471" t="s">
        <v>823</v>
      </c>
      <c r="C21" s="472" t="s">
        <v>747</v>
      </c>
      <c r="D21" s="460" t="s">
        <v>748</v>
      </c>
    </row>
    <row r="22" spans="2:4">
      <c r="B22" s="469" t="s">
        <v>824</v>
      </c>
      <c r="C22" s="470" t="s">
        <v>749</v>
      </c>
      <c r="D22" s="458" t="s">
        <v>750</v>
      </c>
    </row>
    <row r="23" spans="2:4">
      <c r="B23" s="471" t="s">
        <v>825</v>
      </c>
      <c r="C23" s="472" t="s">
        <v>751</v>
      </c>
      <c r="D23" s="460" t="s">
        <v>742</v>
      </c>
    </row>
    <row r="24" spans="2:4" ht="29">
      <c r="B24" s="469" t="s">
        <v>826</v>
      </c>
      <c r="C24" s="470" t="s">
        <v>752</v>
      </c>
      <c r="D24" s="458" t="s">
        <v>827</v>
      </c>
    </row>
    <row r="25" spans="2:4" ht="60">
      <c r="B25" s="471" t="s">
        <v>828</v>
      </c>
      <c r="C25" s="472" t="s">
        <v>829</v>
      </c>
      <c r="D25" s="460" t="s">
        <v>830</v>
      </c>
    </row>
    <row r="26" spans="2:4">
      <c r="B26" s="469" t="s">
        <v>831</v>
      </c>
      <c r="C26" s="470" t="s">
        <v>753</v>
      </c>
      <c r="D26" s="458" t="s">
        <v>832</v>
      </c>
    </row>
    <row r="27" spans="2:4" ht="15.5">
      <c r="B27" s="590" t="s">
        <v>833</v>
      </c>
      <c r="C27" s="591"/>
      <c r="D27" s="591"/>
    </row>
    <row r="28" spans="2:4" ht="29">
      <c r="B28" s="469" t="s">
        <v>834</v>
      </c>
      <c r="C28" s="470" t="s">
        <v>754</v>
      </c>
      <c r="D28" s="458" t="s">
        <v>835</v>
      </c>
    </row>
    <row r="29" spans="2:4">
      <c r="B29" s="473" t="s">
        <v>810</v>
      </c>
      <c r="C29" s="592" t="s">
        <v>836</v>
      </c>
      <c r="D29" s="593"/>
    </row>
    <row r="30" spans="2:4">
      <c r="B30" s="469" t="s">
        <v>837</v>
      </c>
      <c r="C30" s="470" t="s">
        <v>755</v>
      </c>
      <c r="D30" s="458" t="s">
        <v>756</v>
      </c>
    </row>
    <row r="31" spans="2:4">
      <c r="B31" s="471" t="s">
        <v>838</v>
      </c>
      <c r="C31" s="472" t="s">
        <v>757</v>
      </c>
      <c r="D31" s="460" t="s">
        <v>839</v>
      </c>
    </row>
    <row r="32" spans="2:4" ht="29">
      <c r="B32" s="469" t="s">
        <v>758</v>
      </c>
      <c r="C32" s="470" t="s">
        <v>759</v>
      </c>
      <c r="D32" s="458" t="s">
        <v>840</v>
      </c>
    </row>
    <row r="33" spans="2:4" ht="15.5">
      <c r="B33" s="590" t="s">
        <v>841</v>
      </c>
      <c r="C33" s="591"/>
      <c r="D33" s="591"/>
    </row>
    <row r="34" spans="2:4" ht="36">
      <c r="B34" s="469" t="s">
        <v>842</v>
      </c>
      <c r="C34" s="470" t="s">
        <v>760</v>
      </c>
      <c r="D34" s="458" t="s">
        <v>761</v>
      </c>
    </row>
    <row r="35" spans="2:4" ht="29">
      <c r="B35" s="471" t="s">
        <v>843</v>
      </c>
      <c r="C35" s="472" t="s">
        <v>762</v>
      </c>
      <c r="D35" s="460" t="s">
        <v>763</v>
      </c>
    </row>
    <row r="36" spans="2:4" ht="15.5">
      <c r="B36" s="590" t="s">
        <v>844</v>
      </c>
      <c r="C36" s="591"/>
      <c r="D36" s="591"/>
    </row>
    <row r="37" spans="2:4">
      <c r="B37" s="469" t="s">
        <v>845</v>
      </c>
      <c r="C37" s="470" t="s">
        <v>764</v>
      </c>
      <c r="D37" s="458" t="s">
        <v>765</v>
      </c>
    </row>
    <row r="38" spans="2:4">
      <c r="B38" s="471" t="s">
        <v>846</v>
      </c>
      <c r="C38" s="472" t="s">
        <v>766</v>
      </c>
      <c r="D38" s="460" t="s">
        <v>847</v>
      </c>
    </row>
    <row r="39" spans="2:4" ht="15.5">
      <c r="B39" s="590" t="s">
        <v>848</v>
      </c>
      <c r="C39" s="591"/>
      <c r="D39" s="591"/>
    </row>
    <row r="40" spans="2:4" ht="29">
      <c r="B40" s="469" t="s">
        <v>849</v>
      </c>
      <c r="C40" s="470" t="s">
        <v>766</v>
      </c>
      <c r="D40" s="458" t="s">
        <v>850</v>
      </c>
    </row>
    <row r="41" spans="2:4">
      <c r="B41" s="471" t="s">
        <v>851</v>
      </c>
      <c r="C41" s="472" t="s">
        <v>767</v>
      </c>
      <c r="D41" s="460" t="s">
        <v>768</v>
      </c>
    </row>
    <row r="42" spans="2:4">
      <c r="B42" s="469" t="s">
        <v>852</v>
      </c>
      <c r="C42" s="470" t="s">
        <v>769</v>
      </c>
      <c r="D42" s="458" t="s">
        <v>770</v>
      </c>
    </row>
    <row r="43" spans="2:4">
      <c r="B43" s="471" t="s">
        <v>853</v>
      </c>
      <c r="C43" s="472" t="s">
        <v>771</v>
      </c>
      <c r="D43" s="460" t="s">
        <v>772</v>
      </c>
    </row>
    <row r="44" spans="2:4">
      <c r="B44" s="469" t="s">
        <v>854</v>
      </c>
      <c r="C44" s="470" t="s">
        <v>773</v>
      </c>
      <c r="D44" s="458" t="s">
        <v>774</v>
      </c>
    </row>
    <row r="45" spans="2:4">
      <c r="B45" s="473" t="s">
        <v>810</v>
      </c>
      <c r="C45" s="592" t="s">
        <v>855</v>
      </c>
      <c r="D45" s="593"/>
    </row>
  </sheetData>
  <mergeCells count="10">
    <mergeCell ref="B33:D33"/>
    <mergeCell ref="B36:D36"/>
    <mergeCell ref="B39:D39"/>
    <mergeCell ref="C45:D45"/>
    <mergeCell ref="B5:D5"/>
    <mergeCell ref="C10:D10"/>
    <mergeCell ref="C15:D15"/>
    <mergeCell ref="B19:D19"/>
    <mergeCell ref="B27:D27"/>
    <mergeCell ref="C29:D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2</vt:i4>
      </vt:variant>
    </vt:vector>
  </HeadingPairs>
  <TitlesOfParts>
    <vt:vector size="35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2026-10-27T18:16:49Z</dcterms:modified>
  <cp:category/>
  <cp:contentStatus/>
</cp:coreProperties>
</file>