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ssandro L.C\Desktop\Movimiento de laptops\CARPS para nube de preventa\Matriz-Oferta\"/>
    </mc:Choice>
  </mc:AlternateContent>
  <xr:revisionPtr revIDLastSave="0" documentId="13_ncr:1_{3AF4B09F-9EDF-4EAB-84E3-FE175763CC43}" xr6:coauthVersionLast="47" xr6:coauthVersionMax="47" xr10:uidLastSave="{00000000-0000-0000-0000-000000000000}"/>
  <bookViews>
    <workbookView xWindow="-120" yWindow="-120" windowWidth="29040" windowHeight="15720" tabRatio="842" firstSheet="3" activeTab="6" xr2:uid="{5841A703-86EA-400C-9C69-723B1076F593}"/>
  </bookViews>
  <sheets>
    <sheet name="CCTV DISEÑO" sheetId="44" state="hidden" r:id="rId1"/>
    <sheet name="Evaluacion TIR-VAN" sheetId="59" state="hidden" r:id="rId2"/>
    <sheet name="Resumen por Servicio" sheetId="83" state="hidden" r:id="rId3"/>
    <sheet name="RESUMEN" sheetId="15" r:id="rId4"/>
    <sheet name="Resumen para oferta" sheetId="117" state="hidden" r:id="rId5"/>
    <sheet name="COTIZACIÓN " sheetId="119" r:id="rId6"/>
    <sheet name="Equipos" sheetId="1" r:id="rId7"/>
    <sheet name="Productos 2" sheetId="9" r:id="rId8"/>
    <sheet name="Productos 3" sheetId="100" state="hidden" r:id="rId9"/>
    <sheet name="Productos 4" sheetId="101" state="hidden" r:id="rId10"/>
    <sheet name="Productos 5" sheetId="102" state="hidden" r:id="rId11"/>
    <sheet name="MATERIALES" sheetId="103" r:id="rId12"/>
    <sheet name="PRODUCTO G" sheetId="104" state="hidden" r:id="rId13"/>
    <sheet name="PRODUCTO H" sheetId="105" state="hidden" r:id="rId14"/>
    <sheet name="PRODUCTO I" sheetId="106" state="hidden" r:id="rId15"/>
    <sheet name="PRODUCTO J" sheetId="107" state="hidden" r:id="rId16"/>
    <sheet name="PRODUCTO K" sheetId="108" state="hidden" r:id="rId17"/>
    <sheet name="PRODUCTO L" sheetId="109" state="hidden" r:id="rId18"/>
    <sheet name="PRODUCTO M" sheetId="111" state="hidden" r:id="rId19"/>
    <sheet name="PRODUCTO N" sheetId="112" state="hidden" r:id="rId20"/>
    <sheet name="PRODUCTO O" sheetId="113" state="hidden" r:id="rId21"/>
    <sheet name="RESUMEN (OPEX)" sheetId="120" r:id="rId22"/>
    <sheet name="OPEX GV" sheetId="110" r:id="rId23"/>
    <sheet name="MANO DE OBRA " sheetId="118" r:id="rId24"/>
    <sheet name="Transporte" sheetId="116" r:id="rId25"/>
    <sheet name="OPEX Proyecto" sheetId="114" r:id="rId26"/>
    <sheet name="calc mat" sheetId="115" state="hidden" r:id="rId27"/>
    <sheet name="Camara Antivandalica" sheetId="82" state="hidden" r:id="rId28"/>
    <sheet name="BodyCam" sheetId="80" state="hidden" r:id="rId29"/>
    <sheet name="Face Pro" sheetId="81" state="hidden" r:id="rId30"/>
    <sheet name="LPR Patrullas" sheetId="78" state="hidden" r:id="rId31"/>
    <sheet name="Servicio de Analíticas Avanzada" sheetId="62" state="hidden" r:id="rId32"/>
    <sheet name="Servicio BodyCam" sheetId="77" state="hidden" r:id="rId33"/>
    <sheet name="Servicio de Cámara Antivandalic" sheetId="75" state="hidden" r:id="rId34"/>
    <sheet name="Servicio Patrullas" sheetId="79" state="hidden" r:id="rId35"/>
    <sheet name="Servicio de Face Pro" sheetId="76" state="hidden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</externalReferences>
  <definedNames>
    <definedName name="_ANN10" localSheetId="5">'COTIZACIÓN '!#REF!</definedName>
    <definedName name="_ANN10">#REF!</definedName>
    <definedName name="_ANN20" localSheetId="5">'COTIZACIÓN '!#REF!</definedName>
    <definedName name="_ANN20">#REF!</definedName>
    <definedName name="a" localSheetId="5">'COTIZACIÓN '!#REF!</definedName>
    <definedName name="a">#REF!</definedName>
    <definedName name="aa">#REF!</definedName>
    <definedName name="activo">'[1]B$E'!$D$48</definedName>
    <definedName name="activoc">'[1]B$E'!$D$11</definedName>
    <definedName name="activof">'[1]B$E'!$D$30</definedName>
    <definedName name="Años_préstamo" localSheetId="26">#REF!</definedName>
    <definedName name="Años_préstamo" localSheetId="5">'[2]Ptmo P'!$D$7</definedName>
    <definedName name="Años_préstamo" localSheetId="1">#REF!</definedName>
    <definedName name="Años_préstamo" localSheetId="23">'[2]Ptmo P'!$D$7</definedName>
    <definedName name="Años_préstamo" localSheetId="4">#REF!</definedName>
    <definedName name="Años_préstamo" localSheetId="24">#REF!</definedName>
    <definedName name="Años_préstamo">#REF!</definedName>
    <definedName name="Area" localSheetId="1">[3]!Tabla1[area]</definedName>
    <definedName name="_xlnm.Print_Area" localSheetId="5">'COTIZACIÓN '!$B$1:$J$47</definedName>
    <definedName name="b" localSheetId="5">'COTIZACIÓN '!#REF!</definedName>
    <definedName name="b">#REF!</definedName>
    <definedName name="Beginning_Balance" localSheetId="5">-FV(Interest_Rate/12,'COTIZACIÓN '!Payment_Number-1,-'COTIZACIÓN '!Monthly_Payment,Loan_Amount)</definedName>
    <definedName name="Beginning_Balance">-FV(Interest_Rate/12,Payment_Number-1,-Monthly_Payment,Loan_Amount)</definedName>
    <definedName name="Cap_Base">[4]Performance!$D$24</definedName>
    <definedName name="Cap_kW">[5]Variables!$B$25</definedName>
    <definedName name="Capital" localSheetId="26">#REF!</definedName>
    <definedName name="Capital" localSheetId="5">'[2]Ptmo P'!$G$18:$G$497</definedName>
    <definedName name="Capital" localSheetId="1">#REF!</definedName>
    <definedName name="Capital" localSheetId="23">'[2]Ptmo P'!$G$18:$G$497</definedName>
    <definedName name="Capital" localSheetId="4">#REF!</definedName>
    <definedName name="Capital" localSheetId="24">#REF!</definedName>
    <definedName name="Capital">#REF!</definedName>
    <definedName name="capsocial">'[1]B$E'!$H$44</definedName>
    <definedName name="CF_OM_Bz">'[6]O&amp;M'!#REF!</definedName>
    <definedName name="CF_OM_US">'[6]O&amp;M'!#REF!</definedName>
    <definedName name="Clientes">'[1]B$E'!$B$14</definedName>
    <definedName name="Cum_Cash_Flow">[6]CF!#REF!</definedName>
    <definedName name="Datos" localSheetId="5">'COTIZACIÓN '!#REF!</definedName>
    <definedName name="Datos" localSheetId="1">#REF!</definedName>
    <definedName name="Datos" localSheetId="23">#REF!</definedName>
    <definedName name="Datos">#REF!</definedName>
    <definedName name="Demanda_Máxima_kW">[5]Variables!$B$7</definedName>
    <definedName name="Día_de_pago" localSheetId="28">DATE(YEAR([0]!Inicio_prestamo),MONTH([0]!Inicio_prestamo)+Payment_Number,DAY([0]!Inicio_prestamo))</definedName>
    <definedName name="Día_de_pago" localSheetId="26">#N/A</definedName>
    <definedName name="Día_de_pago" localSheetId="27">DATE(YEAR([0]!Inicio_prestamo),MONTH([0]!Inicio_prestamo)+Payment_Number,DAY([0]!Inicio_prestamo))</definedName>
    <definedName name="Día_de_pago" localSheetId="5">#N/A</definedName>
    <definedName name="Día_de_pago" localSheetId="1">#N/A</definedName>
    <definedName name="Día_de_pago" localSheetId="29">DATE(YEAR([0]!Inicio_prestamo),MONTH([0]!Inicio_prestamo)+Payment_Number,DAY([0]!Inicio_prestamo))</definedName>
    <definedName name="Día_de_pago" localSheetId="30">DATE(YEAR([0]!Inicio_prestamo),MONTH([0]!Inicio_prestamo)+Payment_Number,DAY([0]!Inicio_prestamo))</definedName>
    <definedName name="Día_de_pago" localSheetId="23">#N/A</definedName>
    <definedName name="Día_de_pago" localSheetId="11">DATE(YEAR([0]!Inicio_prestamo),MONTH([0]!Inicio_prestamo)+Payment_Number,DAY([0]!Inicio_prestamo))</definedName>
    <definedName name="Día_de_pago" localSheetId="22">DATE(YEAR([0]!Inicio_prestamo),MONTH([0]!Inicio_prestamo)+Payment_Number,DAY([0]!Inicio_prestamo))</definedName>
    <definedName name="Día_de_pago" localSheetId="25">DATE(YEAR([0]!Inicio_prestamo),MONTH([0]!Inicio_prestamo)+Payment_Number,DAY([0]!Inicio_prestamo))</definedName>
    <definedName name="Día_de_pago" localSheetId="12">DATE(YEAR([0]!Inicio_prestamo),MONTH([0]!Inicio_prestamo)+Payment_Number,DAY([0]!Inicio_prestamo))</definedName>
    <definedName name="Día_de_pago" localSheetId="13">DATE(YEAR([0]!Inicio_prestamo),MONTH([0]!Inicio_prestamo)+Payment_Number,DAY([0]!Inicio_prestamo))</definedName>
    <definedName name="Día_de_pago" localSheetId="14">DATE(YEAR([0]!Inicio_prestamo),MONTH([0]!Inicio_prestamo)+Payment_Number,DAY([0]!Inicio_prestamo))</definedName>
    <definedName name="Día_de_pago" localSheetId="15">DATE(YEAR([0]!Inicio_prestamo),MONTH([0]!Inicio_prestamo)+Payment_Number,DAY([0]!Inicio_prestamo))</definedName>
    <definedName name="Día_de_pago" localSheetId="16">DATE(YEAR([0]!Inicio_prestamo),MONTH([0]!Inicio_prestamo)+Payment_Number,DAY([0]!Inicio_prestamo))</definedName>
    <definedName name="Día_de_pago" localSheetId="17">DATE(YEAR([0]!Inicio_prestamo),MONTH([0]!Inicio_prestamo)+Payment_Number,DAY([0]!Inicio_prestamo))</definedName>
    <definedName name="Día_de_pago" localSheetId="18">DATE(YEAR([0]!Inicio_prestamo),MONTH([0]!Inicio_prestamo)+Payment_Number,DAY([0]!Inicio_prestamo))</definedName>
    <definedName name="Día_de_pago" localSheetId="19">DATE(YEAR([0]!Inicio_prestamo),MONTH([0]!Inicio_prestamo)+Payment_Number,DAY([0]!Inicio_prestamo))</definedName>
    <definedName name="Día_de_pago" localSheetId="20">DATE(YEAR([0]!Inicio_prestamo),MONTH([0]!Inicio_prestamo)+Payment_Number,DAY([0]!Inicio_prestamo))</definedName>
    <definedName name="Día_de_pago" localSheetId="8">DATE(YEAR([0]!Inicio_prestamo),MONTH([0]!Inicio_prestamo)+Payment_Number,DAY([0]!Inicio_prestamo))</definedName>
    <definedName name="Día_de_pago" localSheetId="9">DATE(YEAR([0]!Inicio_prestamo),MONTH([0]!Inicio_prestamo)+Payment_Number,DAY([0]!Inicio_prestamo))</definedName>
    <definedName name="Día_de_pago" localSheetId="10">DATE(YEAR([0]!Inicio_prestamo),MONTH([0]!Inicio_prestamo)+Payment_Number,DAY([0]!Inicio_prestamo))</definedName>
    <definedName name="Día_de_pago" localSheetId="4">#N/A</definedName>
    <definedName name="Día_de_pago" localSheetId="2">DATE(YEAR([0]!Inicio_prestamo),MONTH([0]!Inicio_prestamo)+Payment_Number,DAY([0]!Inicio_prestamo))</definedName>
    <definedName name="Día_de_pago" localSheetId="32">DATE(YEAR([0]!Inicio_prestamo),MONTH([0]!Inicio_prestamo)+Payment_Number,DAY([0]!Inicio_prestamo))</definedName>
    <definedName name="Día_de_pago" localSheetId="33">DATE(YEAR([0]!Inicio_prestamo),MONTH([0]!Inicio_prestamo)+Payment_Number,DAY([0]!Inicio_prestamo))</definedName>
    <definedName name="Día_de_pago" localSheetId="35">DATE(YEAR([0]!Inicio_prestamo),MONTH([0]!Inicio_prestamo)+Payment_Number,DAY([0]!Inicio_prestamo))</definedName>
    <definedName name="Día_de_pago" localSheetId="34">DATE(YEAR([0]!Inicio_prestamo),MONTH([0]!Inicio_prestamo)+Payment_Number,DAY([0]!Inicio_prestamo))</definedName>
    <definedName name="Día_de_pago" localSheetId="24">#N/A</definedName>
    <definedName name="Día_de_pago">DATE(YEAR([0]!Inicio_prestamo),MONTH([0]!Inicio_prestamo)+Payment_Number,DAY([0]!Inicio_prestamo))</definedName>
    <definedName name="DisminucionCOGS" localSheetId="1">[3]!Tabla4[disminucioncogs]</definedName>
    <definedName name="DisminucionVariables" localSheetId="1">[3]!Tabla8[disminucionvariables]</definedName>
    <definedName name="dolarant" localSheetId="5">'COTIZACIÓN '!#REF!</definedName>
    <definedName name="dolarant">#REF!</definedName>
    <definedName name="dollar">'[7]Integracion Lps'!$L$4</definedName>
    <definedName name="drate">[8]base!$C$43</definedName>
    <definedName name="Egresos_Totales">[6]CF!#REF!</definedName>
    <definedName name="Ending_Balance" localSheetId="5">-FV(Interest_Rate/12,'COTIZACIÓN '!Payment_Number,-'COTIZACIÓN '!Monthly_Payment,Loan_Amount)</definedName>
    <definedName name="Ending_Balance">-FV(Interest_Rate/12,Payment_Number,-Monthly_Payment,Loan_Amount)</definedName>
    <definedName name="EQ" localSheetId="5">'[9]Finan.-Oper.'!#REF!</definedName>
    <definedName name="EQ">'[9]Finan.-Oper.'!#REF!</definedName>
    <definedName name="Equity" localSheetId="5">'[10]Finan.-Oper.'!#REF!</definedName>
    <definedName name="Equity">'[10]Finan.-Oper.'!#REF!</definedName>
    <definedName name="FCE">[5]Variables!$B$8</definedName>
    <definedName name="FCV">[5]Variables!$B$12</definedName>
    <definedName name="Fecha_de_pago" localSheetId="5">'COTIZACIÓN '!#REF!</definedName>
    <definedName name="Fecha_de_pago" localSheetId="1">#REF!</definedName>
    <definedName name="Fecha_de_pago" localSheetId="23">#REF!</definedName>
    <definedName name="Fecha_de_pago">#REF!</definedName>
    <definedName name="Fijos" localSheetId="1">[3]!Tabla5[fijos]</definedName>
    <definedName name="Fila_de_encabezado" localSheetId="26">ROW(#REF!)</definedName>
    <definedName name="Fila_de_encabezado" localSheetId="5">ROW('COTIZACIÓN '!#REF!)</definedName>
    <definedName name="Fila_de_encabezado" localSheetId="1">ROW(#REF!)</definedName>
    <definedName name="Fila_de_encabezado" localSheetId="23">ROW(#REF!)</definedName>
    <definedName name="Fila_de_encabezado" localSheetId="4">ROW(#REF!)</definedName>
    <definedName name="Fila_de_encabezado" localSheetId="24">ROW(#REF!)</definedName>
    <definedName name="Fila_de_encabezado">#REF!</definedName>
    <definedName name="Full_Print">#REF!</definedName>
    <definedName name="Header_Row">ROW('[11]Calculadora de préstamos'!$15:$15)</definedName>
    <definedName name="Header_Row_Back">ROW(#REF!)</definedName>
    <definedName name="Importe_del_préstamo" localSheetId="26">#REF!</definedName>
    <definedName name="Importe_del_préstamo" localSheetId="5">'[2]Ptmo P'!$D$5</definedName>
    <definedName name="Importe_del_préstamo" localSheetId="1">#REF!</definedName>
    <definedName name="Importe_del_préstamo" localSheetId="23">'[2]Ptmo P'!$D$5</definedName>
    <definedName name="Importe_del_préstamo" localSheetId="4">#REF!</definedName>
    <definedName name="Importe_del_préstamo" localSheetId="24">#REF!</definedName>
    <definedName name="Importe_del_préstamo">#REF!</definedName>
    <definedName name="Impresión_completa" localSheetId="26">[12]Amo_Prtmo!$A$1:$J$497</definedName>
    <definedName name="Impresión_completa" localSheetId="5">'COTIZACIÓN '!#REF!</definedName>
    <definedName name="Impresión_completa" localSheetId="1">[13]Amo_Prtmo!$A$1:$J$497</definedName>
    <definedName name="Impresión_completa" localSheetId="23">#REF!</definedName>
    <definedName name="Impresión_completa" localSheetId="4">[14]Amo_Prtmo!$A$1:$J$497</definedName>
    <definedName name="Impresión_completa" localSheetId="24">[15]Amo_Prtmo!$A$1:$J$497</definedName>
    <definedName name="Impresión_completa">#REF!</definedName>
    <definedName name="Incremento" localSheetId="1">[3]!Tabla3[incremento]</definedName>
    <definedName name="Inflacion_US" localSheetId="5">[6]CF!#REF!</definedName>
    <definedName name="Inflacion_US">[6]CF!#REF!</definedName>
    <definedName name="ingresos">'[16]Resultados Lps'!$E$8</definedName>
    <definedName name="Inicio_prestamo" localSheetId="26">#REF!</definedName>
    <definedName name="Inicio_prestamo" localSheetId="5">'[2]Ptmo P'!$D$9</definedName>
    <definedName name="Inicio_prestamo" localSheetId="1">#REF!</definedName>
    <definedName name="Inicio_prestamo" localSheetId="23">'[2]Ptmo P'!$D$9</definedName>
    <definedName name="Inicio_prestamo" localSheetId="4">#REF!</definedName>
    <definedName name="Inicio_prestamo" localSheetId="24">#REF!</definedName>
    <definedName name="Inicio_prestamo">#REF!</definedName>
    <definedName name="Int" localSheetId="26">#REF!</definedName>
    <definedName name="Int" localSheetId="5">'[2]Ptmo P'!$H$18:$H$497</definedName>
    <definedName name="Int" localSheetId="1">#REF!</definedName>
    <definedName name="Int" localSheetId="23">'[2]Ptmo P'!$H$18:$H$497</definedName>
    <definedName name="Int" localSheetId="4">#REF!</definedName>
    <definedName name="Int" localSheetId="24">#REF!</definedName>
    <definedName name="Int">#REF!</definedName>
    <definedName name="Int_01" localSheetId="26">#REF!</definedName>
    <definedName name="Int_01" localSheetId="5">'[2]Ptmo P'!$H$18:$H$29</definedName>
    <definedName name="Int_01" localSheetId="1">#REF!</definedName>
    <definedName name="Int_01" localSheetId="23">'[2]Ptmo P'!$H$18:$H$29</definedName>
    <definedName name="Int_01" localSheetId="4">#REF!</definedName>
    <definedName name="Int_01" localSheetId="24">#REF!</definedName>
    <definedName name="Int_01">#REF!</definedName>
    <definedName name="Int_acum" localSheetId="5">'COTIZACIÓN '!#REF!</definedName>
    <definedName name="Int_acum" localSheetId="1">#REF!</definedName>
    <definedName name="Int_acum" localSheetId="23">#REF!</definedName>
    <definedName name="Int_acum">#REF!</definedName>
    <definedName name="Interés_total" localSheetId="26">#REF!</definedName>
    <definedName name="Interés_total" localSheetId="5">'COTIZACIÓN '!#REF!</definedName>
    <definedName name="Interés_total" localSheetId="1">#REF!</definedName>
    <definedName name="Interés_total" localSheetId="23">#REF!</definedName>
    <definedName name="Interés_total" localSheetId="4">#REF!</definedName>
    <definedName name="Interés_total" localSheetId="24">#REF!</definedName>
    <definedName name="Interés_total">#REF!</definedName>
    <definedName name="Interest" localSheetId="5">-IPMT(Interest_Rate/12,'COTIZACIÓN '!Payment_Number,Number_of_Payments,Loan_Amount)</definedName>
    <definedName name="Interest">-IPMT(Interest_Rate/12,Payment_Number,Number_of_Payments,Loan_Amount)</definedName>
    <definedName name="Interest_Rate">'[11]Calculadora de préstamos'!$E$5</definedName>
    <definedName name="inventario">'[1]B$E'!$C$23</definedName>
    <definedName name="Inversión_Terminal" localSheetId="5">'COTIZACIÓN '!#REF!</definedName>
    <definedName name="Inversión_Terminal">#REF!</definedName>
    <definedName name="Labor_Terminal" localSheetId="5">'COTIZACIÓN '!#REF!</definedName>
    <definedName name="Labor_Terminal">#REF!</definedName>
    <definedName name="Last_Row" localSheetId="5">IF('COTIZACIÓN '!Values_Entered,Header_Row+Number_of_Payments,Header_Row)</definedName>
    <definedName name="Last_Row">IF(Values_Entered,Header_Row+Number_of_Payments,Header_Row)</definedName>
    <definedName name="Loan_Amount">'[11]Calculadora de préstamos'!$E$4</definedName>
    <definedName name="Loan_Not_Paid" localSheetId="5">IF('COTIZACIÓN '!Payment_Number&lt;=Number_of_Payments,1,0)</definedName>
    <definedName name="Loan_Not_Paid">IF(Payment_Number&lt;=Number_of_Payments,1,0)</definedName>
    <definedName name="Loan_Start">'[11]Calculadora de préstamos'!$E$7</definedName>
    <definedName name="Loan_Years">'[11]Calculadora de préstamos'!$E$6</definedName>
    <definedName name="MAX" localSheetId="5">'COTIZACIÓN '!#REF!</definedName>
    <definedName name="MAX">#REF!</definedName>
    <definedName name="Modelo_Solver_Ints" localSheetId="5">'COTIZACIÓN '!#REF!</definedName>
    <definedName name="Modelo_Solver_Ints">#REF!</definedName>
    <definedName name="Monthly_Payment" localSheetId="5">-PMT(Interest_Rate/12,Number_of_Payments,Loan_Amount)</definedName>
    <definedName name="Monthly_Payment">-PMT(Interest_Rate/12,Number_of_Payments,Loan_Amount)</definedName>
    <definedName name="MOU_sensitivity" localSheetId="5">'COTIZACIÓN '!#REF!</definedName>
    <definedName name="MOU_sensitivity">#REF!</definedName>
    <definedName name="N_Boiler">[5]Variables!$B$15</definedName>
    <definedName name="N_Boiler_nueva">[5]Variables!$B$17</definedName>
    <definedName name="NI_2003" localSheetId="5">'COTIZACIÓN '!#REF!</definedName>
    <definedName name="NI_2003">#REF!</definedName>
    <definedName name="NI_2004" localSheetId="5">'COTIZACIÓN '!#REF!</definedName>
    <definedName name="NI_2004">#REF!</definedName>
    <definedName name="NI_2005" localSheetId="5">'COTIZACIÓN '!#REF!</definedName>
    <definedName name="NI_2005">#REF!</definedName>
    <definedName name="NI_2006">#REF!</definedName>
    <definedName name="NI_2007">#REF!</definedName>
    <definedName name="NI_2008">#REF!</definedName>
    <definedName name="NI_2009">#REF!</definedName>
    <definedName name="NI_2010">#REF!</definedName>
    <definedName name="NI_2011">#REF!</definedName>
    <definedName name="NI_2012">#REF!</definedName>
    <definedName name="NI_2013">#REF!</definedName>
    <definedName name="NUEVO">'[17]FLUJO DE CAJA'!$C$210</definedName>
    <definedName name="Núm_de_pago" localSheetId="26">#REF!</definedName>
    <definedName name="Núm_de_pago" localSheetId="5">'[2]Ptmo P'!$A$18:$A$497</definedName>
    <definedName name="Núm_de_pago" localSheetId="1">#REF!</definedName>
    <definedName name="Núm_de_pago" localSheetId="23">'[2]Ptmo P'!$A$18:$A$497</definedName>
    <definedName name="Núm_de_pago" localSheetId="4">#REF!</definedName>
    <definedName name="Núm_de_pago" localSheetId="24">#REF!</definedName>
    <definedName name="Núm_de_pago">#REF!</definedName>
    <definedName name="Núm_pagos_al_año" localSheetId="26">#REF!</definedName>
    <definedName name="Núm_pagos_al_año" localSheetId="5">'[2]Ptmo P'!$D$8</definedName>
    <definedName name="Núm_pagos_al_año" localSheetId="1">#REF!</definedName>
    <definedName name="Núm_pagos_al_año" localSheetId="23">'[2]Ptmo P'!$D$8</definedName>
    <definedName name="Núm_pagos_al_año" localSheetId="4">#REF!</definedName>
    <definedName name="Núm_pagos_al_año" localSheetId="24">#REF!</definedName>
    <definedName name="Núm_pagos_al_año">#REF!</definedName>
    <definedName name="Number_of_Payments">'[11]Calculadora de préstamos'!$E$10</definedName>
    <definedName name="Número_de_pagos" localSheetId="26">MATCH(0.01,'calc mat'!Saldo_final,-1)+1</definedName>
    <definedName name="Número_de_pagos" localSheetId="5">MATCH(0.01,'COTIZACIÓN '!Saldo_final,-1)+1</definedName>
    <definedName name="Número_de_pagos" localSheetId="1">MATCH(0.01,'Evaluacion TIR-VAN'!Saldo_final,-1)+1</definedName>
    <definedName name="Número_de_pagos" localSheetId="23">MATCH(0.01,'MANO DE OBRA '!Saldo_final,-1)+1</definedName>
    <definedName name="Número_de_pagos" localSheetId="4">MATCH(0.01,'Resumen para oferta'!Saldo_final,-1)+1</definedName>
    <definedName name="Número_de_pagos" localSheetId="24">MATCH(0.01,Transporte!Saldo_final,-1)+1</definedName>
    <definedName name="Número_de_pagos">MATCH(0.01,Saldo_final,-1)+1</definedName>
    <definedName name="Operación_Terminal">#REF!</definedName>
    <definedName name="OPRES10">#REF!</definedName>
    <definedName name="OPRES20">#REF!</definedName>
    <definedName name="pago" localSheetId="5">#N/A</definedName>
    <definedName name="pago">#N/A</definedName>
    <definedName name="Pago_adicional" localSheetId="26">#REF!</definedName>
    <definedName name="Pago_adicional" localSheetId="5">'[2]Ptmo P'!$E$18:$E$497</definedName>
    <definedName name="Pago_adicional" localSheetId="1">#REF!</definedName>
    <definedName name="Pago_adicional" localSheetId="23">'[2]Ptmo P'!$E$18:$E$497</definedName>
    <definedName name="Pago_adicional" localSheetId="4">#REF!</definedName>
    <definedName name="Pago_adicional" localSheetId="24">#REF!</definedName>
    <definedName name="Pago_adicional">#REF!</definedName>
    <definedName name="Pago_mensual_programado" localSheetId="26">#REF!</definedName>
    <definedName name="Pago_mensual_programado" localSheetId="5">'[2]Ptmo P'!$J$5</definedName>
    <definedName name="Pago_mensual_programado" localSheetId="1">#REF!</definedName>
    <definedName name="Pago_mensual_programado" localSheetId="23">'[2]Ptmo P'!$J$5</definedName>
    <definedName name="Pago_mensual_programado" localSheetId="4">#REF!</definedName>
    <definedName name="Pago_mensual_programado" localSheetId="24">#REF!</definedName>
    <definedName name="Pago_mensual_programado">#REF!</definedName>
    <definedName name="Pago_progr" localSheetId="26">#REF!</definedName>
    <definedName name="Pago_progr" localSheetId="5">'[2]Ptmo P'!$D$18:$D$497</definedName>
    <definedName name="Pago_progr" localSheetId="1">#REF!</definedName>
    <definedName name="Pago_progr" localSheetId="23">'[2]Ptmo P'!$D$18:$D$497</definedName>
    <definedName name="Pago_progr" localSheetId="4">#REF!</definedName>
    <definedName name="Pago_progr" localSheetId="24">#REF!</definedName>
    <definedName name="Pago_progr">#REF!</definedName>
    <definedName name="Pago_total" localSheetId="26">#REF!</definedName>
    <definedName name="Pago_total" localSheetId="5">'[2]Ptmo P'!$F$18:$F$497</definedName>
    <definedName name="Pago_total" localSheetId="1">#REF!</definedName>
    <definedName name="Pago_total" localSheetId="23">'[2]Ptmo P'!$F$18:$F$497</definedName>
    <definedName name="Pago_total" localSheetId="4">#REF!</definedName>
    <definedName name="Pago_total" localSheetId="24">#REF!</definedName>
    <definedName name="Pago_total">#REF!</definedName>
    <definedName name="Pagos_adicionales_programados" localSheetId="26">#REF!</definedName>
    <definedName name="Pagos_adicionales_programados" localSheetId="5">'[2]Ptmo P'!$D$10</definedName>
    <definedName name="Pagos_adicionales_programados" localSheetId="1">#REF!</definedName>
    <definedName name="Pagos_adicionales_programados" localSheetId="23">'[2]Ptmo P'!$D$10</definedName>
    <definedName name="Pagos_adicionales_programados" localSheetId="4">#REF!</definedName>
    <definedName name="Pagos_adicionales_programados" localSheetId="24">#REF!</definedName>
    <definedName name="Pagos_adicionales_programados">#REF!</definedName>
    <definedName name="pasivo">'[1]B$E'!$I$42</definedName>
    <definedName name="pasivoc">'[1]B$E'!$I$11</definedName>
    <definedName name="patrimonio">'[18]Balance U$$'!#REF!</definedName>
    <definedName name="Payment_Date" localSheetId="5">DATE(YEAR(Loan_Start),MONTH(Loan_Start)+'COTIZACIÓN '!Payment_Number,DAY(Loan_Start))</definedName>
    <definedName name="Payment_Date">DATE(YEAR(Loan_Start),MONTH(Loan_Start)+Payment_Number,DAY(Loan_Start))</definedName>
    <definedName name="Payment_Number" localSheetId="5">ROW()-Header_Row</definedName>
    <definedName name="Payment_Number">ROW()-Header_Row</definedName>
    <definedName name="Postprice_sens" localSheetId="5">'COTIZACIÓN '!#REF!</definedName>
    <definedName name="Postprice_sens">#REF!</definedName>
    <definedName name="PrecioPromedioUSGC">'[19]Fuel-USCG'!$G$5</definedName>
    <definedName name="Premium_CIF" localSheetId="5">'COTIZACIÓN '!#REF!</definedName>
    <definedName name="Premium_CIF">#REF!</definedName>
    <definedName name="Principal" localSheetId="5">-PPMT(Interest_Rate/12,'COTIZACIÓN '!Payment_Number,Number_of_Payments,Loan_Amount)</definedName>
    <definedName name="Principal">-PPMT(Interest_Rate/12,Payment_Number,Number_of_Payments,Loan_Amount)</definedName>
    <definedName name="Promedio">'[20]Integracion Lps'!$P$3</definedName>
    <definedName name="Restablecer_área_de_impresión" localSheetId="26">#N/A</definedName>
    <definedName name="Restablecer_área_de_impresión" localSheetId="5">#N/A</definedName>
    <definedName name="Restablecer_área_de_impresión" localSheetId="1">#N/A</definedName>
    <definedName name="Restablecer_área_de_impresión" localSheetId="23">#N/A</definedName>
    <definedName name="Restablecer_área_de_impresión" localSheetId="4">#N/A</definedName>
    <definedName name="Restablecer_área_de_impresión" localSheetId="24">#N/A</definedName>
    <definedName name="Restablecer_área_de_impresión">OFFSET(Impresión_completa,0,0,[0]!Última_fila)</definedName>
    <definedName name="Saldo_final" localSheetId="26">#REF!</definedName>
    <definedName name="Saldo_final" localSheetId="5">'[2]Ptmo P'!$I$18:$I$497</definedName>
    <definedName name="Saldo_final" localSheetId="1">#REF!</definedName>
    <definedName name="Saldo_final" localSheetId="23">'[2]Ptmo P'!$I$18:$I$497</definedName>
    <definedName name="Saldo_final" localSheetId="4">#REF!</definedName>
    <definedName name="Saldo_final" localSheetId="24">#REF!</definedName>
    <definedName name="Saldo_final">#REF!</definedName>
    <definedName name="Saldo_inicial" localSheetId="26">#REF!</definedName>
    <definedName name="Saldo_inicial" localSheetId="5">'[2]Ptmo P'!$C$18:$C$497</definedName>
    <definedName name="Saldo_inicial" localSheetId="1">#REF!</definedName>
    <definedName name="Saldo_inicial" localSheetId="23">'[2]Ptmo P'!$C$18:$C$497</definedName>
    <definedName name="Saldo_inicial" localSheetId="4">#REF!</definedName>
    <definedName name="Saldo_inicial" localSheetId="24">#REF!</definedName>
    <definedName name="Saldo_inicial">#REF!</definedName>
    <definedName name="Saldo_inicial1" localSheetId="26">#REF!</definedName>
    <definedName name="Saldo_inicial1" localSheetId="5">'COTIZACIÓN '!#REF!</definedName>
    <definedName name="Saldo_inicial1" localSheetId="1">#REF!</definedName>
    <definedName name="Saldo_inicial1" localSheetId="23">#REF!</definedName>
    <definedName name="Saldo_inicial1" localSheetId="4">#REF!</definedName>
    <definedName name="Saldo_inicial1" localSheetId="24">#REF!</definedName>
    <definedName name="Saldo_inicial1">#REF!</definedName>
    <definedName name="SOLVER_INTS" localSheetId="5">'COTIZACIÓN '!#REF!</definedName>
    <definedName name="SOLVER_INTS">#REF!</definedName>
    <definedName name="Subs_sensitivity" localSheetId="5">'COTIZACIÓN '!#REF!</definedName>
    <definedName name="Subs_sensitivity">#REF!</definedName>
    <definedName name="Tasa_de_interés" localSheetId="26">#REF!</definedName>
    <definedName name="Tasa_de_interés" localSheetId="5">'[2]Ptmo P'!$D$6</definedName>
    <definedName name="Tasa_de_interés" localSheetId="1">#REF!</definedName>
    <definedName name="Tasa_de_interés" localSheetId="23">'[2]Ptmo P'!$D$6</definedName>
    <definedName name="Tasa_de_interés" localSheetId="4">#REF!</definedName>
    <definedName name="Tasa_de_interés" localSheetId="24">#REF!</definedName>
    <definedName name="Tasa_de_interés">#REF!</definedName>
    <definedName name="Tasa_de_interés_programada" localSheetId="5">'COTIZACIÓN '!#REF!</definedName>
    <definedName name="Tasa_de_interés_programada" localSheetId="1">#REF!</definedName>
    <definedName name="Tasa_de_interés_programada" localSheetId="23">#REF!</definedName>
    <definedName name="Tasa_de_interés_programada">#REF!</definedName>
    <definedName name="Tasa_Descuento_VPN">'[4]FLUJO DE CAJA'!$C$258</definedName>
    <definedName name="TIR">[6]CF!#REF!</definedName>
    <definedName name="Total_Cost" localSheetId="5">'COTIZACIÓN '!#REF!</definedName>
    <definedName name="Total_Cost">#REF!</definedName>
    <definedName name="Total_Ingresos" localSheetId="5">[6]CF!#REF!</definedName>
    <definedName name="Total_Ingresos">[6]CF!#REF!</definedName>
    <definedName name="Total_Interest" localSheetId="5">'COTIZACIÓN '!#REF!</definedName>
    <definedName name="Total_Interest">#REF!</definedName>
    <definedName name="Última_fila" localSheetId="26">IF('calc mat'!Valores_especificados,'calc mat'!Fila_de_encabezado+'calc mat'!Número_de_pagos,'calc mat'!Fila_de_encabezado)</definedName>
    <definedName name="Última_fila" localSheetId="5">IF('COTIZACIÓN '!Valores_especificados,'COTIZACIÓN '!Fila_de_encabezado+'COTIZACIÓN '!Número_de_pagos,'COTIZACIÓN '!Fila_de_encabezado)</definedName>
    <definedName name="Última_fila" localSheetId="1">IF('Evaluacion TIR-VAN'!Valores_especificados,'Evaluacion TIR-VAN'!Fila_de_encabezado+'Evaluacion TIR-VAN'!Número_de_pagos,'Evaluacion TIR-VAN'!Fila_de_encabezado)</definedName>
    <definedName name="Última_fila" localSheetId="23">IF('MANO DE OBRA '!Valores_especificados,'MANO DE OBRA '!Fila_de_encabezado+'MANO DE OBRA '!Número_de_pagos,'MANO DE OBRA '!Fila_de_encabezado)</definedName>
    <definedName name="Última_fila" localSheetId="4">IF('Resumen para oferta'!Valores_especificados,'Resumen para oferta'!Fila_de_encabezado+'Resumen para oferta'!Número_de_pagos,'Resumen para oferta'!Fila_de_encabezado)</definedName>
    <definedName name="Última_fila" localSheetId="24">IF(Transporte!Valores_especificados,Transporte!Fila_de_encabezado+Transporte!Número_de_pagos,Transporte!Fila_de_encabezado)</definedName>
    <definedName name="Última_fila">#N/A</definedName>
    <definedName name="Un_Millón" localSheetId="5">[21]Capex!#REF!</definedName>
    <definedName name="Un_Millón">[21]Capex!#REF!</definedName>
    <definedName name="US____kW" localSheetId="5">'COTIZACIÓN '!#REF!</definedName>
    <definedName name="US____kW">#REF!</definedName>
    <definedName name="Valores_especificados" localSheetId="26">IF('calc mat'!Importe_del_préstamo*'calc mat'!Tasa_de_interés*'calc mat'!Años_préstamo*'calc mat'!Inicio_prestamo&gt;0,1,0)</definedName>
    <definedName name="Valores_especificados" localSheetId="5">#N/A</definedName>
    <definedName name="Valores_especificados" localSheetId="1">IF('Evaluacion TIR-VAN'!Importe_del_préstamo*'Evaluacion TIR-VAN'!Tasa_de_interés*'Evaluacion TIR-VAN'!Años_préstamo*'Evaluacion TIR-VAN'!Inicio_prestamo&gt;0,1,0)</definedName>
    <definedName name="Valores_especificados" localSheetId="23">#N/A</definedName>
    <definedName name="Valores_especificados" localSheetId="4">IF('Resumen para oferta'!Importe_del_préstamo*'Resumen para oferta'!Tasa_de_interés*'Resumen para oferta'!Años_préstamo*'Resumen para oferta'!Inicio_prestamo&gt;0,1,0)</definedName>
    <definedName name="Valores_especificados" localSheetId="24">IF(Transporte!Importe_del_préstamo*Transporte!Tasa_de_interés*Transporte!Años_préstamo*Transporte!Inicio_prestamo&gt;0,1,0)</definedName>
    <definedName name="Valores_especificados">IF(Importe_del_préstamo*Tasa_de_interés*Años_préstamo*Inicio_prestamo&gt;0,1,0)</definedName>
    <definedName name="Values_Entered" localSheetId="5">IF(Loan_Amount*Interest_Rate*Loan_Years*Loan_Start&gt;0,1,0)</definedName>
    <definedName name="Values_Entered">IF(Loan_Amount*Interest_Rate*Loan_Years*Loan_Start&gt;0,1,0)</definedName>
    <definedName name="valuevx">42.314159</definedName>
    <definedName name="VAN" localSheetId="5">'COTIZACIÓN '!#REF!</definedName>
    <definedName name="VAN">#REF!</definedName>
    <definedName name="ventas">'[16]Resultados Lps'!$D$9</definedName>
    <definedName name="Volumen" localSheetId="1">[3]!Tabla2[volumen]</definedName>
    <definedName name="VPN" localSheetId="5">[6]CF!#REF!</definedName>
    <definedName name="VPN">[6]CF!#REF!</definedName>
    <definedName name="WorkingCapital" localSheetId="1">[3]!Tabla7[workingcapital]</definedName>
    <definedName name="wrn.BoD." localSheetId="5" hidden="1">{#N/A,#N/A,FALSE,"Summary";#N/A,#N/A,FALSE,"GenAssum";#N/A,#N/A,FALSE,"P&amp;L";#N/A,#N/A,FALSE,"CF";#N/A,#N/A,FALSE,"BS"}</definedName>
    <definedName name="wrn.BoD." hidden="1">{#N/A,#N/A,FALSE,"Summary";#N/A,#N/A,FALSE,"GenAssum";#N/A,#N/A,FALSE,"P&amp;L";#N/A,#N/A,FALSE,"CF";#N/A,#N/A,FALSE,"BS"}</definedName>
    <definedName name="wrn.Complete." localSheetId="5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10" l="1"/>
  <c r="M4" i="110"/>
  <c r="E10" i="120" s="1"/>
  <c r="E1" i="9"/>
  <c r="D36" i="120"/>
  <c r="D35" i="120"/>
  <c r="D34" i="120"/>
  <c r="F35" i="120" s="1"/>
  <c r="E11" i="120"/>
  <c r="C11" i="120"/>
  <c r="C18" i="120" s="1"/>
  <c r="B11" i="120"/>
  <c r="B10" i="120"/>
  <c r="F9" i="120"/>
  <c r="G9" i="120" s="1"/>
  <c r="E9" i="120"/>
  <c r="C9" i="120"/>
  <c r="B9" i="120"/>
  <c r="F8" i="120"/>
  <c r="G8" i="120" s="1"/>
  <c r="E8" i="120"/>
  <c r="C8" i="120"/>
  <c r="B8" i="120"/>
  <c r="E7" i="120"/>
  <c r="C7" i="120"/>
  <c r="F7" i="120" s="1"/>
  <c r="G7" i="120" s="1"/>
  <c r="B7" i="120"/>
  <c r="E6" i="120"/>
  <c r="C6" i="120"/>
  <c r="F6" i="120" s="1"/>
  <c r="G6" i="120" s="1"/>
  <c r="B6" i="120"/>
  <c r="E5" i="120"/>
  <c r="C5" i="120"/>
  <c r="F5" i="120" s="1"/>
  <c r="G5" i="120" s="1"/>
  <c r="B5" i="120"/>
  <c r="E4" i="120"/>
  <c r="F4" i="120" s="1"/>
  <c r="B4" i="120"/>
  <c r="I6" i="110"/>
  <c r="C18" i="15"/>
  <c r="J11" i="1"/>
  <c r="J12" i="1"/>
  <c r="J13" i="1"/>
  <c r="J14" i="1"/>
  <c r="J15" i="1"/>
  <c r="J16" i="1"/>
  <c r="J17" i="1"/>
  <c r="J18" i="1"/>
  <c r="J19" i="1"/>
  <c r="G7" i="1"/>
  <c r="G8" i="1"/>
  <c r="G9" i="1"/>
  <c r="G10" i="1"/>
  <c r="G11" i="1"/>
  <c r="H11" i="1" s="1"/>
  <c r="G12" i="1"/>
  <c r="H12" i="1" s="1"/>
  <c r="G13" i="1"/>
  <c r="H13" i="1" s="1"/>
  <c r="G14" i="1"/>
  <c r="G15" i="1"/>
  <c r="G16" i="1"/>
  <c r="G17" i="1"/>
  <c r="G18" i="1"/>
  <c r="G19" i="1"/>
  <c r="H19" i="1" s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E12" i="120" l="1"/>
  <c r="G4" i="120"/>
  <c r="F11" i="120"/>
  <c r="G11" i="120" s="1"/>
  <c r="I19" i="1"/>
  <c r="I11" i="1"/>
  <c r="K11" i="1" s="1"/>
  <c r="H18" i="1"/>
  <c r="I18" i="1" s="1"/>
  <c r="K18" i="1" s="1"/>
  <c r="H10" i="1"/>
  <c r="H17" i="1"/>
  <c r="I17" i="1" s="1"/>
  <c r="K17" i="1" s="1"/>
  <c r="H9" i="1"/>
  <c r="K19" i="1"/>
  <c r="H16" i="1"/>
  <c r="I16" i="1" s="1"/>
  <c r="H8" i="1"/>
  <c r="I8" i="1" s="1"/>
  <c r="H15" i="1"/>
  <c r="H7" i="1"/>
  <c r="I7" i="1" s="1"/>
  <c r="I13" i="1"/>
  <c r="K13" i="1" s="1"/>
  <c r="H14" i="1"/>
  <c r="I12" i="1"/>
  <c r="K12" i="1" s="1"/>
  <c r="I9" i="1" l="1"/>
  <c r="J9" i="1"/>
  <c r="J8" i="1"/>
  <c r="K8" i="1" s="1"/>
  <c r="J7" i="1"/>
  <c r="K7" i="1" s="1"/>
  <c r="L7" i="1" s="1"/>
  <c r="N7" i="1" s="1"/>
  <c r="O7" i="1" s="1"/>
  <c r="P7" i="1" s="1"/>
  <c r="I15" i="1"/>
  <c r="K15" i="1" s="1"/>
  <c r="L15" i="1" s="1"/>
  <c r="M15" i="1" s="1"/>
  <c r="L13" i="1"/>
  <c r="M13" i="1"/>
  <c r="N13" i="1"/>
  <c r="O13" i="1" s="1"/>
  <c r="P13" i="1" s="1"/>
  <c r="L18" i="1"/>
  <c r="M18" i="1" s="1"/>
  <c r="L17" i="1"/>
  <c r="M17" i="1" s="1"/>
  <c r="L19" i="1"/>
  <c r="M19" i="1" s="1"/>
  <c r="I14" i="1"/>
  <c r="K14" i="1" s="1"/>
  <c r="L12" i="1"/>
  <c r="M12" i="1"/>
  <c r="N12" i="1"/>
  <c r="O12" i="1" s="1"/>
  <c r="P12" i="1" s="1"/>
  <c r="I10" i="1"/>
  <c r="J10" i="1" s="1"/>
  <c r="K16" i="1"/>
  <c r="L11" i="1"/>
  <c r="M11" i="1" s="1"/>
  <c r="F6" i="1"/>
  <c r="K9" i="1" l="1"/>
  <c r="L9" i="1" s="1"/>
  <c r="M9" i="1" s="1"/>
  <c r="K10" i="1"/>
  <c r="L10" i="1" s="1"/>
  <c r="M10" i="1" s="1"/>
  <c r="N11" i="1"/>
  <c r="O11" i="1" s="1"/>
  <c r="P11" i="1" s="1"/>
  <c r="N15" i="1"/>
  <c r="O15" i="1" s="1"/>
  <c r="P15" i="1" s="1"/>
  <c r="N17" i="1"/>
  <c r="O17" i="1" s="1"/>
  <c r="P17" i="1" s="1"/>
  <c r="L8" i="1"/>
  <c r="N8" i="1" s="1"/>
  <c r="O8" i="1" s="1"/>
  <c r="P8" i="1" s="1"/>
  <c r="M7" i="1"/>
  <c r="L14" i="1"/>
  <c r="N14" i="1" s="1"/>
  <c r="O14" i="1" s="1"/>
  <c r="M14" i="1"/>
  <c r="N19" i="1"/>
  <c r="O19" i="1" s="1"/>
  <c r="P19" i="1" s="1"/>
  <c r="N18" i="1"/>
  <c r="O18" i="1" s="1"/>
  <c r="P18" i="1" s="1"/>
  <c r="L16" i="1"/>
  <c r="M16" i="1" s="1"/>
  <c r="B24" i="119"/>
  <c r="B25" i="119"/>
  <c r="B26" i="119"/>
  <c r="C24" i="119"/>
  <c r="C25" i="119"/>
  <c r="C26" i="119"/>
  <c r="B22" i="119"/>
  <c r="B23" i="119"/>
  <c r="C23" i="119"/>
  <c r="C22" i="119"/>
  <c r="K21" i="118"/>
  <c r="G5" i="118"/>
  <c r="D21" i="118"/>
  <c r="D12" i="118"/>
  <c r="K22" i="118"/>
  <c r="K6" i="118"/>
  <c r="K7" i="118"/>
  <c r="K8" i="118"/>
  <c r="D37" i="118"/>
  <c r="D6" i="118"/>
  <c r="N9" i="1" l="1"/>
  <c r="O9" i="1" s="1"/>
  <c r="P9" i="1" s="1"/>
  <c r="M8" i="1"/>
  <c r="N16" i="1"/>
  <c r="O16" i="1" s="1"/>
  <c r="P16" i="1" s="1"/>
  <c r="N10" i="1"/>
  <c r="O10" i="1" s="1"/>
  <c r="P10" i="1" s="1"/>
  <c r="P14" i="1"/>
  <c r="J12" i="119"/>
  <c r="C22" i="117"/>
  <c r="H22" i="117"/>
  <c r="C18" i="117"/>
  <c r="C19" i="117"/>
  <c r="C20" i="117"/>
  <c r="C21" i="117"/>
  <c r="H21" i="117"/>
  <c r="H18" i="117"/>
  <c r="H19" i="117"/>
  <c r="H20" i="117"/>
  <c r="H17" i="117"/>
  <c r="C17" i="117"/>
  <c r="D15" i="118"/>
  <c r="D16" i="118" s="1"/>
  <c r="E176" i="118"/>
  <c r="E175" i="118"/>
  <c r="E174" i="118"/>
  <c r="E173" i="118"/>
  <c r="E172" i="118"/>
  <c r="E166" i="118"/>
  <c r="E165" i="118"/>
  <c r="E164" i="118"/>
  <c r="E163" i="118"/>
  <c r="E162" i="118"/>
  <c r="E161" i="118"/>
  <c r="E160" i="118"/>
  <c r="D152" i="118"/>
  <c r="D151" i="118"/>
  <c r="D150" i="118"/>
  <c r="D149" i="118"/>
  <c r="D145" i="118"/>
  <c r="D144" i="118"/>
  <c r="D143" i="118"/>
  <c r="K142" i="118"/>
  <c r="D142" i="118"/>
  <c r="D136" i="118"/>
  <c r="D135" i="118"/>
  <c r="D134" i="118"/>
  <c r="D133" i="118"/>
  <c r="D129" i="118"/>
  <c r="G129" i="118" s="1"/>
  <c r="K128" i="118"/>
  <c r="D128" i="118"/>
  <c r="D127" i="118"/>
  <c r="K126" i="118"/>
  <c r="D126" i="118"/>
  <c r="D120" i="118"/>
  <c r="D119" i="118"/>
  <c r="D118" i="118"/>
  <c r="D117" i="118"/>
  <c r="D113" i="118"/>
  <c r="K112" i="118"/>
  <c r="D112" i="118"/>
  <c r="D111" i="118"/>
  <c r="K110" i="118"/>
  <c r="D110" i="118"/>
  <c r="D104" i="118"/>
  <c r="D103" i="118"/>
  <c r="D102" i="118"/>
  <c r="D101" i="118"/>
  <c r="K98" i="118"/>
  <c r="K99" i="118" s="1"/>
  <c r="D97" i="118"/>
  <c r="D96" i="118"/>
  <c r="D95" i="118"/>
  <c r="D94" i="118"/>
  <c r="E87" i="118"/>
  <c r="E86" i="118"/>
  <c r="E85" i="118"/>
  <c r="E84" i="118"/>
  <c r="E83" i="118"/>
  <c r="E77" i="118"/>
  <c r="E76" i="118"/>
  <c r="E75" i="118"/>
  <c r="E74" i="118"/>
  <c r="E73" i="118"/>
  <c r="E72" i="118"/>
  <c r="E71" i="118"/>
  <c r="D63" i="118"/>
  <c r="D62" i="118"/>
  <c r="D61" i="118"/>
  <c r="D60" i="118"/>
  <c r="N56" i="118"/>
  <c r="D56" i="118"/>
  <c r="G56" i="118" s="1"/>
  <c r="K55" i="118"/>
  <c r="D55" i="118"/>
  <c r="N54" i="118"/>
  <c r="K54" i="118"/>
  <c r="D54" i="118"/>
  <c r="N53" i="118"/>
  <c r="K53" i="118"/>
  <c r="D53" i="118"/>
  <c r="G53" i="118" s="1"/>
  <c r="C48" i="118"/>
  <c r="D47" i="118"/>
  <c r="D46" i="118"/>
  <c r="D45" i="118"/>
  <c r="D44" i="118"/>
  <c r="D40" i="118"/>
  <c r="G40" i="118" s="1"/>
  <c r="L39" i="118"/>
  <c r="D39" i="118"/>
  <c r="N38" i="118"/>
  <c r="L38" i="118"/>
  <c r="D38" i="118"/>
  <c r="G38" i="118" s="1"/>
  <c r="N37" i="118"/>
  <c r="L37" i="118"/>
  <c r="G37" i="118"/>
  <c r="C32" i="118"/>
  <c r="D31" i="118"/>
  <c r="D30" i="118"/>
  <c r="D29" i="118"/>
  <c r="D28" i="118"/>
  <c r="D24" i="118"/>
  <c r="G24" i="118" s="1"/>
  <c r="K23" i="118"/>
  <c r="D23" i="118"/>
  <c r="N22" i="118"/>
  <c r="D22" i="118"/>
  <c r="N21" i="118"/>
  <c r="G21" i="118"/>
  <c r="C16" i="118"/>
  <c r="D14" i="118"/>
  <c r="D13" i="118"/>
  <c r="D8" i="118"/>
  <c r="G8" i="118" s="1"/>
  <c r="G7" i="118"/>
  <c r="D7" i="118"/>
  <c r="N6" i="118"/>
  <c r="N24" i="118" s="1"/>
  <c r="N5" i="118"/>
  <c r="G9" i="118"/>
  <c r="H29" i="103"/>
  <c r="I29" i="103" s="1"/>
  <c r="F7" i="103"/>
  <c r="F8" i="103"/>
  <c r="F9" i="103"/>
  <c r="F10" i="103"/>
  <c r="F11" i="103"/>
  <c r="F12" i="103"/>
  <c r="F13" i="103"/>
  <c r="F14" i="103"/>
  <c r="F15" i="103"/>
  <c r="F16" i="103"/>
  <c r="F17" i="103"/>
  <c r="F18" i="103"/>
  <c r="F19" i="103"/>
  <c r="F20" i="103"/>
  <c r="F21" i="103"/>
  <c r="F22" i="103"/>
  <c r="F23" i="103"/>
  <c r="F24" i="103"/>
  <c r="F25" i="103"/>
  <c r="F26" i="103"/>
  <c r="F27" i="103"/>
  <c r="F28" i="103"/>
  <c r="F29" i="103"/>
  <c r="J29" i="103" s="1"/>
  <c r="K29" i="103" s="1"/>
  <c r="F30" i="103"/>
  <c r="F31" i="103"/>
  <c r="F32" i="103"/>
  <c r="F33" i="103"/>
  <c r="F34" i="103"/>
  <c r="F35" i="103"/>
  <c r="F36" i="103"/>
  <c r="F38" i="103"/>
  <c r="F39" i="103"/>
  <c r="F40" i="103"/>
  <c r="F41" i="103"/>
  <c r="F42" i="103"/>
  <c r="F44" i="103"/>
  <c r="G6" i="1"/>
  <c r="H46" i="117"/>
  <c r="K49" i="117"/>
  <c r="E178" i="118" l="1"/>
  <c r="F178" i="118" s="1"/>
  <c r="E168" i="118"/>
  <c r="F168" i="118" s="1"/>
  <c r="G145" i="118"/>
  <c r="G142" i="118"/>
  <c r="G128" i="118"/>
  <c r="G126" i="118"/>
  <c r="D121" i="118"/>
  <c r="G113" i="118"/>
  <c r="G112" i="118"/>
  <c r="G110" i="118"/>
  <c r="G97" i="118"/>
  <c r="G96" i="118"/>
  <c r="G94" i="118"/>
  <c r="E79" i="118"/>
  <c r="F79" i="118" s="1"/>
  <c r="D64" i="118"/>
  <c r="D48" i="118"/>
  <c r="D32" i="118"/>
  <c r="H6" i="1"/>
  <c r="J6" i="1" s="1"/>
  <c r="K57" i="118"/>
  <c r="L41" i="118"/>
  <c r="K25" i="118"/>
  <c r="G54" i="118"/>
  <c r="G55" i="118"/>
  <c r="G57" i="118" s="1"/>
  <c r="G39" i="118"/>
  <c r="G41" i="118" s="1"/>
  <c r="G22" i="118"/>
  <c r="G23" i="118"/>
  <c r="G6" i="118"/>
  <c r="K111" i="118"/>
  <c r="K114" i="118" s="1"/>
  <c r="K115" i="118" s="1"/>
  <c r="E89" i="118"/>
  <c r="F89" i="118" s="1"/>
  <c r="G143" i="118"/>
  <c r="K143" i="118"/>
  <c r="K144" i="118"/>
  <c r="D105" i="118"/>
  <c r="G111" i="118"/>
  <c r="G144" i="118"/>
  <c r="G95" i="118"/>
  <c r="G127" i="118"/>
  <c r="D137" i="118"/>
  <c r="D153" i="118"/>
  <c r="H9" i="103"/>
  <c r="I9" i="103" s="1"/>
  <c r="M29" i="103"/>
  <c r="L29" i="103"/>
  <c r="I6" i="1" l="1"/>
  <c r="K6" i="1"/>
  <c r="I26" i="119"/>
  <c r="J26" i="119" s="1"/>
  <c r="K146" i="118"/>
  <c r="K147" i="118" s="1"/>
  <c r="G146" i="118"/>
  <c r="G147" i="118" s="1"/>
  <c r="G130" i="118"/>
  <c r="G131" i="118" s="1"/>
  <c r="G114" i="118"/>
  <c r="G115" i="118" s="1"/>
  <c r="G98" i="118"/>
  <c r="G99" i="118" s="1"/>
  <c r="G25" i="118"/>
  <c r="K127" i="118"/>
  <c r="K130" i="118" s="1"/>
  <c r="K131" i="118" s="1"/>
  <c r="N29" i="103"/>
  <c r="O29" i="103" s="1"/>
  <c r="J9" i="103"/>
  <c r="I24" i="119" l="1"/>
  <c r="J24" i="119" s="1"/>
  <c r="L6" i="1"/>
  <c r="N6" i="1" s="1"/>
  <c r="O6" i="1" s="1"/>
  <c r="P6" i="1" s="1"/>
  <c r="J17" i="117"/>
  <c r="K17" i="117" s="1"/>
  <c r="K9" i="103"/>
  <c r="L9" i="103"/>
  <c r="M9" i="103"/>
  <c r="J2" i="115"/>
  <c r="E9" i="103"/>
  <c r="E10" i="103"/>
  <c r="E11" i="103"/>
  <c r="S1" i="115"/>
  <c r="S4" i="115"/>
  <c r="S5" i="115" s="1"/>
  <c r="S6" i="115"/>
  <c r="D2" i="115"/>
  <c r="C2" i="115" s="1"/>
  <c r="F2" i="115"/>
  <c r="H2" i="115"/>
  <c r="M6" i="1" l="1"/>
  <c r="I25" i="119"/>
  <c r="J25" i="119" s="1"/>
  <c r="N9" i="103"/>
  <c r="O9" i="103" s="1"/>
  <c r="S7" i="115"/>
  <c r="C23" i="117" l="1"/>
  <c r="C24" i="117"/>
  <c r="C25" i="117"/>
  <c r="F8" i="117"/>
  <c r="F6" i="117"/>
  <c r="F5" i="117"/>
  <c r="F4" i="117"/>
  <c r="F3" i="117"/>
  <c r="F2" i="117"/>
  <c r="F7" i="117" l="1"/>
  <c r="F9" i="117" l="1"/>
  <c r="F10" i="117" s="1"/>
  <c r="C4" i="116" l="1"/>
  <c r="G3" i="116"/>
  <c r="I3" i="116" s="1"/>
  <c r="I5" i="118" s="1"/>
  <c r="K5" i="118" s="1"/>
  <c r="K9" i="118" l="1"/>
  <c r="E44" i="110"/>
  <c r="D44" i="110"/>
  <c r="E43" i="110"/>
  <c r="D43" i="110"/>
  <c r="E42" i="110"/>
  <c r="D42" i="110"/>
  <c r="E41" i="110"/>
  <c r="D41" i="110"/>
  <c r="C38" i="110"/>
  <c r="D45" i="110" l="1"/>
  <c r="A33" i="110" s="1"/>
  <c r="B33" i="110" s="1"/>
  <c r="E45" i="110"/>
  <c r="A31" i="110" s="1"/>
  <c r="B31" i="110" s="1"/>
  <c r="B35" i="110"/>
  <c r="C33" i="110"/>
  <c r="B36" i="110"/>
  <c r="C31" i="110"/>
  <c r="E10" i="15" l="1"/>
  <c r="U1" i="115" l="1"/>
  <c r="Q1" i="115"/>
  <c r="O1" i="115"/>
  <c r="M1" i="115"/>
  <c r="K1" i="115"/>
  <c r="I1" i="115"/>
  <c r="I21" i="115"/>
  <c r="D21" i="115"/>
  <c r="C21" i="115"/>
  <c r="G21" i="115" s="1"/>
  <c r="C10" i="115"/>
  <c r="U2" i="115"/>
  <c r="U4" i="115" s="1"/>
  <c r="Q2" i="115"/>
  <c r="Q6" i="115" s="1"/>
  <c r="O2" i="115"/>
  <c r="O6" i="115" s="1"/>
  <c r="M2" i="115"/>
  <c r="M3" i="115" s="1"/>
  <c r="K2" i="115"/>
  <c r="K3" i="115" s="1"/>
  <c r="I2" i="115"/>
  <c r="I4" i="115" s="1"/>
  <c r="G2" i="115"/>
  <c r="G4" i="115" s="1"/>
  <c r="E2" i="115"/>
  <c r="E6" i="115" s="1"/>
  <c r="Q3" i="115" l="1"/>
  <c r="O4" i="115"/>
  <c r="O5" i="115" s="1"/>
  <c r="M4" i="115"/>
  <c r="M7" i="115" s="1"/>
  <c r="C9" i="115"/>
  <c r="O3" i="115"/>
  <c r="O7" i="115"/>
  <c r="K4" i="115"/>
  <c r="K7" i="115" s="1"/>
  <c r="C11" i="115"/>
  <c r="U5" i="115"/>
  <c r="U7" i="115"/>
  <c r="G7" i="115"/>
  <c r="G5" i="115"/>
  <c r="I7" i="115"/>
  <c r="I5" i="115"/>
  <c r="U6" i="115"/>
  <c r="C3" i="115"/>
  <c r="G6" i="115"/>
  <c r="E3" i="115"/>
  <c r="U3" i="115"/>
  <c r="Q4" i="115"/>
  <c r="M5" i="115"/>
  <c r="I6" i="115"/>
  <c r="G3" i="115"/>
  <c r="C4" i="115"/>
  <c r="K6" i="115"/>
  <c r="I3" i="115"/>
  <c r="E4" i="115"/>
  <c r="M6" i="115"/>
  <c r="C6" i="115"/>
  <c r="K5" i="115" l="1"/>
  <c r="C5" i="115"/>
  <c r="C15" i="115"/>
  <c r="C7" i="115"/>
  <c r="C12" i="115"/>
  <c r="E5" i="115"/>
  <c r="E7" i="115"/>
  <c r="C14" i="115"/>
  <c r="Q7" i="115"/>
  <c r="Q5" i="115"/>
  <c r="C16" i="115" l="1"/>
  <c r="C13" i="115"/>
  <c r="F21" i="102" l="1"/>
  <c r="G21" i="102" s="1"/>
  <c r="E21" i="102"/>
  <c r="F20" i="102"/>
  <c r="E20" i="102"/>
  <c r="F19" i="102"/>
  <c r="G19" i="102" s="1"/>
  <c r="E19" i="102"/>
  <c r="E18" i="102"/>
  <c r="F18" i="102"/>
  <c r="G18" i="102" s="1"/>
  <c r="H21" i="102" l="1"/>
  <c r="I21" i="102" s="1"/>
  <c r="J21" i="102" s="1"/>
  <c r="H19" i="102"/>
  <c r="G20" i="102"/>
  <c r="H20" i="102" s="1"/>
  <c r="H18" i="102"/>
  <c r="I19" i="102" l="1"/>
  <c r="J19" i="102" s="1"/>
  <c r="K21" i="102"/>
  <c r="L21" i="102" s="1"/>
  <c r="I20" i="102"/>
  <c r="J20" i="102" s="1"/>
  <c r="I18" i="102"/>
  <c r="J18" i="102" s="1"/>
  <c r="M21" i="102" l="1"/>
  <c r="K19" i="102"/>
  <c r="L19" i="102" s="1"/>
  <c r="K20" i="102"/>
  <c r="L20" i="102" s="1"/>
  <c r="K18" i="102"/>
  <c r="L18" i="102" s="1"/>
  <c r="M20" i="102" l="1"/>
  <c r="N20" i="102" s="1"/>
  <c r="O20" i="102" s="1"/>
  <c r="N21" i="102"/>
  <c r="O21" i="102" s="1"/>
  <c r="M19" i="102"/>
  <c r="M18" i="102"/>
  <c r="E13" i="102"/>
  <c r="F13" i="102"/>
  <c r="G13" i="102" s="1"/>
  <c r="N18" i="102" l="1"/>
  <c r="O18" i="102" s="1"/>
  <c r="N19" i="102"/>
  <c r="O19" i="102" s="1"/>
  <c r="I13" i="102"/>
  <c r="H13" i="102"/>
  <c r="J13" i="102" l="1"/>
  <c r="K13" i="102"/>
  <c r="L13" i="102" s="1"/>
  <c r="M13" i="102" l="1"/>
  <c r="F15" i="110"/>
  <c r="G15" i="110" s="1"/>
  <c r="E15" i="110"/>
  <c r="F14" i="110"/>
  <c r="E14" i="110"/>
  <c r="F13" i="110"/>
  <c r="G13" i="110" s="1"/>
  <c r="E13" i="110"/>
  <c r="F12" i="110"/>
  <c r="G12" i="110" s="1"/>
  <c r="E12" i="110"/>
  <c r="F11" i="110"/>
  <c r="E11" i="110"/>
  <c r="F10" i="110"/>
  <c r="E10" i="110"/>
  <c r="F9" i="110"/>
  <c r="E9" i="110"/>
  <c r="F8" i="110"/>
  <c r="E8" i="110"/>
  <c r="F7" i="110"/>
  <c r="G7" i="110" s="1"/>
  <c r="E7" i="110"/>
  <c r="F6" i="110"/>
  <c r="G6" i="110" s="1"/>
  <c r="E6" i="110"/>
  <c r="E1" i="110"/>
  <c r="I7" i="110" l="1"/>
  <c r="N13" i="102"/>
  <c r="O13" i="102" s="1"/>
  <c r="G11" i="110"/>
  <c r="H11" i="110" s="1"/>
  <c r="E17" i="110"/>
  <c r="E22" i="110" s="1"/>
  <c r="H6" i="110"/>
  <c r="G14" i="110"/>
  <c r="H7" i="110"/>
  <c r="H12" i="110"/>
  <c r="I12" i="110" s="1"/>
  <c r="G10" i="110"/>
  <c r="H15" i="110"/>
  <c r="H13" i="110"/>
  <c r="I13" i="110" s="1"/>
  <c r="G8" i="110"/>
  <c r="G9" i="110"/>
  <c r="H9" i="110" s="1"/>
  <c r="H8" i="110" l="1"/>
  <c r="I8" i="110"/>
  <c r="I11" i="110"/>
  <c r="J11" i="110" s="1"/>
  <c r="J12" i="110"/>
  <c r="K12" i="110" s="1"/>
  <c r="L12" i="110" s="1"/>
  <c r="J13" i="110"/>
  <c r="K13" i="110" s="1"/>
  <c r="L13" i="110" s="1"/>
  <c r="J7" i="110"/>
  <c r="I9" i="110"/>
  <c r="H10" i="110"/>
  <c r="I10" i="110"/>
  <c r="H14" i="110"/>
  <c r="I14" i="110"/>
  <c r="I15" i="110"/>
  <c r="J15" i="110" s="1"/>
  <c r="J6" i="110"/>
  <c r="J9" i="110"/>
  <c r="J8" i="110" l="1"/>
  <c r="K8" i="110" s="1"/>
  <c r="L8" i="110" s="1"/>
  <c r="K11" i="110"/>
  <c r="L11" i="110" s="1"/>
  <c r="K15" i="110"/>
  <c r="L15" i="110" s="1"/>
  <c r="M13" i="110"/>
  <c r="N13" i="110" s="1"/>
  <c r="O13" i="110" s="1"/>
  <c r="J14" i="110"/>
  <c r="M12" i="110"/>
  <c r="N12" i="110" s="1"/>
  <c r="O12" i="110" s="1"/>
  <c r="K7" i="110"/>
  <c r="L7" i="110" s="1"/>
  <c r="J10" i="110"/>
  <c r="K6" i="110"/>
  <c r="M6" i="110" s="1"/>
  <c r="N6" i="110" s="1"/>
  <c r="O6" i="110" s="1"/>
  <c r="K9" i="110"/>
  <c r="L9" i="110" s="1"/>
  <c r="M7" i="110" l="1"/>
  <c r="N7" i="110" s="1"/>
  <c r="O7" i="110" s="1"/>
  <c r="M8" i="110"/>
  <c r="N8" i="110" s="1"/>
  <c r="O8" i="110" s="1"/>
  <c r="M9" i="110"/>
  <c r="N9" i="110" s="1"/>
  <c r="O9" i="110" s="1"/>
  <c r="L6" i="110"/>
  <c r="M15" i="110"/>
  <c r="N15" i="110" s="1"/>
  <c r="O15" i="110" s="1"/>
  <c r="K10" i="110"/>
  <c r="L10" i="110" s="1"/>
  <c r="K14" i="110"/>
  <c r="L14" i="110" s="1"/>
  <c r="M11" i="110"/>
  <c r="N11" i="110" s="1"/>
  <c r="O11" i="110" s="1"/>
  <c r="L17" i="110" l="1"/>
  <c r="C10" i="120" s="1"/>
  <c r="M10" i="110"/>
  <c r="N10" i="110" s="1"/>
  <c r="O10" i="110" s="1"/>
  <c r="M14" i="110"/>
  <c r="N14" i="110" s="1"/>
  <c r="O14" i="110" s="1"/>
  <c r="D35" i="15"/>
  <c r="D36" i="15"/>
  <c r="D34" i="15"/>
  <c r="F35" i="15" s="1"/>
  <c r="O17" i="110" l="1"/>
  <c r="F10" i="120"/>
  <c r="C12" i="120"/>
  <c r="D10" i="120" s="1"/>
  <c r="F10" i="114"/>
  <c r="E10" i="114"/>
  <c r="F11" i="114"/>
  <c r="G11" i="114" s="1"/>
  <c r="E11" i="114"/>
  <c r="F9" i="114"/>
  <c r="E9" i="114"/>
  <c r="F12" i="114"/>
  <c r="G12" i="114" s="1"/>
  <c r="E12" i="114"/>
  <c r="E14" i="114"/>
  <c r="F14" i="114"/>
  <c r="K29" i="117" l="1"/>
  <c r="O18" i="110"/>
  <c r="D11" i="120"/>
  <c r="D6" i="120"/>
  <c r="D7" i="120"/>
  <c r="D8" i="120"/>
  <c r="D5" i="120"/>
  <c r="D4" i="120"/>
  <c r="C16" i="120"/>
  <c r="D9" i="120"/>
  <c r="G10" i="120"/>
  <c r="G12" i="120" s="1"/>
  <c r="F12" i="120"/>
  <c r="G10" i="114"/>
  <c r="H10" i="114" s="1"/>
  <c r="G9" i="114"/>
  <c r="H9" i="114" s="1"/>
  <c r="H11" i="114"/>
  <c r="H12" i="114"/>
  <c r="G14" i="114"/>
  <c r="D12" i="120" l="1"/>
  <c r="C15" i="120"/>
  <c r="I15" i="120"/>
  <c r="I17" i="120" s="1"/>
  <c r="I23" i="120" s="1"/>
  <c r="I9" i="114"/>
  <c r="J9" i="114" s="1"/>
  <c r="I11" i="114"/>
  <c r="J11" i="114" s="1"/>
  <c r="I12" i="114"/>
  <c r="J12" i="114" s="1"/>
  <c r="H14" i="114"/>
  <c r="I14" i="114" s="1"/>
  <c r="J14" i="114" s="1"/>
  <c r="I10" i="114"/>
  <c r="J10" i="114" s="1"/>
  <c r="C17" i="120" l="1"/>
  <c r="C20" i="120"/>
  <c r="K12" i="114"/>
  <c r="L12" i="114" s="1"/>
  <c r="K11" i="114"/>
  <c r="L11" i="114" s="1"/>
  <c r="K10" i="114"/>
  <c r="L10" i="114" s="1"/>
  <c r="K9" i="114"/>
  <c r="L9" i="114" s="1"/>
  <c r="K14" i="114"/>
  <c r="L14" i="114" s="1"/>
  <c r="C21" i="120" l="1"/>
  <c r="C24" i="120" s="1"/>
  <c r="D25" i="120" s="1"/>
  <c r="C25" i="120" s="1"/>
  <c r="C26" i="120" s="1"/>
  <c r="M14" i="114"/>
  <c r="N14" i="114" s="1"/>
  <c r="O14" i="114" s="1"/>
  <c r="M12" i="114"/>
  <c r="N12" i="114" s="1"/>
  <c r="O12" i="114" s="1"/>
  <c r="M11" i="114"/>
  <c r="N11" i="114" s="1"/>
  <c r="O11" i="114" s="1"/>
  <c r="M10" i="114"/>
  <c r="N10" i="114" s="1"/>
  <c r="O10" i="114" s="1"/>
  <c r="M9" i="114"/>
  <c r="N9" i="114" s="1"/>
  <c r="O9" i="114" s="1"/>
  <c r="F7" i="100"/>
  <c r="F8" i="100"/>
  <c r="F9" i="100"/>
  <c r="F10" i="100"/>
  <c r="F11" i="100"/>
  <c r="F12" i="100"/>
  <c r="F14" i="100"/>
  <c r="G14" i="100" s="1"/>
  <c r="H14" i="100" s="1"/>
  <c r="F15" i="100"/>
  <c r="F16" i="100"/>
  <c r="F17" i="100"/>
  <c r="F18" i="100"/>
  <c r="F20" i="100"/>
  <c r="F6" i="101"/>
  <c r="F7" i="101"/>
  <c r="F8" i="101"/>
  <c r="G8" i="101" s="1"/>
  <c r="F9" i="101"/>
  <c r="F10" i="101"/>
  <c r="G10" i="101" s="1"/>
  <c r="H10" i="101" s="1"/>
  <c r="F11" i="101"/>
  <c r="F13" i="101"/>
  <c r="G13" i="101" s="1"/>
  <c r="F14" i="101"/>
  <c r="F15" i="101"/>
  <c r="F16" i="101"/>
  <c r="F17" i="101"/>
  <c r="G17" i="101" s="1"/>
  <c r="H17" i="101" s="1"/>
  <c r="F19" i="101"/>
  <c r="G11" i="103"/>
  <c r="G15" i="103"/>
  <c r="G23" i="103"/>
  <c r="G27" i="103"/>
  <c r="G33" i="103"/>
  <c r="G35" i="103"/>
  <c r="G36" i="103"/>
  <c r="G39" i="103"/>
  <c r="G40" i="103"/>
  <c r="G42" i="103"/>
  <c r="F7" i="104"/>
  <c r="F8" i="104"/>
  <c r="F9" i="104"/>
  <c r="G9" i="104" s="1"/>
  <c r="F10" i="104"/>
  <c r="F11" i="104"/>
  <c r="F12" i="104"/>
  <c r="F13" i="104"/>
  <c r="F14" i="104"/>
  <c r="G14" i="104" s="1"/>
  <c r="H14" i="104" s="1"/>
  <c r="F15" i="104"/>
  <c r="F16" i="104"/>
  <c r="F17" i="104"/>
  <c r="F18" i="104"/>
  <c r="G18" i="104" s="1"/>
  <c r="F19" i="104"/>
  <c r="F20" i="104"/>
  <c r="F7" i="105"/>
  <c r="F8" i="105"/>
  <c r="F9" i="105"/>
  <c r="G9" i="105" s="1"/>
  <c r="F10" i="105"/>
  <c r="F11" i="105"/>
  <c r="G11" i="105" s="1"/>
  <c r="F12" i="105"/>
  <c r="F13" i="105"/>
  <c r="F14" i="105"/>
  <c r="F15" i="105"/>
  <c r="F16" i="105"/>
  <c r="F17" i="105"/>
  <c r="F18" i="105"/>
  <c r="F19" i="105"/>
  <c r="F20" i="105"/>
  <c r="F7" i="106"/>
  <c r="F8" i="106"/>
  <c r="F9" i="106"/>
  <c r="F10" i="106"/>
  <c r="F11" i="106"/>
  <c r="F12" i="106"/>
  <c r="F13" i="106"/>
  <c r="F14" i="106"/>
  <c r="F15" i="106"/>
  <c r="F16" i="106"/>
  <c r="F17" i="106"/>
  <c r="F18" i="106"/>
  <c r="F19" i="106"/>
  <c r="F20" i="106"/>
  <c r="F7" i="107"/>
  <c r="F8" i="107"/>
  <c r="F9" i="107"/>
  <c r="F10" i="107"/>
  <c r="F11" i="107"/>
  <c r="F12" i="107"/>
  <c r="F13" i="107"/>
  <c r="F14" i="107"/>
  <c r="G14" i="107" s="1"/>
  <c r="F15" i="107"/>
  <c r="G15" i="107" s="1"/>
  <c r="F16" i="107"/>
  <c r="F17" i="107"/>
  <c r="F18" i="107"/>
  <c r="F19" i="107"/>
  <c r="F20" i="107"/>
  <c r="F7" i="108"/>
  <c r="F8" i="108"/>
  <c r="F9" i="108"/>
  <c r="F10" i="108"/>
  <c r="F11" i="108"/>
  <c r="F12" i="108"/>
  <c r="F13" i="108"/>
  <c r="F14" i="108"/>
  <c r="F15" i="108"/>
  <c r="F16" i="108"/>
  <c r="F17" i="108"/>
  <c r="F18" i="108"/>
  <c r="G18" i="108" s="1"/>
  <c r="F19" i="108"/>
  <c r="F20" i="108"/>
  <c r="F7" i="109"/>
  <c r="F8" i="109"/>
  <c r="F9" i="109"/>
  <c r="F10" i="109"/>
  <c r="F11" i="109"/>
  <c r="F12" i="109"/>
  <c r="F13" i="109"/>
  <c r="F14" i="109"/>
  <c r="G14" i="109" s="1"/>
  <c r="H14" i="109" s="1"/>
  <c r="F15" i="109"/>
  <c r="F16" i="109"/>
  <c r="F17" i="109"/>
  <c r="F18" i="109"/>
  <c r="F19" i="109"/>
  <c r="F20" i="109"/>
  <c r="F7" i="111"/>
  <c r="F8" i="111"/>
  <c r="F9" i="111"/>
  <c r="F10" i="111"/>
  <c r="F11" i="111"/>
  <c r="F12" i="111"/>
  <c r="F13" i="111"/>
  <c r="F14" i="111"/>
  <c r="F15" i="111"/>
  <c r="F16" i="111"/>
  <c r="F17" i="111"/>
  <c r="F18" i="111"/>
  <c r="F19" i="111"/>
  <c r="F20" i="111"/>
  <c r="F7" i="112"/>
  <c r="G7" i="112" s="1"/>
  <c r="F8" i="112"/>
  <c r="F9" i="112"/>
  <c r="G9" i="112" s="1"/>
  <c r="H9" i="112" s="1"/>
  <c r="F10" i="112"/>
  <c r="F11" i="112"/>
  <c r="F12" i="112"/>
  <c r="F13" i="112"/>
  <c r="F14" i="112"/>
  <c r="G14" i="112" s="1"/>
  <c r="H14" i="112" s="1"/>
  <c r="F15" i="112"/>
  <c r="G15" i="112" s="1"/>
  <c r="F16" i="112"/>
  <c r="F17" i="112"/>
  <c r="F18" i="112"/>
  <c r="F19" i="112"/>
  <c r="F20" i="112"/>
  <c r="F7" i="113"/>
  <c r="F8" i="113"/>
  <c r="F9" i="113"/>
  <c r="F10" i="113"/>
  <c r="F11" i="113"/>
  <c r="F12" i="113"/>
  <c r="F13" i="113"/>
  <c r="F14" i="113"/>
  <c r="F15" i="113"/>
  <c r="F16" i="113"/>
  <c r="F17" i="113"/>
  <c r="G17" i="113" s="1"/>
  <c r="F18" i="113"/>
  <c r="G18" i="113" s="1"/>
  <c r="F19" i="113"/>
  <c r="F20" i="113"/>
  <c r="F6" i="114"/>
  <c r="F7" i="114"/>
  <c r="F8" i="114"/>
  <c r="F13" i="114"/>
  <c r="F16" i="114"/>
  <c r="F17" i="114"/>
  <c r="G17" i="114" s="1"/>
  <c r="F18" i="114"/>
  <c r="F19" i="114"/>
  <c r="G19" i="114" s="1"/>
  <c r="F20" i="114"/>
  <c r="G20" i="114" s="1"/>
  <c r="H20" i="114" s="1"/>
  <c r="F22" i="114"/>
  <c r="I7" i="113"/>
  <c r="I8" i="113"/>
  <c r="I9" i="113"/>
  <c r="I10" i="113"/>
  <c r="I11" i="113"/>
  <c r="I12" i="113"/>
  <c r="I13" i="113"/>
  <c r="I14" i="113"/>
  <c r="I15" i="113"/>
  <c r="I16" i="113"/>
  <c r="I17" i="113"/>
  <c r="I18" i="113"/>
  <c r="I19" i="113"/>
  <c r="I20" i="113"/>
  <c r="I6" i="113"/>
  <c r="I7" i="112"/>
  <c r="I8" i="112"/>
  <c r="I9" i="112"/>
  <c r="I10" i="112"/>
  <c r="I11" i="112"/>
  <c r="I12" i="112"/>
  <c r="I13" i="112"/>
  <c r="I14" i="112"/>
  <c r="I15" i="112"/>
  <c r="I16" i="112"/>
  <c r="I17" i="112"/>
  <c r="I18" i="112"/>
  <c r="I19" i="112"/>
  <c r="I20" i="112"/>
  <c r="I6" i="112"/>
  <c r="I7" i="111"/>
  <c r="I8" i="111"/>
  <c r="I9" i="111"/>
  <c r="I10" i="111"/>
  <c r="I11" i="111"/>
  <c r="I12" i="111"/>
  <c r="I13" i="111"/>
  <c r="I14" i="111"/>
  <c r="I15" i="111"/>
  <c r="I16" i="111"/>
  <c r="I17" i="111"/>
  <c r="I18" i="111"/>
  <c r="I19" i="111"/>
  <c r="I20" i="111"/>
  <c r="I6" i="111"/>
  <c r="I7" i="109"/>
  <c r="I8" i="109"/>
  <c r="I9" i="109"/>
  <c r="I10" i="109"/>
  <c r="I11" i="109"/>
  <c r="I12" i="109"/>
  <c r="I13" i="109"/>
  <c r="I14" i="109"/>
  <c r="I15" i="109"/>
  <c r="I16" i="109"/>
  <c r="I17" i="109"/>
  <c r="I18" i="109"/>
  <c r="I19" i="109"/>
  <c r="I20" i="109"/>
  <c r="I6" i="109"/>
  <c r="I7" i="108"/>
  <c r="I8" i="108"/>
  <c r="I9" i="108"/>
  <c r="I10" i="108"/>
  <c r="I11" i="108"/>
  <c r="I12" i="108"/>
  <c r="I13" i="108"/>
  <c r="I14" i="108"/>
  <c r="I15" i="108"/>
  <c r="I16" i="108"/>
  <c r="I17" i="108"/>
  <c r="I18" i="108"/>
  <c r="I19" i="108"/>
  <c r="I20" i="108"/>
  <c r="I6" i="108"/>
  <c r="I7" i="107"/>
  <c r="I8" i="107"/>
  <c r="I9" i="107"/>
  <c r="I10" i="107"/>
  <c r="I11" i="107"/>
  <c r="I12" i="107"/>
  <c r="I13" i="107"/>
  <c r="I14" i="107"/>
  <c r="I15" i="107"/>
  <c r="I16" i="107"/>
  <c r="I17" i="107"/>
  <c r="I18" i="107"/>
  <c r="I19" i="107"/>
  <c r="I20" i="107"/>
  <c r="I6" i="107"/>
  <c r="I7" i="106"/>
  <c r="I8" i="106"/>
  <c r="I9" i="106"/>
  <c r="I10" i="106"/>
  <c r="I11" i="106"/>
  <c r="I12" i="106"/>
  <c r="I13" i="106"/>
  <c r="I14" i="106"/>
  <c r="I15" i="106"/>
  <c r="I16" i="106"/>
  <c r="I17" i="106"/>
  <c r="I18" i="106"/>
  <c r="I19" i="106"/>
  <c r="I20" i="106"/>
  <c r="I6" i="106"/>
  <c r="I7" i="105"/>
  <c r="I8" i="105"/>
  <c r="I9" i="105"/>
  <c r="I10" i="105"/>
  <c r="I11" i="105"/>
  <c r="I12" i="105"/>
  <c r="I13" i="105"/>
  <c r="I14" i="105"/>
  <c r="I15" i="105"/>
  <c r="I16" i="105"/>
  <c r="I17" i="105"/>
  <c r="I18" i="105"/>
  <c r="I19" i="105"/>
  <c r="I20" i="105"/>
  <c r="I6" i="105"/>
  <c r="I7" i="104"/>
  <c r="I8" i="104"/>
  <c r="I9" i="104"/>
  <c r="I10" i="104"/>
  <c r="I11" i="104"/>
  <c r="I12" i="104"/>
  <c r="I13" i="104"/>
  <c r="I14" i="104"/>
  <c r="I15" i="104"/>
  <c r="I16" i="104"/>
  <c r="I17" i="104"/>
  <c r="I18" i="104"/>
  <c r="I19" i="104"/>
  <c r="I20" i="104"/>
  <c r="I6" i="104"/>
  <c r="I10" i="101"/>
  <c r="G9" i="100"/>
  <c r="G15" i="100"/>
  <c r="F7" i="9"/>
  <c r="F8" i="9"/>
  <c r="F9" i="9"/>
  <c r="F10" i="9"/>
  <c r="G10" i="9" s="1"/>
  <c r="F11" i="9"/>
  <c r="G11" i="9" s="1"/>
  <c r="F12" i="9"/>
  <c r="G12" i="9" s="1"/>
  <c r="F13" i="9"/>
  <c r="F14" i="9"/>
  <c r="G14" i="9" s="1"/>
  <c r="F15" i="9"/>
  <c r="F7" i="102"/>
  <c r="G7" i="102" s="1"/>
  <c r="H7" i="102" s="1"/>
  <c r="I7" i="102" s="1"/>
  <c r="F8" i="102"/>
  <c r="F9" i="102"/>
  <c r="F10" i="102"/>
  <c r="F11" i="102"/>
  <c r="F14" i="102"/>
  <c r="G14" i="102" s="1"/>
  <c r="F15" i="102"/>
  <c r="G15" i="102" s="1"/>
  <c r="H15" i="102" s="1"/>
  <c r="F16" i="102"/>
  <c r="G16" i="102" s="1"/>
  <c r="F17" i="102"/>
  <c r="G17" i="102" s="1"/>
  <c r="H17" i="102" s="1"/>
  <c r="F23" i="102"/>
  <c r="E6" i="102"/>
  <c r="E7" i="102"/>
  <c r="E8" i="102"/>
  <c r="E33" i="103"/>
  <c r="E32" i="103"/>
  <c r="E31" i="103"/>
  <c r="E30" i="103"/>
  <c r="E29" i="103"/>
  <c r="E28" i="103"/>
  <c r="E27" i="103"/>
  <c r="G26" i="103"/>
  <c r="E26" i="103"/>
  <c r="E25" i="103"/>
  <c r="E24" i="103"/>
  <c r="E23" i="103"/>
  <c r="E16" i="103"/>
  <c r="E15" i="103"/>
  <c r="E14" i="103"/>
  <c r="E13" i="103"/>
  <c r="E12" i="103"/>
  <c r="G10" i="103"/>
  <c r="E7" i="103"/>
  <c r="F6" i="103"/>
  <c r="H6" i="103" s="1"/>
  <c r="E6" i="103"/>
  <c r="E12" i="9"/>
  <c r="E11" i="9"/>
  <c r="E10" i="9"/>
  <c r="E9" i="9"/>
  <c r="E14" i="9"/>
  <c r="E13" i="9"/>
  <c r="E11" i="15"/>
  <c r="E9" i="15"/>
  <c r="E8" i="15"/>
  <c r="E7" i="15"/>
  <c r="E6" i="15"/>
  <c r="E5" i="15"/>
  <c r="B11" i="15"/>
  <c r="B10" i="15"/>
  <c r="E22" i="114"/>
  <c r="E20" i="114"/>
  <c r="E19" i="114"/>
  <c r="E18" i="114"/>
  <c r="E17" i="114"/>
  <c r="E16" i="114"/>
  <c r="E13" i="114"/>
  <c r="E8" i="114"/>
  <c r="E7" i="114"/>
  <c r="G6" i="114"/>
  <c r="E6" i="114"/>
  <c r="E1" i="114"/>
  <c r="E20" i="113"/>
  <c r="E18" i="113"/>
  <c r="E17" i="113"/>
  <c r="G16" i="113"/>
  <c r="E16" i="113"/>
  <c r="G15" i="113"/>
  <c r="E15" i="113"/>
  <c r="E14" i="113"/>
  <c r="E12" i="113"/>
  <c r="G11" i="113"/>
  <c r="H11" i="113" s="1"/>
  <c r="E11" i="113"/>
  <c r="E10" i="113"/>
  <c r="G9" i="113"/>
  <c r="E9" i="113"/>
  <c r="G8" i="113"/>
  <c r="E8" i="113"/>
  <c r="G7" i="113"/>
  <c r="E7" i="113"/>
  <c r="F6" i="113"/>
  <c r="H6" i="113" s="1"/>
  <c r="J6" i="113" s="1"/>
  <c r="E6" i="113"/>
  <c r="E1" i="113"/>
  <c r="E20" i="112"/>
  <c r="G18" i="112"/>
  <c r="H18" i="112" s="1"/>
  <c r="E18" i="112"/>
  <c r="E17" i="112"/>
  <c r="E16" i="112"/>
  <c r="E15" i="112"/>
  <c r="E14" i="112"/>
  <c r="E12" i="112"/>
  <c r="E11" i="112"/>
  <c r="E10" i="112"/>
  <c r="E9" i="112"/>
  <c r="E8" i="112"/>
  <c r="E7" i="112"/>
  <c r="H6" i="112"/>
  <c r="F6" i="112"/>
  <c r="E6" i="112"/>
  <c r="E1" i="112"/>
  <c r="E20" i="111"/>
  <c r="G18" i="111"/>
  <c r="E18" i="111"/>
  <c r="G17" i="111"/>
  <c r="H17" i="111" s="1"/>
  <c r="E17" i="111"/>
  <c r="G16" i="111"/>
  <c r="E16" i="111"/>
  <c r="G15" i="111"/>
  <c r="H15" i="111" s="1"/>
  <c r="J15" i="111" s="1"/>
  <c r="E15" i="111"/>
  <c r="E14" i="111"/>
  <c r="E12" i="111"/>
  <c r="E11" i="111"/>
  <c r="E10" i="111"/>
  <c r="G9" i="111"/>
  <c r="E9" i="111"/>
  <c r="G8" i="111"/>
  <c r="H8" i="111" s="1"/>
  <c r="E8" i="111"/>
  <c r="G7" i="111"/>
  <c r="E7" i="111"/>
  <c r="H6" i="111"/>
  <c r="F6" i="111"/>
  <c r="E6" i="111"/>
  <c r="E1" i="111"/>
  <c r="E20" i="109"/>
  <c r="G18" i="109"/>
  <c r="H18" i="109" s="1"/>
  <c r="E18" i="109"/>
  <c r="G17" i="109"/>
  <c r="E17" i="109"/>
  <c r="E16" i="109"/>
  <c r="G15" i="109"/>
  <c r="E15" i="109"/>
  <c r="E14" i="109"/>
  <c r="E12" i="109"/>
  <c r="E11" i="109"/>
  <c r="E10" i="109"/>
  <c r="G9" i="109"/>
  <c r="E9" i="109"/>
  <c r="G8" i="109"/>
  <c r="E8" i="109"/>
  <c r="E7" i="109"/>
  <c r="F6" i="109"/>
  <c r="H6" i="109" s="1"/>
  <c r="E6" i="109"/>
  <c r="E1" i="109"/>
  <c r="E20" i="108"/>
  <c r="E18" i="108"/>
  <c r="E17" i="108"/>
  <c r="G16" i="108"/>
  <c r="E16" i="108"/>
  <c r="G15" i="108"/>
  <c r="H15" i="108" s="1"/>
  <c r="E15" i="108"/>
  <c r="G14" i="108"/>
  <c r="E14" i="108"/>
  <c r="E12" i="108"/>
  <c r="G11" i="108"/>
  <c r="E11" i="108"/>
  <c r="E10" i="108"/>
  <c r="G9" i="108"/>
  <c r="E9" i="108"/>
  <c r="E8" i="108"/>
  <c r="G7" i="108"/>
  <c r="E7" i="108"/>
  <c r="F6" i="108"/>
  <c r="H6" i="108" s="1"/>
  <c r="E6" i="108"/>
  <c r="E1" i="108"/>
  <c r="E20" i="107"/>
  <c r="G18" i="107"/>
  <c r="E18" i="107"/>
  <c r="E17" i="107"/>
  <c r="E16" i="107"/>
  <c r="E15" i="107"/>
  <c r="E14" i="107"/>
  <c r="E12" i="107"/>
  <c r="G11" i="107"/>
  <c r="H11" i="107" s="1"/>
  <c r="E11" i="107"/>
  <c r="E10" i="107"/>
  <c r="G9" i="107"/>
  <c r="E9" i="107"/>
  <c r="E8" i="107"/>
  <c r="E7" i="107"/>
  <c r="H6" i="107"/>
  <c r="F6" i="107"/>
  <c r="E6" i="107"/>
  <c r="E1" i="107"/>
  <c r="E20" i="106"/>
  <c r="G18" i="106"/>
  <c r="E18" i="106"/>
  <c r="G17" i="106"/>
  <c r="E17" i="106"/>
  <c r="E16" i="106"/>
  <c r="G15" i="106"/>
  <c r="E15" i="106"/>
  <c r="E14" i="106"/>
  <c r="E12" i="106"/>
  <c r="E11" i="106"/>
  <c r="E10" i="106"/>
  <c r="G9" i="106"/>
  <c r="E9" i="106"/>
  <c r="G8" i="106"/>
  <c r="E8" i="106"/>
  <c r="G7" i="106"/>
  <c r="E7" i="106"/>
  <c r="F6" i="106"/>
  <c r="H6" i="106" s="1"/>
  <c r="E6" i="106"/>
  <c r="E22" i="106" s="1"/>
  <c r="E1" i="106"/>
  <c r="E20" i="105"/>
  <c r="G18" i="105"/>
  <c r="E18" i="105"/>
  <c r="E17" i="105"/>
  <c r="G16" i="105"/>
  <c r="H16" i="105" s="1"/>
  <c r="E16" i="105"/>
  <c r="G15" i="105"/>
  <c r="E15" i="105"/>
  <c r="E14" i="105"/>
  <c r="E12" i="105"/>
  <c r="E11" i="105"/>
  <c r="E10" i="105"/>
  <c r="E9" i="105"/>
  <c r="E8" i="105"/>
  <c r="G7" i="105"/>
  <c r="H7" i="105" s="1"/>
  <c r="E7" i="105"/>
  <c r="F6" i="105"/>
  <c r="H6" i="105" s="1"/>
  <c r="E6" i="105"/>
  <c r="E1" i="105"/>
  <c r="E20" i="104"/>
  <c r="E18" i="104"/>
  <c r="E17" i="104"/>
  <c r="E16" i="104"/>
  <c r="G15" i="104"/>
  <c r="E15" i="104"/>
  <c r="E14" i="104"/>
  <c r="E12" i="104"/>
  <c r="E11" i="104"/>
  <c r="E10" i="104"/>
  <c r="E9" i="104"/>
  <c r="E8" i="104"/>
  <c r="E7" i="104"/>
  <c r="H6" i="104"/>
  <c r="F6" i="104"/>
  <c r="E6" i="104"/>
  <c r="E1" i="104"/>
  <c r="B9" i="15"/>
  <c r="B8" i="15"/>
  <c r="E44" i="103"/>
  <c r="E42" i="103"/>
  <c r="E41" i="103"/>
  <c r="E40" i="103"/>
  <c r="E39" i="103"/>
  <c r="E38" i="103"/>
  <c r="E35" i="103"/>
  <c r="E34" i="103"/>
  <c r="E23" i="102"/>
  <c r="E17" i="102"/>
  <c r="E16" i="102"/>
  <c r="E15" i="102"/>
  <c r="E14" i="102"/>
  <c r="E11" i="102"/>
  <c r="E10" i="102"/>
  <c r="E9" i="102"/>
  <c r="F6" i="102"/>
  <c r="E1" i="102"/>
  <c r="E4" i="15"/>
  <c r="B7" i="15"/>
  <c r="E19" i="101"/>
  <c r="E17" i="101"/>
  <c r="E16" i="101"/>
  <c r="E15" i="101"/>
  <c r="G14" i="101"/>
  <c r="E14" i="101"/>
  <c r="E13" i="101"/>
  <c r="E11" i="101"/>
  <c r="E10" i="101"/>
  <c r="E9" i="101"/>
  <c r="E8" i="101"/>
  <c r="E7" i="101"/>
  <c r="E6" i="101"/>
  <c r="E1" i="101"/>
  <c r="B6" i="15"/>
  <c r="E20" i="100"/>
  <c r="G18" i="100"/>
  <c r="E18" i="100"/>
  <c r="E17" i="100"/>
  <c r="E16" i="100"/>
  <c r="E15" i="100"/>
  <c r="E14" i="100"/>
  <c r="E12" i="100"/>
  <c r="E11" i="100"/>
  <c r="E10" i="100"/>
  <c r="E9" i="100"/>
  <c r="E8" i="100"/>
  <c r="E7" i="100"/>
  <c r="F6" i="100"/>
  <c r="H6" i="100" s="1"/>
  <c r="E6" i="100"/>
  <c r="E1" i="100"/>
  <c r="F6" i="9"/>
  <c r="H6" i="9" s="1"/>
  <c r="C29" i="120" l="1"/>
  <c r="D29" i="120" s="1"/>
  <c r="D26" i="120"/>
  <c r="E12" i="15"/>
  <c r="I20" i="114"/>
  <c r="G18" i="114"/>
  <c r="H18" i="114" s="1"/>
  <c r="I18" i="114" s="1"/>
  <c r="H42" i="103"/>
  <c r="I42" i="103"/>
  <c r="J42" i="103" s="1"/>
  <c r="I40" i="103"/>
  <c r="J40" i="103" s="1"/>
  <c r="H40" i="103"/>
  <c r="H39" i="103"/>
  <c r="I39" i="103"/>
  <c r="J39" i="103" s="1"/>
  <c r="H36" i="103"/>
  <c r="J36" i="103" s="1"/>
  <c r="I36" i="103"/>
  <c r="I35" i="103"/>
  <c r="H35" i="103"/>
  <c r="J35" i="103" s="1"/>
  <c r="H33" i="103"/>
  <c r="H27" i="103"/>
  <c r="J27" i="103" s="1"/>
  <c r="I27" i="103"/>
  <c r="H26" i="103"/>
  <c r="I26" i="103"/>
  <c r="J26" i="103"/>
  <c r="H23" i="103"/>
  <c r="I23" i="103"/>
  <c r="J23" i="103" s="1"/>
  <c r="H15" i="103"/>
  <c r="I15" i="103"/>
  <c r="J15" i="103" s="1"/>
  <c r="H11" i="103"/>
  <c r="I11" i="103" s="1"/>
  <c r="H10" i="103"/>
  <c r="I10" i="103"/>
  <c r="J10" i="103" s="1"/>
  <c r="I6" i="103"/>
  <c r="J6" i="103" s="1"/>
  <c r="I17" i="101"/>
  <c r="J17" i="101" s="1"/>
  <c r="I17" i="102"/>
  <c r="J17" i="102" s="1"/>
  <c r="I15" i="102"/>
  <c r="J15" i="102" s="1"/>
  <c r="E22" i="104"/>
  <c r="E22" i="107"/>
  <c r="E22" i="108"/>
  <c r="E22" i="105"/>
  <c r="E22" i="113"/>
  <c r="E22" i="109"/>
  <c r="E22" i="111"/>
  <c r="E22" i="112"/>
  <c r="H11" i="108"/>
  <c r="E46" i="103"/>
  <c r="E24" i="114"/>
  <c r="E21" i="101"/>
  <c r="I14" i="100"/>
  <c r="J14" i="100" s="1"/>
  <c r="J11" i="108"/>
  <c r="M11" i="108" s="1"/>
  <c r="N11" i="108" s="1"/>
  <c r="O11" i="108" s="1"/>
  <c r="G14" i="111"/>
  <c r="H14" i="111" s="1"/>
  <c r="J14" i="111" s="1"/>
  <c r="H8" i="113"/>
  <c r="J8" i="113" s="1"/>
  <c r="J14" i="109"/>
  <c r="M14" i="109" s="1"/>
  <c r="N14" i="109" s="1"/>
  <c r="O14" i="109" s="1"/>
  <c r="I6" i="100"/>
  <c r="I6" i="9"/>
  <c r="J6" i="9" s="1"/>
  <c r="G31" i="103"/>
  <c r="G28" i="103"/>
  <c r="G30" i="103"/>
  <c r="G12" i="103"/>
  <c r="G25" i="103"/>
  <c r="G13" i="103"/>
  <c r="G7" i="103"/>
  <c r="G16" i="103"/>
  <c r="G24" i="103"/>
  <c r="G14" i="103"/>
  <c r="G32" i="103"/>
  <c r="H11" i="9"/>
  <c r="I11" i="9" s="1"/>
  <c r="H12" i="9"/>
  <c r="I12" i="9" s="1"/>
  <c r="H10" i="9"/>
  <c r="I10" i="9" s="1"/>
  <c r="G9" i="9"/>
  <c r="H9" i="9" s="1"/>
  <c r="I9" i="9" s="1"/>
  <c r="H14" i="9"/>
  <c r="I14" i="9" s="1"/>
  <c r="G13" i="9"/>
  <c r="H13" i="9" s="1"/>
  <c r="H17" i="114"/>
  <c r="H6" i="114"/>
  <c r="I6" i="114" s="1"/>
  <c r="G22" i="114"/>
  <c r="H22" i="114" s="1"/>
  <c r="G13" i="114"/>
  <c r="G7" i="114"/>
  <c r="H7" i="114" s="1"/>
  <c r="G16" i="114"/>
  <c r="J20" i="114"/>
  <c r="G8" i="114"/>
  <c r="H19" i="114"/>
  <c r="I19" i="114" s="1"/>
  <c r="L6" i="113"/>
  <c r="K6" i="113"/>
  <c r="M6" i="113" s="1"/>
  <c r="N6" i="113" s="1"/>
  <c r="O6" i="113" s="1"/>
  <c r="H17" i="113"/>
  <c r="H15" i="113"/>
  <c r="J15" i="113" s="1"/>
  <c r="H9" i="113"/>
  <c r="J11" i="113"/>
  <c r="G12" i="113"/>
  <c r="H18" i="113"/>
  <c r="J18" i="113" s="1"/>
  <c r="H7" i="113"/>
  <c r="J7" i="113" s="1"/>
  <c r="G10" i="113"/>
  <c r="H10" i="113" s="1"/>
  <c r="H16" i="113"/>
  <c r="J16" i="113" s="1"/>
  <c r="G20" i="113"/>
  <c r="G14" i="113"/>
  <c r="H14" i="113" s="1"/>
  <c r="J18" i="112"/>
  <c r="H15" i="112"/>
  <c r="J6" i="112"/>
  <c r="J9" i="112"/>
  <c r="G16" i="112"/>
  <c r="H16" i="112" s="1"/>
  <c r="H7" i="112"/>
  <c r="G10" i="112"/>
  <c r="H10" i="112" s="1"/>
  <c r="G20" i="112"/>
  <c r="H20" i="112" s="1"/>
  <c r="G8" i="112"/>
  <c r="G17" i="112"/>
  <c r="G11" i="112"/>
  <c r="H11" i="112" s="1"/>
  <c r="J14" i="112"/>
  <c r="G12" i="112"/>
  <c r="H12" i="112" s="1"/>
  <c r="J17" i="111"/>
  <c r="J8" i="111"/>
  <c r="M15" i="111"/>
  <c r="N15" i="111" s="1"/>
  <c r="O15" i="111" s="1"/>
  <c r="L15" i="111"/>
  <c r="K15" i="111"/>
  <c r="J6" i="111"/>
  <c r="H9" i="111"/>
  <c r="J9" i="111" s="1"/>
  <c r="G12" i="111"/>
  <c r="H12" i="111" s="1"/>
  <c r="H18" i="111"/>
  <c r="H7" i="111"/>
  <c r="J7" i="111" s="1"/>
  <c r="G10" i="111"/>
  <c r="H16" i="111"/>
  <c r="G20" i="111"/>
  <c r="H10" i="111"/>
  <c r="H20" i="111"/>
  <c r="G11" i="111"/>
  <c r="H11" i="111" s="1"/>
  <c r="K14" i="109"/>
  <c r="H15" i="109"/>
  <c r="J15" i="109"/>
  <c r="J6" i="109"/>
  <c r="H9" i="109"/>
  <c r="J9" i="109" s="1"/>
  <c r="G7" i="109"/>
  <c r="G16" i="109"/>
  <c r="J18" i="109"/>
  <c r="G12" i="109"/>
  <c r="G10" i="109"/>
  <c r="H10" i="109" s="1"/>
  <c r="G20" i="109"/>
  <c r="H8" i="109"/>
  <c r="G11" i="109"/>
  <c r="H17" i="109"/>
  <c r="J6" i="108"/>
  <c r="H9" i="108"/>
  <c r="G12" i="108"/>
  <c r="H18" i="108"/>
  <c r="J18" i="108" s="1"/>
  <c r="H12" i="108"/>
  <c r="J15" i="108"/>
  <c r="H7" i="108"/>
  <c r="G10" i="108"/>
  <c r="H16" i="108"/>
  <c r="J16" i="108" s="1"/>
  <c r="G20" i="108"/>
  <c r="H20" i="108" s="1"/>
  <c r="G8" i="108"/>
  <c r="H14" i="108"/>
  <c r="G17" i="108"/>
  <c r="H15" i="107"/>
  <c r="J15" i="107" s="1"/>
  <c r="J11" i="107"/>
  <c r="H18" i="107"/>
  <c r="J6" i="107"/>
  <c r="G7" i="107"/>
  <c r="G16" i="107"/>
  <c r="H7" i="107"/>
  <c r="G10" i="107"/>
  <c r="H10" i="107" s="1"/>
  <c r="G20" i="107"/>
  <c r="H20" i="107" s="1"/>
  <c r="G8" i="107"/>
  <c r="H14" i="107"/>
  <c r="G17" i="107"/>
  <c r="H17" i="107" s="1"/>
  <c r="H9" i="107"/>
  <c r="G12" i="107"/>
  <c r="H12" i="107" s="1"/>
  <c r="J12" i="107" s="1"/>
  <c r="H15" i="106"/>
  <c r="J15" i="106" s="1"/>
  <c r="H9" i="106"/>
  <c r="G12" i="106"/>
  <c r="J6" i="106"/>
  <c r="H12" i="106"/>
  <c r="G16" i="106"/>
  <c r="H16" i="106" s="1"/>
  <c r="G14" i="106"/>
  <c r="H14" i="106" s="1"/>
  <c r="H18" i="106"/>
  <c r="G10" i="106"/>
  <c r="H10" i="106" s="1"/>
  <c r="J10" i="106" s="1"/>
  <c r="H7" i="106"/>
  <c r="G20" i="106"/>
  <c r="H8" i="106"/>
  <c r="G11" i="106"/>
  <c r="H17" i="106"/>
  <c r="J6" i="105"/>
  <c r="J7" i="105"/>
  <c r="H15" i="105"/>
  <c r="H11" i="105"/>
  <c r="J11" i="105"/>
  <c r="J16" i="105"/>
  <c r="H9" i="105"/>
  <c r="J9" i="105" s="1"/>
  <c r="G12" i="105"/>
  <c r="H12" i="105" s="1"/>
  <c r="H18" i="105"/>
  <c r="G10" i="105"/>
  <c r="H10" i="105" s="1"/>
  <c r="G20" i="105"/>
  <c r="G14" i="105"/>
  <c r="H14" i="105" s="1"/>
  <c r="G8" i="105"/>
  <c r="G17" i="105"/>
  <c r="H17" i="105" s="1"/>
  <c r="H15" i="104"/>
  <c r="J15" i="104" s="1"/>
  <c r="H11" i="104"/>
  <c r="H9" i="104"/>
  <c r="J9" i="104" s="1"/>
  <c r="G12" i="104"/>
  <c r="H18" i="104"/>
  <c r="J18" i="104" s="1"/>
  <c r="J6" i="104"/>
  <c r="G7" i="104"/>
  <c r="H7" i="104" s="1"/>
  <c r="G16" i="104"/>
  <c r="G10" i="104"/>
  <c r="H10" i="104" s="1"/>
  <c r="G20" i="104"/>
  <c r="G8" i="104"/>
  <c r="H8" i="104" s="1"/>
  <c r="G11" i="104"/>
  <c r="J14" i="104"/>
  <c r="G17" i="104"/>
  <c r="G34" i="103"/>
  <c r="G44" i="103"/>
  <c r="G38" i="103"/>
  <c r="G41" i="103"/>
  <c r="E25" i="102"/>
  <c r="H16" i="102"/>
  <c r="H14" i="102"/>
  <c r="I14" i="102" s="1"/>
  <c r="G23" i="102"/>
  <c r="H6" i="102"/>
  <c r="I6" i="102" s="1"/>
  <c r="G11" i="102"/>
  <c r="G9" i="102"/>
  <c r="J7" i="102"/>
  <c r="G8" i="102"/>
  <c r="G10" i="102"/>
  <c r="H14" i="101"/>
  <c r="I14" i="101" s="1"/>
  <c r="J10" i="101"/>
  <c r="H8" i="101"/>
  <c r="I8" i="101" s="1"/>
  <c r="G11" i="101"/>
  <c r="G6" i="101"/>
  <c r="G15" i="101"/>
  <c r="G9" i="101"/>
  <c r="G19" i="101"/>
  <c r="G7" i="101"/>
  <c r="H13" i="101"/>
  <c r="I13" i="101" s="1"/>
  <c r="G16" i="101"/>
  <c r="H16" i="101" s="1"/>
  <c r="E22" i="100"/>
  <c r="H15" i="100"/>
  <c r="H9" i="100"/>
  <c r="I9" i="100" s="1"/>
  <c r="G12" i="100"/>
  <c r="G16" i="100"/>
  <c r="H18" i="100"/>
  <c r="I18" i="100" s="1"/>
  <c r="G7" i="100"/>
  <c r="G10" i="100"/>
  <c r="G20" i="100"/>
  <c r="G8" i="100"/>
  <c r="G17" i="100"/>
  <c r="G11" i="100"/>
  <c r="H11" i="100" s="1"/>
  <c r="I7" i="114" l="1"/>
  <c r="J7" i="114" s="1"/>
  <c r="I17" i="114"/>
  <c r="J17" i="114" s="1"/>
  <c r="H8" i="114"/>
  <c r="I8" i="114"/>
  <c r="J8" i="114" s="1"/>
  <c r="H13" i="114"/>
  <c r="I22" i="114"/>
  <c r="J22" i="114" s="1"/>
  <c r="H44" i="103"/>
  <c r="J44" i="103" s="1"/>
  <c r="I44" i="103"/>
  <c r="K42" i="103"/>
  <c r="L42" i="103" s="1"/>
  <c r="M42" i="103"/>
  <c r="I41" i="103"/>
  <c r="H41" i="103"/>
  <c r="J41" i="103" s="1"/>
  <c r="K40" i="103"/>
  <c r="L40" i="103" s="1"/>
  <c r="K39" i="103"/>
  <c r="L39" i="103" s="1"/>
  <c r="I38" i="103"/>
  <c r="H38" i="103"/>
  <c r="J38" i="103" s="1"/>
  <c r="K36" i="103"/>
  <c r="L36" i="103" s="1"/>
  <c r="M36" i="103"/>
  <c r="K35" i="103"/>
  <c r="L35" i="103"/>
  <c r="M35" i="103"/>
  <c r="I34" i="103"/>
  <c r="H34" i="103"/>
  <c r="J34" i="103" s="1"/>
  <c r="I33" i="103"/>
  <c r="J33" i="103" s="1"/>
  <c r="I32" i="103"/>
  <c r="H32" i="103"/>
  <c r="J32" i="103"/>
  <c r="H31" i="103"/>
  <c r="J31" i="103" s="1"/>
  <c r="I31" i="103"/>
  <c r="H30" i="103"/>
  <c r="I30" i="103"/>
  <c r="J30" i="103" s="1"/>
  <c r="I28" i="103"/>
  <c r="J28" i="103" s="1"/>
  <c r="H28" i="103"/>
  <c r="K27" i="103"/>
  <c r="M27" i="103"/>
  <c r="L27" i="103"/>
  <c r="K26" i="103"/>
  <c r="L26" i="103" s="1"/>
  <c r="H25" i="103"/>
  <c r="I25" i="103" s="1"/>
  <c r="H24" i="103"/>
  <c r="I24" i="103"/>
  <c r="J24" i="103" s="1"/>
  <c r="K23" i="103"/>
  <c r="M23" i="103"/>
  <c r="L23" i="103"/>
  <c r="H16" i="103"/>
  <c r="I16" i="103" s="1"/>
  <c r="K15" i="103"/>
  <c r="M15" i="103" s="1"/>
  <c r="H14" i="103"/>
  <c r="I14" i="103" s="1"/>
  <c r="H13" i="103"/>
  <c r="J13" i="103" s="1"/>
  <c r="I13" i="103"/>
  <c r="H12" i="103"/>
  <c r="J12" i="103" s="1"/>
  <c r="I12" i="103"/>
  <c r="J11" i="103"/>
  <c r="K10" i="103"/>
  <c r="L10" i="103" s="1"/>
  <c r="M10" i="103"/>
  <c r="H7" i="103"/>
  <c r="I7" i="103"/>
  <c r="J7" i="103" s="1"/>
  <c r="H19" i="101"/>
  <c r="I19" i="101"/>
  <c r="H9" i="101"/>
  <c r="I9" i="101"/>
  <c r="I16" i="101"/>
  <c r="J16" i="101" s="1"/>
  <c r="H8" i="100"/>
  <c r="I8" i="100"/>
  <c r="H7" i="100"/>
  <c r="I7" i="100"/>
  <c r="I11" i="100"/>
  <c r="J11" i="100" s="1"/>
  <c r="I15" i="100"/>
  <c r="J15" i="100" s="1"/>
  <c r="I13" i="9"/>
  <c r="J13" i="9" s="1"/>
  <c r="J11" i="9"/>
  <c r="K11" i="9" s="1"/>
  <c r="L11" i="9" s="1"/>
  <c r="I16" i="102"/>
  <c r="J16" i="102" s="1"/>
  <c r="K8" i="113"/>
  <c r="M8" i="113"/>
  <c r="N8" i="113" s="1"/>
  <c r="O8" i="113" s="1"/>
  <c r="L8" i="113"/>
  <c r="K11" i="108"/>
  <c r="L11" i="108"/>
  <c r="J19" i="101"/>
  <c r="H6" i="101"/>
  <c r="I6" i="101" s="1"/>
  <c r="J7" i="104"/>
  <c r="H16" i="114"/>
  <c r="L14" i="109"/>
  <c r="K6" i="103"/>
  <c r="M6" i="103" s="1"/>
  <c r="N6" i="103" s="1"/>
  <c r="O6" i="103" s="1"/>
  <c r="J12" i="9"/>
  <c r="J9" i="9"/>
  <c r="J10" i="9"/>
  <c r="J14" i="9"/>
  <c r="K6" i="9"/>
  <c r="M6" i="9" s="1"/>
  <c r="N6" i="9" s="1"/>
  <c r="K20" i="114"/>
  <c r="L20" i="114" s="1"/>
  <c r="J19" i="114"/>
  <c r="J18" i="114"/>
  <c r="J6" i="114"/>
  <c r="M18" i="113"/>
  <c r="N18" i="113" s="1"/>
  <c r="O18" i="113" s="1"/>
  <c r="L18" i="113"/>
  <c r="K18" i="113"/>
  <c r="L16" i="113"/>
  <c r="K16" i="113"/>
  <c r="M16" i="113"/>
  <c r="N16" i="113" s="1"/>
  <c r="O16" i="113" s="1"/>
  <c r="J17" i="113"/>
  <c r="M15" i="113"/>
  <c r="N15" i="113" s="1"/>
  <c r="O15" i="113" s="1"/>
  <c r="L15" i="113"/>
  <c r="K15" i="113"/>
  <c r="L7" i="113"/>
  <c r="K7" i="113"/>
  <c r="M7" i="113"/>
  <c r="N7" i="113" s="1"/>
  <c r="O7" i="113" s="1"/>
  <c r="J9" i="113"/>
  <c r="H20" i="113"/>
  <c r="M11" i="113"/>
  <c r="N11" i="113" s="1"/>
  <c r="O11" i="113" s="1"/>
  <c r="K11" i="113"/>
  <c r="L11" i="113"/>
  <c r="H12" i="113"/>
  <c r="J12" i="113" s="1"/>
  <c r="J14" i="113"/>
  <c r="J10" i="113"/>
  <c r="L14" i="112"/>
  <c r="K14" i="112"/>
  <c r="M14" i="112"/>
  <c r="N14" i="112" s="1"/>
  <c r="O14" i="112" s="1"/>
  <c r="K9" i="112"/>
  <c r="M9" i="112"/>
  <c r="N9" i="112" s="1"/>
  <c r="O9" i="112" s="1"/>
  <c r="L9" i="112"/>
  <c r="L6" i="112"/>
  <c r="K6" i="112"/>
  <c r="M6" i="112" s="1"/>
  <c r="N6" i="112" s="1"/>
  <c r="O6" i="112" s="1"/>
  <c r="J16" i="112"/>
  <c r="J10" i="112"/>
  <c r="K18" i="112"/>
  <c r="M18" i="112"/>
  <c r="N18" i="112" s="1"/>
  <c r="O18" i="112" s="1"/>
  <c r="L18" i="112"/>
  <c r="H17" i="112"/>
  <c r="J17" i="112" s="1"/>
  <c r="J8" i="112"/>
  <c r="J11" i="112"/>
  <c r="J7" i="112"/>
  <c r="J15" i="112"/>
  <c r="J12" i="112"/>
  <c r="J20" i="112"/>
  <c r="H8" i="112"/>
  <c r="L7" i="111"/>
  <c r="K7" i="111"/>
  <c r="M7" i="111"/>
  <c r="N7" i="111" s="1"/>
  <c r="O7" i="111" s="1"/>
  <c r="M8" i="111"/>
  <c r="N8" i="111" s="1"/>
  <c r="O8" i="111" s="1"/>
  <c r="L8" i="111"/>
  <c r="K8" i="111"/>
  <c r="J11" i="111"/>
  <c r="M9" i="111"/>
  <c r="N9" i="111" s="1"/>
  <c r="O9" i="111" s="1"/>
  <c r="L9" i="111"/>
  <c r="K9" i="111"/>
  <c r="J18" i="111"/>
  <c r="M17" i="111"/>
  <c r="N17" i="111" s="1"/>
  <c r="O17" i="111" s="1"/>
  <c r="L17" i="111"/>
  <c r="K17" i="111"/>
  <c r="L6" i="111"/>
  <c r="K6" i="111"/>
  <c r="M6" i="111" s="1"/>
  <c r="N6" i="111" s="1"/>
  <c r="O6" i="111" s="1"/>
  <c r="J16" i="111"/>
  <c r="M14" i="111"/>
  <c r="N14" i="111" s="1"/>
  <c r="O14" i="111" s="1"/>
  <c r="L14" i="111"/>
  <c r="K14" i="111"/>
  <c r="J20" i="111"/>
  <c r="J10" i="111"/>
  <c r="J12" i="111"/>
  <c r="M18" i="109"/>
  <c r="N18" i="109" s="1"/>
  <c r="O18" i="109" s="1"/>
  <c r="L18" i="109"/>
  <c r="K18" i="109"/>
  <c r="M15" i="109"/>
  <c r="N15" i="109" s="1"/>
  <c r="O15" i="109" s="1"/>
  <c r="L15" i="109"/>
  <c r="K15" i="109"/>
  <c r="H12" i="109"/>
  <c r="J12" i="109" s="1"/>
  <c r="H16" i="109"/>
  <c r="J8" i="109"/>
  <c r="L6" i="109"/>
  <c r="K6" i="109"/>
  <c r="M6" i="109" s="1"/>
  <c r="N6" i="109" s="1"/>
  <c r="O6" i="109" s="1"/>
  <c r="J17" i="109"/>
  <c r="H20" i="109"/>
  <c r="J10" i="109"/>
  <c r="H11" i="109"/>
  <c r="L9" i="109"/>
  <c r="M9" i="109"/>
  <c r="N9" i="109" s="1"/>
  <c r="O9" i="109" s="1"/>
  <c r="K9" i="109"/>
  <c r="H7" i="109"/>
  <c r="M18" i="108"/>
  <c r="N18" i="108" s="1"/>
  <c r="O18" i="108" s="1"/>
  <c r="L18" i="108"/>
  <c r="K18" i="108"/>
  <c r="L16" i="108"/>
  <c r="K16" i="108"/>
  <c r="M16" i="108"/>
  <c r="N16" i="108" s="1"/>
  <c r="O16" i="108" s="1"/>
  <c r="J20" i="108"/>
  <c r="M15" i="108"/>
  <c r="N15" i="108" s="1"/>
  <c r="O15" i="108" s="1"/>
  <c r="L15" i="108"/>
  <c r="K15" i="108"/>
  <c r="H10" i="108"/>
  <c r="J7" i="108"/>
  <c r="J14" i="108"/>
  <c r="H8" i="108"/>
  <c r="J8" i="108" s="1"/>
  <c r="J9" i="108"/>
  <c r="L6" i="108"/>
  <c r="K6" i="108"/>
  <c r="M6" i="108" s="1"/>
  <c r="N6" i="108" s="1"/>
  <c r="O6" i="108" s="1"/>
  <c r="J12" i="108"/>
  <c r="H17" i="108"/>
  <c r="J17" i="108" s="1"/>
  <c r="M11" i="107"/>
  <c r="N11" i="107" s="1"/>
  <c r="O11" i="107" s="1"/>
  <c r="L11" i="107"/>
  <c r="K11" i="107"/>
  <c r="M12" i="107"/>
  <c r="N12" i="107" s="1"/>
  <c r="O12" i="107" s="1"/>
  <c r="L12" i="107"/>
  <c r="K12" i="107"/>
  <c r="J14" i="107"/>
  <c r="L15" i="107"/>
  <c r="M15" i="107"/>
  <c r="N15" i="107" s="1"/>
  <c r="O15" i="107" s="1"/>
  <c r="K15" i="107"/>
  <c r="J18" i="107"/>
  <c r="J10" i="107"/>
  <c r="J7" i="107"/>
  <c r="H8" i="107"/>
  <c r="J20" i="107"/>
  <c r="H16" i="107"/>
  <c r="J9" i="107"/>
  <c r="J17" i="107"/>
  <c r="L6" i="107"/>
  <c r="K6" i="107"/>
  <c r="M6" i="107" s="1"/>
  <c r="N6" i="107" s="1"/>
  <c r="O6" i="107" s="1"/>
  <c r="J12" i="106"/>
  <c r="M15" i="106"/>
  <c r="N15" i="106" s="1"/>
  <c r="O15" i="106" s="1"/>
  <c r="L15" i="106"/>
  <c r="K15" i="106"/>
  <c r="J9" i="106"/>
  <c r="K10" i="106"/>
  <c r="M10" i="106"/>
  <c r="N10" i="106" s="1"/>
  <c r="O10" i="106" s="1"/>
  <c r="L10" i="106"/>
  <c r="H20" i="106"/>
  <c r="J20" i="106" s="1"/>
  <c r="J18" i="106"/>
  <c r="K6" i="106"/>
  <c r="M6" i="106"/>
  <c r="N6" i="106" s="1"/>
  <c r="O6" i="106" s="1"/>
  <c r="L6" i="106"/>
  <c r="J17" i="106"/>
  <c r="J14" i="106"/>
  <c r="J7" i="106"/>
  <c r="J16" i="106"/>
  <c r="J8" i="106"/>
  <c r="H11" i="106"/>
  <c r="J11" i="106" s="1"/>
  <c r="M9" i="105"/>
  <c r="N9" i="105" s="1"/>
  <c r="O9" i="105" s="1"/>
  <c r="L9" i="105"/>
  <c r="K9" i="105"/>
  <c r="J14" i="105"/>
  <c r="J15" i="105"/>
  <c r="M11" i="105"/>
  <c r="N11" i="105" s="1"/>
  <c r="O11" i="105" s="1"/>
  <c r="L11" i="105"/>
  <c r="K11" i="105"/>
  <c r="J10" i="105"/>
  <c r="J12" i="105"/>
  <c r="L6" i="105"/>
  <c r="K6" i="105"/>
  <c r="M6" i="105" s="1"/>
  <c r="N6" i="105" s="1"/>
  <c r="O6" i="105" s="1"/>
  <c r="H8" i="105"/>
  <c r="J8" i="105" s="1"/>
  <c r="J18" i="105"/>
  <c r="L7" i="105"/>
  <c r="K7" i="105"/>
  <c r="M7" i="105"/>
  <c r="N7" i="105" s="1"/>
  <c r="O7" i="105" s="1"/>
  <c r="H20" i="105"/>
  <c r="J17" i="105"/>
  <c r="L16" i="105"/>
  <c r="K16" i="105"/>
  <c r="M16" i="105"/>
  <c r="N16" i="105" s="1"/>
  <c r="O16" i="105" s="1"/>
  <c r="L7" i="104"/>
  <c r="K7" i="104"/>
  <c r="M7" i="104"/>
  <c r="N7" i="104" s="1"/>
  <c r="O7" i="104" s="1"/>
  <c r="L9" i="104"/>
  <c r="M9" i="104"/>
  <c r="N9" i="104" s="1"/>
  <c r="O9" i="104" s="1"/>
  <c r="K9" i="104"/>
  <c r="M15" i="104"/>
  <c r="N15" i="104" s="1"/>
  <c r="O15" i="104" s="1"/>
  <c r="L15" i="104"/>
  <c r="K15" i="104"/>
  <c r="M14" i="104"/>
  <c r="N14" i="104" s="1"/>
  <c r="O14" i="104" s="1"/>
  <c r="L14" i="104"/>
  <c r="K14" i="104"/>
  <c r="J8" i="104"/>
  <c r="M18" i="104"/>
  <c r="N18" i="104" s="1"/>
  <c r="O18" i="104" s="1"/>
  <c r="L18" i="104"/>
  <c r="K18" i="104"/>
  <c r="H17" i="104"/>
  <c r="H20" i="104"/>
  <c r="J10" i="104"/>
  <c r="H16" i="104"/>
  <c r="J16" i="104" s="1"/>
  <c r="H12" i="104"/>
  <c r="J12" i="104" s="1"/>
  <c r="J11" i="104"/>
  <c r="L6" i="104"/>
  <c r="K6" i="104"/>
  <c r="M6" i="104" s="1"/>
  <c r="N6" i="104" s="1"/>
  <c r="O6" i="104" s="1"/>
  <c r="H23" i="102"/>
  <c r="I23" i="102" s="1"/>
  <c r="K15" i="102"/>
  <c r="L15" i="102" s="1"/>
  <c r="K7" i="102"/>
  <c r="L7" i="102" s="1"/>
  <c r="J14" i="102"/>
  <c r="H11" i="102"/>
  <c r="K17" i="102"/>
  <c r="L17" i="102" s="1"/>
  <c r="H8" i="102"/>
  <c r="I8" i="102" s="1"/>
  <c r="H9" i="102"/>
  <c r="I9" i="102" s="1"/>
  <c r="H10" i="102"/>
  <c r="I10" i="102" s="1"/>
  <c r="K17" i="101"/>
  <c r="L17" i="101" s="1"/>
  <c r="K10" i="101"/>
  <c r="L10" i="101" s="1"/>
  <c r="J8" i="101"/>
  <c r="J9" i="101"/>
  <c r="H7" i="101"/>
  <c r="J13" i="101"/>
  <c r="H11" i="101"/>
  <c r="I11" i="101" s="1"/>
  <c r="J14" i="101"/>
  <c r="H15" i="101"/>
  <c r="J18" i="100"/>
  <c r="H16" i="100"/>
  <c r="I16" i="100" s="1"/>
  <c r="H12" i="100"/>
  <c r="I12" i="100" s="1"/>
  <c r="K14" i="100"/>
  <c r="L14" i="100" s="1"/>
  <c r="H17" i="100"/>
  <c r="I17" i="100" s="1"/>
  <c r="J9" i="100"/>
  <c r="H20" i="100"/>
  <c r="I20" i="100" s="1"/>
  <c r="H10" i="100"/>
  <c r="I10" i="100" s="1"/>
  <c r="J8" i="100"/>
  <c r="B5" i="15"/>
  <c r="M20" i="114" l="1"/>
  <c r="N20" i="114" s="1"/>
  <c r="O20" i="114" s="1"/>
  <c r="K17" i="114"/>
  <c r="L17" i="114" s="1"/>
  <c r="I13" i="114"/>
  <c r="J13" i="114" s="1"/>
  <c r="I16" i="114"/>
  <c r="J16" i="114" s="1"/>
  <c r="K44" i="103"/>
  <c r="L44" i="103" s="1"/>
  <c r="M44" i="103"/>
  <c r="N42" i="103"/>
  <c r="O42" i="103" s="1"/>
  <c r="K41" i="103"/>
  <c r="M41" i="103"/>
  <c r="L41" i="103"/>
  <c r="M40" i="103"/>
  <c r="M39" i="103"/>
  <c r="K38" i="103"/>
  <c r="L38" i="103" s="1"/>
  <c r="N36" i="103"/>
  <c r="O36" i="103" s="1"/>
  <c r="N35" i="103"/>
  <c r="O35" i="103" s="1"/>
  <c r="K34" i="103"/>
  <c r="L34" i="103" s="1"/>
  <c r="M34" i="103"/>
  <c r="K33" i="103"/>
  <c r="M33" i="103"/>
  <c r="L33" i="103"/>
  <c r="K32" i="103"/>
  <c r="L32" i="103"/>
  <c r="M32" i="103"/>
  <c r="K31" i="103"/>
  <c r="L31" i="103" s="1"/>
  <c r="M31" i="103"/>
  <c r="K30" i="103"/>
  <c r="L30" i="103" s="1"/>
  <c r="M30" i="103"/>
  <c r="K28" i="103"/>
  <c r="L28" i="103" s="1"/>
  <c r="M28" i="103"/>
  <c r="N27" i="103"/>
  <c r="O27" i="103" s="1"/>
  <c r="M26" i="103"/>
  <c r="J25" i="103"/>
  <c r="K24" i="103"/>
  <c r="L24" i="103" s="1"/>
  <c r="M24" i="103"/>
  <c r="N23" i="103"/>
  <c r="O23" i="103" s="1"/>
  <c r="J16" i="103"/>
  <c r="N15" i="103"/>
  <c r="O15" i="103" s="1"/>
  <c r="L15" i="103"/>
  <c r="J14" i="103"/>
  <c r="K13" i="103"/>
  <c r="L13" i="103"/>
  <c r="M13" i="103"/>
  <c r="K12" i="103"/>
  <c r="L12" i="103" s="1"/>
  <c r="M12" i="103"/>
  <c r="K11" i="103"/>
  <c r="M11" i="103"/>
  <c r="L11" i="103"/>
  <c r="N10" i="103"/>
  <c r="O10" i="103" s="1"/>
  <c r="M17" i="101"/>
  <c r="M10" i="101"/>
  <c r="J11" i="101"/>
  <c r="I15" i="101"/>
  <c r="J15" i="101" s="1"/>
  <c r="N10" i="101"/>
  <c r="O10" i="101" s="1"/>
  <c r="N17" i="101"/>
  <c r="O17" i="101" s="1"/>
  <c r="M14" i="100"/>
  <c r="N14" i="100" s="1"/>
  <c r="O14" i="100" s="1"/>
  <c r="K19" i="101"/>
  <c r="J7" i="100"/>
  <c r="K7" i="100" s="1"/>
  <c r="L7" i="100" s="1"/>
  <c r="K15" i="100"/>
  <c r="L15" i="100" s="1"/>
  <c r="J16" i="100"/>
  <c r="M11" i="9"/>
  <c r="N11" i="9" s="1"/>
  <c r="O11" i="9" s="1"/>
  <c r="M7" i="102"/>
  <c r="N7" i="102" s="1"/>
  <c r="O7" i="102" s="1"/>
  <c r="M17" i="102"/>
  <c r="M15" i="102"/>
  <c r="K16" i="102"/>
  <c r="L16" i="102" s="1"/>
  <c r="J10" i="102"/>
  <c r="I11" i="102"/>
  <c r="J11" i="102" s="1"/>
  <c r="O6" i="9"/>
  <c r="J46" i="117"/>
  <c r="K46" i="117" s="1"/>
  <c r="K48" i="117" s="1"/>
  <c r="K51" i="117" s="1"/>
  <c r="K52" i="117" s="1"/>
  <c r="L6" i="103"/>
  <c r="L6" i="9"/>
  <c r="I7" i="101"/>
  <c r="J7" i="101" s="1"/>
  <c r="J6" i="101"/>
  <c r="J23" i="102"/>
  <c r="K7" i="103"/>
  <c r="L7" i="103" s="1"/>
  <c r="K12" i="9"/>
  <c r="M12" i="9" s="1"/>
  <c r="N12" i="9" s="1"/>
  <c r="O12" i="9" s="1"/>
  <c r="K9" i="9"/>
  <c r="L9" i="9" s="1"/>
  <c r="K10" i="9"/>
  <c r="L10" i="9" s="1"/>
  <c r="K13" i="9"/>
  <c r="L13" i="9" s="1"/>
  <c r="K14" i="9"/>
  <c r="L14" i="9" s="1"/>
  <c r="K7" i="114"/>
  <c r="L7" i="114" s="1"/>
  <c r="K22" i="114"/>
  <c r="L22" i="114" s="1"/>
  <c r="K6" i="114"/>
  <c r="L6" i="114" s="1"/>
  <c r="K8" i="114"/>
  <c r="L8" i="114" s="1"/>
  <c r="K18" i="114"/>
  <c r="L18" i="114" s="1"/>
  <c r="K19" i="114"/>
  <c r="L19" i="114" s="1"/>
  <c r="M9" i="113"/>
  <c r="N9" i="113" s="1"/>
  <c r="O9" i="113" s="1"/>
  <c r="L9" i="113"/>
  <c r="K9" i="113"/>
  <c r="M12" i="113"/>
  <c r="N12" i="113" s="1"/>
  <c r="O12" i="113" s="1"/>
  <c r="L12" i="113"/>
  <c r="K12" i="113"/>
  <c r="K10" i="113"/>
  <c r="M10" i="113"/>
  <c r="N10" i="113" s="1"/>
  <c r="O10" i="113" s="1"/>
  <c r="L10" i="113"/>
  <c r="L17" i="113"/>
  <c r="M17" i="113"/>
  <c r="N17" i="113" s="1"/>
  <c r="O17" i="113" s="1"/>
  <c r="K17" i="113"/>
  <c r="M14" i="113"/>
  <c r="N14" i="113" s="1"/>
  <c r="O14" i="113" s="1"/>
  <c r="L14" i="113"/>
  <c r="K14" i="113"/>
  <c r="J20" i="113"/>
  <c r="M12" i="112"/>
  <c r="N12" i="112" s="1"/>
  <c r="O12" i="112" s="1"/>
  <c r="L12" i="112"/>
  <c r="K12" i="112"/>
  <c r="L15" i="112"/>
  <c r="M15" i="112"/>
  <c r="N15" i="112" s="1"/>
  <c r="O15" i="112" s="1"/>
  <c r="K15" i="112"/>
  <c r="M11" i="112"/>
  <c r="N11" i="112" s="1"/>
  <c r="O11" i="112" s="1"/>
  <c r="L11" i="112"/>
  <c r="K11" i="112"/>
  <c r="K17" i="112"/>
  <c r="M17" i="112"/>
  <c r="N17" i="112" s="1"/>
  <c r="O17" i="112" s="1"/>
  <c r="L17" i="112"/>
  <c r="L7" i="112"/>
  <c r="K7" i="112"/>
  <c r="M7" i="112"/>
  <c r="N7" i="112" s="1"/>
  <c r="O7" i="112" s="1"/>
  <c r="K10" i="112"/>
  <c r="M10" i="112"/>
  <c r="N10" i="112" s="1"/>
  <c r="O10" i="112" s="1"/>
  <c r="L10" i="112"/>
  <c r="L16" i="112"/>
  <c r="K16" i="112"/>
  <c r="M16" i="112"/>
  <c r="N16" i="112" s="1"/>
  <c r="O16" i="112" s="1"/>
  <c r="K20" i="112"/>
  <c r="L20" i="112"/>
  <c r="M20" i="112"/>
  <c r="N20" i="112" s="1"/>
  <c r="O20" i="112" s="1"/>
  <c r="K8" i="112"/>
  <c r="M8" i="112"/>
  <c r="N8" i="112" s="1"/>
  <c r="O8" i="112" s="1"/>
  <c r="L8" i="112"/>
  <c r="M18" i="111"/>
  <c r="N18" i="111" s="1"/>
  <c r="O18" i="111" s="1"/>
  <c r="L18" i="111"/>
  <c r="K18" i="111"/>
  <c r="M12" i="111"/>
  <c r="N12" i="111" s="1"/>
  <c r="O12" i="111" s="1"/>
  <c r="L12" i="111"/>
  <c r="K12" i="111"/>
  <c r="L16" i="111"/>
  <c r="M16" i="111"/>
  <c r="N16" i="111" s="1"/>
  <c r="O16" i="111" s="1"/>
  <c r="K16" i="111"/>
  <c r="M11" i="111"/>
  <c r="N11" i="111" s="1"/>
  <c r="O11" i="111" s="1"/>
  <c r="L11" i="111"/>
  <c r="K11" i="111"/>
  <c r="K10" i="111"/>
  <c r="L10" i="111"/>
  <c r="M10" i="111"/>
  <c r="N10" i="111" s="1"/>
  <c r="O10" i="111" s="1"/>
  <c r="K20" i="111"/>
  <c r="M20" i="111"/>
  <c r="N20" i="111" s="1"/>
  <c r="O20" i="111" s="1"/>
  <c r="L20" i="111"/>
  <c r="K10" i="109"/>
  <c r="L10" i="109"/>
  <c r="M10" i="109"/>
  <c r="N10" i="109" s="1"/>
  <c r="O10" i="109" s="1"/>
  <c r="M12" i="109"/>
  <c r="N12" i="109" s="1"/>
  <c r="O12" i="109" s="1"/>
  <c r="K12" i="109"/>
  <c r="L12" i="109"/>
  <c r="M17" i="109"/>
  <c r="N17" i="109" s="1"/>
  <c r="O17" i="109" s="1"/>
  <c r="K17" i="109"/>
  <c r="L17" i="109"/>
  <c r="J11" i="109"/>
  <c r="J20" i="109"/>
  <c r="J7" i="109"/>
  <c r="K8" i="109"/>
  <c r="M8" i="109"/>
  <c r="N8" i="109" s="1"/>
  <c r="O8" i="109" s="1"/>
  <c r="L8" i="109"/>
  <c r="J16" i="109"/>
  <c r="M9" i="108"/>
  <c r="N9" i="108" s="1"/>
  <c r="O9" i="108" s="1"/>
  <c r="L9" i="108"/>
  <c r="K9" i="108"/>
  <c r="J10" i="108"/>
  <c r="M8" i="108"/>
  <c r="N8" i="108" s="1"/>
  <c r="O8" i="108" s="1"/>
  <c r="L8" i="108"/>
  <c r="K8" i="108"/>
  <c r="K20" i="108"/>
  <c r="M20" i="108"/>
  <c r="N20" i="108" s="1"/>
  <c r="O20" i="108" s="1"/>
  <c r="L20" i="108"/>
  <c r="M17" i="108"/>
  <c r="N17" i="108" s="1"/>
  <c r="O17" i="108" s="1"/>
  <c r="L17" i="108"/>
  <c r="K17" i="108"/>
  <c r="M14" i="108"/>
  <c r="N14" i="108" s="1"/>
  <c r="O14" i="108" s="1"/>
  <c r="L14" i="108"/>
  <c r="K14" i="108"/>
  <c r="M12" i="108"/>
  <c r="N12" i="108" s="1"/>
  <c r="O12" i="108" s="1"/>
  <c r="L12" i="108"/>
  <c r="K12" i="108"/>
  <c r="L7" i="108"/>
  <c r="K7" i="108"/>
  <c r="M7" i="108"/>
  <c r="N7" i="108" s="1"/>
  <c r="O7" i="108" s="1"/>
  <c r="K20" i="107"/>
  <c r="M20" i="107"/>
  <c r="N20" i="107" s="1"/>
  <c r="O20" i="107" s="1"/>
  <c r="L20" i="107"/>
  <c r="L14" i="107"/>
  <c r="K14" i="107"/>
  <c r="M14" i="107"/>
  <c r="N14" i="107" s="1"/>
  <c r="O14" i="107" s="1"/>
  <c r="K18" i="107"/>
  <c r="M18" i="107"/>
  <c r="N18" i="107" s="1"/>
  <c r="O18" i="107" s="1"/>
  <c r="L18" i="107"/>
  <c r="K10" i="107"/>
  <c r="M10" i="107"/>
  <c r="N10" i="107" s="1"/>
  <c r="O10" i="107" s="1"/>
  <c r="L10" i="107"/>
  <c r="J8" i="107"/>
  <c r="K17" i="107"/>
  <c r="M17" i="107"/>
  <c r="N17" i="107" s="1"/>
  <c r="O17" i="107" s="1"/>
  <c r="L17" i="107"/>
  <c r="K9" i="107"/>
  <c r="M9" i="107"/>
  <c r="N9" i="107" s="1"/>
  <c r="O9" i="107" s="1"/>
  <c r="L9" i="107"/>
  <c r="L7" i="107"/>
  <c r="K7" i="107"/>
  <c r="M7" i="107"/>
  <c r="N7" i="107" s="1"/>
  <c r="O7" i="107" s="1"/>
  <c r="J16" i="107"/>
  <c r="K11" i="106"/>
  <c r="L11" i="106"/>
  <c r="M11" i="106"/>
  <c r="N11" i="106" s="1"/>
  <c r="O11" i="106" s="1"/>
  <c r="K14" i="106"/>
  <c r="L14" i="106"/>
  <c r="M14" i="106"/>
  <c r="N14" i="106" s="1"/>
  <c r="O14" i="106" s="1"/>
  <c r="K20" i="106"/>
  <c r="M20" i="106"/>
  <c r="N20" i="106" s="1"/>
  <c r="O20" i="106" s="1"/>
  <c r="L20" i="106"/>
  <c r="M8" i="106"/>
  <c r="N8" i="106" s="1"/>
  <c r="O8" i="106" s="1"/>
  <c r="L8" i="106"/>
  <c r="K8" i="106"/>
  <c r="L16" i="106"/>
  <c r="M16" i="106"/>
  <c r="N16" i="106" s="1"/>
  <c r="O16" i="106" s="1"/>
  <c r="K16" i="106"/>
  <c r="M9" i="106"/>
  <c r="N9" i="106" s="1"/>
  <c r="O9" i="106" s="1"/>
  <c r="L9" i="106"/>
  <c r="K9" i="106"/>
  <c r="L7" i="106"/>
  <c r="K7" i="106"/>
  <c r="M7" i="106"/>
  <c r="N7" i="106" s="1"/>
  <c r="O7" i="106" s="1"/>
  <c r="M18" i="106"/>
  <c r="N18" i="106" s="1"/>
  <c r="O18" i="106" s="1"/>
  <c r="L18" i="106"/>
  <c r="K18" i="106"/>
  <c r="K17" i="106"/>
  <c r="L17" i="106"/>
  <c r="M17" i="106"/>
  <c r="N17" i="106" s="1"/>
  <c r="O17" i="106" s="1"/>
  <c r="M12" i="106"/>
  <c r="N12" i="106" s="1"/>
  <c r="O12" i="106" s="1"/>
  <c r="L12" i="106"/>
  <c r="K12" i="106"/>
  <c r="M8" i="105"/>
  <c r="N8" i="105" s="1"/>
  <c r="O8" i="105" s="1"/>
  <c r="L8" i="105"/>
  <c r="K8" i="105"/>
  <c r="K10" i="105"/>
  <c r="M10" i="105"/>
  <c r="N10" i="105" s="1"/>
  <c r="O10" i="105" s="1"/>
  <c r="L10" i="105"/>
  <c r="M12" i="105"/>
  <c r="N12" i="105" s="1"/>
  <c r="O12" i="105" s="1"/>
  <c r="L12" i="105"/>
  <c r="K12" i="105"/>
  <c r="M14" i="105"/>
  <c r="N14" i="105" s="1"/>
  <c r="O14" i="105" s="1"/>
  <c r="L14" i="105"/>
  <c r="K14" i="105"/>
  <c r="M15" i="105"/>
  <c r="N15" i="105" s="1"/>
  <c r="O15" i="105" s="1"/>
  <c r="L15" i="105"/>
  <c r="K15" i="105"/>
  <c r="M18" i="105"/>
  <c r="N18" i="105" s="1"/>
  <c r="O18" i="105" s="1"/>
  <c r="L18" i="105"/>
  <c r="K18" i="105"/>
  <c r="M17" i="105"/>
  <c r="N17" i="105" s="1"/>
  <c r="O17" i="105" s="1"/>
  <c r="L17" i="105"/>
  <c r="K17" i="105"/>
  <c r="J20" i="105"/>
  <c r="M12" i="104"/>
  <c r="N12" i="104" s="1"/>
  <c r="O12" i="104" s="1"/>
  <c r="L12" i="104"/>
  <c r="K12" i="104"/>
  <c r="L16" i="104"/>
  <c r="K16" i="104"/>
  <c r="M16" i="104"/>
  <c r="N16" i="104" s="1"/>
  <c r="O16" i="104" s="1"/>
  <c r="J17" i="104"/>
  <c r="K8" i="104"/>
  <c r="M8" i="104"/>
  <c r="N8" i="104" s="1"/>
  <c r="O8" i="104" s="1"/>
  <c r="L8" i="104"/>
  <c r="J20" i="104"/>
  <c r="M11" i="104"/>
  <c r="N11" i="104" s="1"/>
  <c r="O11" i="104" s="1"/>
  <c r="L11" i="104"/>
  <c r="K11" i="104"/>
  <c r="K10" i="104"/>
  <c r="L10" i="104"/>
  <c r="M10" i="104"/>
  <c r="N10" i="104" s="1"/>
  <c r="O10" i="104" s="1"/>
  <c r="K14" i="102"/>
  <c r="L14" i="102" s="1"/>
  <c r="J8" i="102"/>
  <c r="J9" i="102"/>
  <c r="K13" i="101"/>
  <c r="L13" i="101" s="1"/>
  <c r="K9" i="101"/>
  <c r="L9" i="101" s="1"/>
  <c r="K16" i="101"/>
  <c r="L16" i="101" s="1"/>
  <c r="K11" i="101"/>
  <c r="L11" i="101" s="1"/>
  <c r="K8" i="101"/>
  <c r="L8" i="101" s="1"/>
  <c r="K14" i="101"/>
  <c r="L14" i="101" s="1"/>
  <c r="K9" i="100"/>
  <c r="L9" i="100" s="1"/>
  <c r="K8" i="100"/>
  <c r="L8" i="100" s="1"/>
  <c r="K11" i="100"/>
  <c r="L11" i="100" s="1"/>
  <c r="J12" i="100"/>
  <c r="J17" i="100"/>
  <c r="K18" i="100"/>
  <c r="L18" i="100" s="1"/>
  <c r="J10" i="100"/>
  <c r="J20" i="100"/>
  <c r="F21" i="1"/>
  <c r="M22" i="114" l="1"/>
  <c r="N22" i="114" s="1"/>
  <c r="O22" i="114" s="1"/>
  <c r="M19" i="114"/>
  <c r="N19" i="114" s="1"/>
  <c r="O19" i="114" s="1"/>
  <c r="M18" i="114"/>
  <c r="N18" i="114" s="1"/>
  <c r="O18" i="114" s="1"/>
  <c r="M17" i="114"/>
  <c r="N17" i="114" s="1"/>
  <c r="O17" i="114" s="1"/>
  <c r="M8" i="114"/>
  <c r="N8" i="114" s="1"/>
  <c r="O8" i="114" s="1"/>
  <c r="M7" i="114"/>
  <c r="N7" i="114" s="1"/>
  <c r="O7" i="114" s="1"/>
  <c r="M6" i="114"/>
  <c r="N6" i="114" s="1"/>
  <c r="O6" i="114" s="1"/>
  <c r="K16" i="114"/>
  <c r="L16" i="114" s="1"/>
  <c r="K13" i="114"/>
  <c r="L13" i="114" s="1"/>
  <c r="L24" i="114" s="1"/>
  <c r="N44" i="103"/>
  <c r="O44" i="103" s="1"/>
  <c r="N41" i="103"/>
  <c r="O41" i="103" s="1"/>
  <c r="N40" i="103"/>
  <c r="O40" i="103" s="1"/>
  <c r="N39" i="103"/>
  <c r="O39" i="103" s="1"/>
  <c r="M38" i="103"/>
  <c r="N34" i="103"/>
  <c r="O34" i="103" s="1"/>
  <c r="N33" i="103"/>
  <c r="O33" i="103" s="1"/>
  <c r="N32" i="103"/>
  <c r="O32" i="103" s="1"/>
  <c r="N31" i="103"/>
  <c r="O31" i="103" s="1"/>
  <c r="N30" i="103"/>
  <c r="O30" i="103" s="1"/>
  <c r="N28" i="103"/>
  <c r="O28" i="103" s="1"/>
  <c r="N26" i="103"/>
  <c r="O26" i="103" s="1"/>
  <c r="K25" i="103"/>
  <c r="M25" i="103"/>
  <c r="L25" i="103"/>
  <c r="N24" i="103"/>
  <c r="O24" i="103" s="1"/>
  <c r="K16" i="103"/>
  <c r="L16" i="103" s="1"/>
  <c r="M16" i="103"/>
  <c r="K14" i="103"/>
  <c r="L14" i="103" s="1"/>
  <c r="M14" i="103"/>
  <c r="N13" i="103"/>
  <c r="O13" i="103" s="1"/>
  <c r="N12" i="103"/>
  <c r="O12" i="103" s="1"/>
  <c r="N11" i="103"/>
  <c r="O11" i="103" s="1"/>
  <c r="M7" i="103"/>
  <c r="M19" i="101"/>
  <c r="N19" i="101" s="1"/>
  <c r="O19" i="101" s="1"/>
  <c r="M16" i="101"/>
  <c r="M14" i="101"/>
  <c r="N14" i="101" s="1"/>
  <c r="O14" i="101" s="1"/>
  <c r="M13" i="101"/>
  <c r="N13" i="101" s="1"/>
  <c r="O13" i="101" s="1"/>
  <c r="M11" i="101"/>
  <c r="N11" i="101" s="1"/>
  <c r="O11" i="101" s="1"/>
  <c r="M9" i="101"/>
  <c r="N9" i="101" s="1"/>
  <c r="O9" i="101" s="1"/>
  <c r="M8" i="101"/>
  <c r="N8" i="101" s="1"/>
  <c r="O8" i="101" s="1"/>
  <c r="K15" i="101"/>
  <c r="L15" i="101" s="1"/>
  <c r="N16" i="101"/>
  <c r="O16" i="101" s="1"/>
  <c r="L19" i="101"/>
  <c r="M8" i="100"/>
  <c r="N8" i="100" s="1"/>
  <c r="O8" i="100" s="1"/>
  <c r="M18" i="100"/>
  <c r="N18" i="100" s="1"/>
  <c r="O18" i="100" s="1"/>
  <c r="K16" i="100"/>
  <c r="L16" i="100" s="1"/>
  <c r="M16" i="100"/>
  <c r="N16" i="100" s="1"/>
  <c r="O16" i="100" s="1"/>
  <c r="M15" i="100"/>
  <c r="N15" i="100" s="1"/>
  <c r="O15" i="100" s="1"/>
  <c r="M9" i="100"/>
  <c r="N9" i="100" s="1"/>
  <c r="O9" i="100" s="1"/>
  <c r="M7" i="100"/>
  <c r="N7" i="100" s="1"/>
  <c r="O7" i="100" s="1"/>
  <c r="M11" i="100"/>
  <c r="N11" i="100" s="1"/>
  <c r="O11" i="100" s="1"/>
  <c r="M14" i="9"/>
  <c r="N14" i="9" s="1"/>
  <c r="O14" i="9" s="1"/>
  <c r="L12" i="9"/>
  <c r="M9" i="9"/>
  <c r="N9" i="9" s="1"/>
  <c r="O9" i="9" s="1"/>
  <c r="M13" i="9"/>
  <c r="N13" i="9" s="1"/>
  <c r="O13" i="9" s="1"/>
  <c r="M10" i="9"/>
  <c r="N10" i="9" s="1"/>
  <c r="O10" i="9" s="1"/>
  <c r="N15" i="102"/>
  <c r="O15" i="102" s="1"/>
  <c r="N17" i="102"/>
  <c r="O17" i="102" s="1"/>
  <c r="K10" i="102"/>
  <c r="L10" i="102" s="1"/>
  <c r="K23" i="102"/>
  <c r="L23" i="102" s="1"/>
  <c r="M23" i="102"/>
  <c r="M16" i="102"/>
  <c r="M14" i="102"/>
  <c r="K11" i="102"/>
  <c r="L11" i="102" s="1"/>
  <c r="K7" i="101"/>
  <c r="L7" i="101" s="1"/>
  <c r="K6" i="101"/>
  <c r="L6" i="101" s="1"/>
  <c r="O22" i="112"/>
  <c r="L22" i="112"/>
  <c r="O22" i="111"/>
  <c r="O23" i="111" s="1"/>
  <c r="L22" i="111"/>
  <c r="L22" i="106"/>
  <c r="O22" i="106"/>
  <c r="O23" i="106" s="1"/>
  <c r="K20" i="113"/>
  <c r="M20" i="113"/>
  <c r="N20" i="113" s="1"/>
  <c r="O20" i="113" s="1"/>
  <c r="O22" i="113" s="1"/>
  <c r="L20" i="113"/>
  <c r="L22" i="113" s="1"/>
  <c r="L16" i="109"/>
  <c r="K16" i="109"/>
  <c r="M16" i="109"/>
  <c r="N16" i="109" s="1"/>
  <c r="O16" i="109" s="1"/>
  <c r="L7" i="109"/>
  <c r="K7" i="109"/>
  <c r="M7" i="109"/>
  <c r="N7" i="109" s="1"/>
  <c r="O7" i="109" s="1"/>
  <c r="M11" i="109"/>
  <c r="N11" i="109" s="1"/>
  <c r="O11" i="109" s="1"/>
  <c r="L11" i="109"/>
  <c r="K11" i="109"/>
  <c r="K20" i="109"/>
  <c r="M20" i="109"/>
  <c r="N20" i="109" s="1"/>
  <c r="O20" i="109" s="1"/>
  <c r="L20" i="109"/>
  <c r="K10" i="108"/>
  <c r="L10" i="108"/>
  <c r="L22" i="108" s="1"/>
  <c r="M10" i="108"/>
  <c r="N10" i="108" s="1"/>
  <c r="O10" i="108" s="1"/>
  <c r="O22" i="108" s="1"/>
  <c r="L16" i="107"/>
  <c r="K16" i="107"/>
  <c r="M16" i="107"/>
  <c r="N16" i="107" s="1"/>
  <c r="O16" i="107" s="1"/>
  <c r="L8" i="107"/>
  <c r="K8" i="107"/>
  <c r="M8" i="107"/>
  <c r="N8" i="107" s="1"/>
  <c r="O8" i="107" s="1"/>
  <c r="O22" i="107" s="1"/>
  <c r="K20" i="105"/>
  <c r="M20" i="105"/>
  <c r="N20" i="105" s="1"/>
  <c r="O20" i="105" s="1"/>
  <c r="O22" i="105" s="1"/>
  <c r="L20" i="105"/>
  <c r="L22" i="105" s="1"/>
  <c r="K20" i="104"/>
  <c r="L20" i="104"/>
  <c r="M20" i="104"/>
  <c r="N20" i="104" s="1"/>
  <c r="O20" i="104" s="1"/>
  <c r="M17" i="104"/>
  <c r="N17" i="104" s="1"/>
  <c r="O17" i="104" s="1"/>
  <c r="L17" i="104"/>
  <c r="K17" i="104"/>
  <c r="K9" i="102"/>
  <c r="L9" i="102" s="1"/>
  <c r="K8" i="102"/>
  <c r="L8" i="102" s="1"/>
  <c r="K17" i="100"/>
  <c r="L17" i="100" s="1"/>
  <c r="K20" i="100"/>
  <c r="L20" i="100" s="1"/>
  <c r="K12" i="100"/>
  <c r="L12" i="100" s="1"/>
  <c r="K10" i="100"/>
  <c r="L10" i="100" s="1"/>
  <c r="I23" i="119"/>
  <c r="J23" i="119" s="1"/>
  <c r="C36" i="83"/>
  <c r="C33" i="83"/>
  <c r="I22" i="119" l="1"/>
  <c r="J22" i="119" s="1"/>
  <c r="J29" i="119" s="1"/>
  <c r="J30" i="119" s="1"/>
  <c r="J18" i="117"/>
  <c r="K18" i="117" s="1"/>
  <c r="J22" i="117"/>
  <c r="K22" i="117" s="1"/>
  <c r="J19" i="117"/>
  <c r="K19" i="117" s="1"/>
  <c r="J20" i="117"/>
  <c r="K20" i="117" s="1"/>
  <c r="J21" i="117"/>
  <c r="K21" i="117" s="1"/>
  <c r="M16" i="114"/>
  <c r="N16" i="114" s="1"/>
  <c r="O16" i="114" s="1"/>
  <c r="M13" i="114"/>
  <c r="N13" i="114" s="1"/>
  <c r="O13" i="114" s="1"/>
  <c r="O24" i="114" s="1"/>
  <c r="O25" i="114" s="1"/>
  <c r="N38" i="103"/>
  <c r="O38" i="103" s="1"/>
  <c r="N25" i="103"/>
  <c r="O25" i="103" s="1"/>
  <c r="N16" i="103"/>
  <c r="O16" i="103" s="1"/>
  <c r="N14" i="103"/>
  <c r="O14" i="103" s="1"/>
  <c r="N7" i="103"/>
  <c r="O7" i="103" s="1"/>
  <c r="M15" i="101"/>
  <c r="N15" i="101" s="1"/>
  <c r="O15" i="101" s="1"/>
  <c r="M7" i="101"/>
  <c r="N7" i="101" s="1"/>
  <c r="O7" i="101" s="1"/>
  <c r="M6" i="101"/>
  <c r="N6" i="101" s="1"/>
  <c r="O6" i="101" s="1"/>
  <c r="M20" i="100"/>
  <c r="N20" i="100" s="1"/>
  <c r="O20" i="100" s="1"/>
  <c r="M10" i="100"/>
  <c r="N10" i="100" s="1"/>
  <c r="O10" i="100" s="1"/>
  <c r="M12" i="100"/>
  <c r="N12" i="100" s="1"/>
  <c r="O12" i="100" s="1"/>
  <c r="M17" i="100"/>
  <c r="N17" i="100" s="1"/>
  <c r="O17" i="100" s="1"/>
  <c r="N23" i="102"/>
  <c r="O23" i="102" s="1"/>
  <c r="N16" i="102"/>
  <c r="O16" i="102" s="1"/>
  <c r="N14" i="102"/>
  <c r="O14" i="102" s="1"/>
  <c r="M8" i="102"/>
  <c r="N8" i="102" s="1"/>
  <c r="M9" i="102"/>
  <c r="N9" i="102" s="1"/>
  <c r="J23" i="117" s="1"/>
  <c r="K23" i="117" s="1"/>
  <c r="M11" i="102"/>
  <c r="N11" i="102" s="1"/>
  <c r="M10" i="102"/>
  <c r="N10" i="102" s="1"/>
  <c r="F11" i="15"/>
  <c r="G11" i="15" s="1"/>
  <c r="L22" i="104"/>
  <c r="O22" i="104"/>
  <c r="O23" i="104" s="1"/>
  <c r="L22" i="107"/>
  <c r="O23" i="107"/>
  <c r="O23" i="113"/>
  <c r="O23" i="112"/>
  <c r="O23" i="108"/>
  <c r="O22" i="109"/>
  <c r="L22" i="109"/>
  <c r="O23" i="105"/>
  <c r="C19" i="83"/>
  <c r="C20" i="83"/>
  <c r="C21" i="83"/>
  <c r="C22" i="83"/>
  <c r="C23" i="83"/>
  <c r="C24" i="83"/>
  <c r="C25" i="83"/>
  <c r="C26" i="83"/>
  <c r="C27" i="83"/>
  <c r="C18" i="83"/>
  <c r="O9" i="102" l="1"/>
  <c r="O8" i="102"/>
  <c r="O10" i="102"/>
  <c r="J24" i="117"/>
  <c r="K24" i="117" s="1"/>
  <c r="J25" i="117"/>
  <c r="K25" i="117" s="1"/>
  <c r="O11" i="102"/>
  <c r="O23" i="109"/>
  <c r="M5" i="83"/>
  <c r="M6" i="83"/>
  <c r="M7" i="83"/>
  <c r="M8" i="83"/>
  <c r="M9" i="83"/>
  <c r="M10" i="83"/>
  <c r="M11" i="83"/>
  <c r="M12" i="83"/>
  <c r="M13" i="83"/>
  <c r="M4" i="83"/>
  <c r="L14" i="83"/>
  <c r="J14" i="83"/>
  <c r="K4" i="83"/>
  <c r="K5" i="83"/>
  <c r="K14" i="83" s="1"/>
  <c r="K6" i="83"/>
  <c r="K7" i="83"/>
  <c r="K8" i="83"/>
  <c r="K9" i="83"/>
  <c r="K10" i="83"/>
  <c r="K11" i="83"/>
  <c r="K12" i="83"/>
  <c r="K13" i="83"/>
  <c r="H5" i="83"/>
  <c r="H6" i="83"/>
  <c r="H7" i="83"/>
  <c r="H8" i="83"/>
  <c r="H9" i="83"/>
  <c r="H10" i="83"/>
  <c r="H11" i="83"/>
  <c r="H12" i="83"/>
  <c r="H13" i="83"/>
  <c r="H4" i="83"/>
  <c r="E5" i="83"/>
  <c r="E6" i="83"/>
  <c r="E7" i="83"/>
  <c r="E8" i="83"/>
  <c r="E9" i="83"/>
  <c r="E10" i="83"/>
  <c r="E11" i="83"/>
  <c r="E12" i="83"/>
  <c r="E13" i="83"/>
  <c r="E4" i="83"/>
  <c r="K27" i="117" l="1"/>
  <c r="M14" i="83"/>
  <c r="G23" i="82"/>
  <c r="I23" i="82" s="1"/>
  <c r="D23" i="82"/>
  <c r="G24" i="82"/>
  <c r="I24" i="82" s="1"/>
  <c r="D24" i="82"/>
  <c r="G22" i="82"/>
  <c r="I22" i="82" s="1"/>
  <c r="J22" i="82" s="1"/>
  <c r="D22" i="82"/>
  <c r="G21" i="82"/>
  <c r="I21" i="82" s="1"/>
  <c r="D21" i="82"/>
  <c r="E19" i="82"/>
  <c r="F19" i="82" s="1"/>
  <c r="D19" i="82"/>
  <c r="E18" i="82"/>
  <c r="F18" i="82" s="1"/>
  <c r="G18" i="82" s="1"/>
  <c r="D18" i="82"/>
  <c r="E17" i="82"/>
  <c r="F17" i="82" s="1"/>
  <c r="D17" i="82"/>
  <c r="E16" i="82"/>
  <c r="D16" i="82"/>
  <c r="E15" i="82"/>
  <c r="F15" i="82" s="1"/>
  <c r="D15" i="82"/>
  <c r="E14" i="82"/>
  <c r="D14" i="82"/>
  <c r="E13" i="82"/>
  <c r="F13" i="82" s="1"/>
  <c r="D13" i="82"/>
  <c r="E12" i="82"/>
  <c r="F12" i="82" s="1"/>
  <c r="D12" i="82"/>
  <c r="E11" i="82"/>
  <c r="F11" i="82" s="1"/>
  <c r="D11" i="82"/>
  <c r="E10" i="82"/>
  <c r="D10" i="82"/>
  <c r="D9" i="82"/>
  <c r="D8" i="82"/>
  <c r="G7" i="82"/>
  <c r="I7" i="82" s="1"/>
  <c r="D7" i="82"/>
  <c r="E6" i="82"/>
  <c r="F6" i="82" s="1"/>
  <c r="G6" i="82" s="1"/>
  <c r="D6" i="82"/>
  <c r="E5" i="82"/>
  <c r="D5" i="82"/>
  <c r="K4" i="82"/>
  <c r="F14" i="82" l="1"/>
  <c r="G14" i="82" s="1"/>
  <c r="K23" i="82"/>
  <c r="L23" i="82" s="1"/>
  <c r="M23" i="82" s="1"/>
  <c r="J23" i="82"/>
  <c r="F10" i="82"/>
  <c r="G10" i="82" s="1"/>
  <c r="D26" i="82"/>
  <c r="G9" i="82"/>
  <c r="I9" i="82" s="1"/>
  <c r="G19" i="82"/>
  <c r="H19" i="82" s="1"/>
  <c r="I19" i="82" s="1"/>
  <c r="K21" i="82"/>
  <c r="L21" i="82" s="1"/>
  <c r="M21" i="82" s="1"/>
  <c r="J21" i="82"/>
  <c r="H18" i="82"/>
  <c r="I18" i="82" s="1"/>
  <c r="J7" i="82"/>
  <c r="K7" i="82"/>
  <c r="L7" i="82" s="1"/>
  <c r="M7" i="82" s="1"/>
  <c r="G15" i="82"/>
  <c r="G11" i="82"/>
  <c r="H11" i="82" s="1"/>
  <c r="I11" i="82" s="1"/>
  <c r="H6" i="82"/>
  <c r="I6" i="82" s="1"/>
  <c r="J24" i="82"/>
  <c r="K24" i="82"/>
  <c r="L24" i="82" s="1"/>
  <c r="M24" i="82" s="1"/>
  <c r="G8" i="82"/>
  <c r="G12" i="82"/>
  <c r="H12" i="82" s="1"/>
  <c r="I12" i="82" s="1"/>
  <c r="K22" i="82"/>
  <c r="L22" i="82" s="1"/>
  <c r="M22" i="82" s="1"/>
  <c r="G13" i="82"/>
  <c r="G17" i="82"/>
  <c r="H13" i="82"/>
  <c r="I13" i="82" s="1"/>
  <c r="H17" i="82"/>
  <c r="I17" i="82" s="1"/>
  <c r="F16" i="82"/>
  <c r="G16" i="82" s="1"/>
  <c r="F5" i="82"/>
  <c r="H16" i="82" l="1"/>
  <c r="I16" i="82" s="1"/>
  <c r="H14" i="82"/>
  <c r="I14" i="82" s="1"/>
  <c r="H10" i="82"/>
  <c r="I10" i="82" s="1"/>
  <c r="J9" i="82"/>
  <c r="K9" i="82"/>
  <c r="L9" i="82" s="1"/>
  <c r="M9" i="82" s="1"/>
  <c r="J19" i="82"/>
  <c r="K19" i="82"/>
  <c r="L19" i="82" s="1"/>
  <c r="M19" i="82" s="1"/>
  <c r="K12" i="82"/>
  <c r="L12" i="82" s="1"/>
  <c r="M12" i="82" s="1"/>
  <c r="J12" i="82"/>
  <c r="K16" i="82"/>
  <c r="L16" i="82" s="1"/>
  <c r="M16" i="82" s="1"/>
  <c r="J16" i="82"/>
  <c r="J17" i="82"/>
  <c r="K17" i="82"/>
  <c r="L17" i="82" s="1"/>
  <c r="M17" i="82" s="1"/>
  <c r="K11" i="82"/>
  <c r="L11" i="82" s="1"/>
  <c r="M11" i="82" s="1"/>
  <c r="J11" i="82"/>
  <c r="J13" i="82"/>
  <c r="K13" i="82"/>
  <c r="L13" i="82" s="1"/>
  <c r="M13" i="82" s="1"/>
  <c r="H15" i="82"/>
  <c r="I15" i="82" s="1"/>
  <c r="J18" i="82"/>
  <c r="K18" i="82"/>
  <c r="L18" i="82" s="1"/>
  <c r="M18" i="82" s="1"/>
  <c r="J14" i="82"/>
  <c r="K14" i="82"/>
  <c r="L14" i="82" s="1"/>
  <c r="M14" i="82" s="1"/>
  <c r="I8" i="82"/>
  <c r="K6" i="82"/>
  <c r="L6" i="82" s="1"/>
  <c r="M6" i="82" s="1"/>
  <c r="J6" i="82"/>
  <c r="G5" i="82"/>
  <c r="J10" i="82" l="1"/>
  <c r="K10" i="82"/>
  <c r="L10" i="82" s="1"/>
  <c r="M10" i="82" s="1"/>
  <c r="K15" i="82"/>
  <c r="L15" i="82" s="1"/>
  <c r="M15" i="82" s="1"/>
  <c r="J15" i="82"/>
  <c r="H5" i="82"/>
  <c r="I5" i="82" s="1"/>
  <c r="K8" i="82"/>
  <c r="L8" i="82" s="1"/>
  <c r="M8" i="82" s="1"/>
  <c r="J8" i="82"/>
  <c r="K5" i="82" l="1"/>
  <c r="L5" i="82" s="1"/>
  <c r="M5" i="82" s="1"/>
  <c r="M26" i="82" s="1"/>
  <c r="J5" i="82"/>
  <c r="J26" i="82" s="1"/>
  <c r="M27" i="82" l="1"/>
  <c r="E18" i="75" l="1"/>
  <c r="E16" i="77" l="1"/>
  <c r="D23" i="81" l="1"/>
  <c r="D22" i="81"/>
  <c r="E19" i="81"/>
  <c r="F19" i="81" s="1"/>
  <c r="D19" i="81"/>
  <c r="E18" i="81"/>
  <c r="F18" i="81" s="1"/>
  <c r="D18" i="81"/>
  <c r="E17" i="81"/>
  <c r="F17" i="81" s="1"/>
  <c r="D17" i="81"/>
  <c r="E16" i="81"/>
  <c r="D16" i="81"/>
  <c r="E14" i="81"/>
  <c r="F14" i="81" s="1"/>
  <c r="D14" i="81"/>
  <c r="E13" i="81"/>
  <c r="F13" i="81" s="1"/>
  <c r="D13" i="81"/>
  <c r="F12" i="81"/>
  <c r="E12" i="81"/>
  <c r="D12" i="81"/>
  <c r="D11" i="81"/>
  <c r="E9" i="81"/>
  <c r="D9" i="81"/>
  <c r="D8" i="81"/>
  <c r="D7" i="81"/>
  <c r="D6" i="81"/>
  <c r="D5" i="81"/>
  <c r="K4" i="81"/>
  <c r="E23" i="80"/>
  <c r="F23" i="80" s="1"/>
  <c r="D23" i="80"/>
  <c r="E22" i="80"/>
  <c r="F22" i="80" s="1"/>
  <c r="D22" i="80"/>
  <c r="D21" i="80"/>
  <c r="E21" i="80"/>
  <c r="E19" i="80"/>
  <c r="D19" i="80"/>
  <c r="E18" i="80"/>
  <c r="D18" i="80"/>
  <c r="D17" i="80"/>
  <c r="E16" i="80"/>
  <c r="F16" i="80" s="1"/>
  <c r="D16" i="80"/>
  <c r="E15" i="80"/>
  <c r="F15" i="80" s="1"/>
  <c r="D15" i="80"/>
  <c r="E14" i="80"/>
  <c r="D14" i="80"/>
  <c r="E13" i="80"/>
  <c r="F13" i="80" s="1"/>
  <c r="D13" i="80"/>
  <c r="E12" i="80"/>
  <c r="D12" i="80"/>
  <c r="E11" i="80"/>
  <c r="E10" i="80"/>
  <c r="F10" i="80" s="1"/>
  <c r="D10" i="80"/>
  <c r="E9" i="80"/>
  <c r="F9" i="80" s="1"/>
  <c r="D9" i="80"/>
  <c r="E8" i="80"/>
  <c r="F8" i="80" s="1"/>
  <c r="D8" i="80"/>
  <c r="E7" i="80"/>
  <c r="F7" i="80" s="1"/>
  <c r="D7" i="80"/>
  <c r="E6" i="80"/>
  <c r="F6" i="80" s="1"/>
  <c r="D6" i="80"/>
  <c r="E5" i="80"/>
  <c r="D5" i="80"/>
  <c r="K4" i="80"/>
  <c r="I17" i="79"/>
  <c r="I15" i="79"/>
  <c r="H12" i="79"/>
  <c r="H11" i="79"/>
  <c r="I11" i="79" s="1"/>
  <c r="H10" i="79"/>
  <c r="I10" i="79" s="1"/>
  <c r="H9" i="79"/>
  <c r="I9" i="79" s="1"/>
  <c r="D23" i="78"/>
  <c r="G22" i="78"/>
  <c r="D22" i="78"/>
  <c r="D21" i="78"/>
  <c r="E19" i="78"/>
  <c r="F19" i="78" s="1"/>
  <c r="D19" i="78"/>
  <c r="E18" i="78"/>
  <c r="F18" i="78" s="1"/>
  <c r="D18" i="78"/>
  <c r="E17" i="78"/>
  <c r="D17" i="78"/>
  <c r="E16" i="78"/>
  <c r="F16" i="78" s="1"/>
  <c r="G16" i="78" s="1"/>
  <c r="D16" i="78"/>
  <c r="E15" i="78"/>
  <c r="D15" i="78"/>
  <c r="E14" i="78"/>
  <c r="D14" i="78"/>
  <c r="E13" i="78"/>
  <c r="F13" i="78" s="1"/>
  <c r="G13" i="78" s="1"/>
  <c r="D13" i="78"/>
  <c r="E12" i="78"/>
  <c r="F12" i="78" s="1"/>
  <c r="D12" i="78"/>
  <c r="E10" i="78"/>
  <c r="D10" i="78"/>
  <c r="E9" i="78"/>
  <c r="F9" i="78" s="1"/>
  <c r="G9" i="78" s="1"/>
  <c r="D9" i="78"/>
  <c r="E8" i="78"/>
  <c r="D8" i="78"/>
  <c r="D7" i="78"/>
  <c r="E6" i="78"/>
  <c r="D6" i="78"/>
  <c r="E5" i="78"/>
  <c r="F5" i="78" s="1"/>
  <c r="G5" i="78" s="1"/>
  <c r="D5" i="78"/>
  <c r="K4" i="78"/>
  <c r="E20" i="75"/>
  <c r="E17" i="75"/>
  <c r="E16" i="75"/>
  <c r="E15" i="75"/>
  <c r="H18" i="79" l="1"/>
  <c r="I12" i="79"/>
  <c r="I18" i="79" s="1"/>
  <c r="G16" i="80"/>
  <c r="H16" i="80" s="1"/>
  <c r="I16" i="80" s="1"/>
  <c r="G9" i="80"/>
  <c r="H9" i="80" s="1"/>
  <c r="F5" i="80"/>
  <c r="G5" i="80" s="1"/>
  <c r="H5" i="80" s="1"/>
  <c r="I5" i="80" s="1"/>
  <c r="G6" i="80"/>
  <c r="H6" i="80" s="1"/>
  <c r="G15" i="80"/>
  <c r="H15" i="80" s="1"/>
  <c r="G19" i="78"/>
  <c r="H19" i="78" s="1"/>
  <c r="I19" i="78" s="1"/>
  <c r="J19" i="78" s="1"/>
  <c r="G12" i="78"/>
  <c r="H12" i="78" s="1"/>
  <c r="G21" i="81"/>
  <c r="G13" i="81"/>
  <c r="H13" i="81" s="1"/>
  <c r="G6" i="81"/>
  <c r="E11" i="81"/>
  <c r="F11" i="81" s="1"/>
  <c r="G14" i="81"/>
  <c r="H14" i="81" s="1"/>
  <c r="I14" i="81" s="1"/>
  <c r="D15" i="81"/>
  <c r="G17" i="81"/>
  <c r="H17" i="81" s="1"/>
  <c r="E15" i="81"/>
  <c r="G8" i="81"/>
  <c r="F15" i="81"/>
  <c r="G18" i="81"/>
  <c r="H18" i="81" s="1"/>
  <c r="I18" i="81" s="1"/>
  <c r="G23" i="81"/>
  <c r="F9" i="81"/>
  <c r="G9" i="81" s="1"/>
  <c r="G12" i="81"/>
  <c r="F16" i="81"/>
  <c r="G16" i="81" s="1"/>
  <c r="G19" i="81"/>
  <c r="H19" i="81" s="1"/>
  <c r="D21" i="81"/>
  <c r="F21" i="80"/>
  <c r="G13" i="80"/>
  <c r="H13" i="80" s="1"/>
  <c r="I13" i="80" s="1"/>
  <c r="E17" i="80"/>
  <c r="G10" i="80"/>
  <c r="H10" i="80" s="1"/>
  <c r="I10" i="80" s="1"/>
  <c r="D11" i="80"/>
  <c r="D25" i="80" s="1"/>
  <c r="F14" i="80"/>
  <c r="G14" i="80" s="1"/>
  <c r="G7" i="80"/>
  <c r="H7" i="80" s="1"/>
  <c r="I7" i="80" s="1"/>
  <c r="F11" i="80"/>
  <c r="G11" i="80" s="1"/>
  <c r="F18" i="80"/>
  <c r="G18" i="80" s="1"/>
  <c r="H18" i="80" s="1"/>
  <c r="G22" i="80"/>
  <c r="H22" i="80" s="1"/>
  <c r="G8" i="80"/>
  <c r="H8" i="80" s="1"/>
  <c r="F12" i="80"/>
  <c r="F19" i="80"/>
  <c r="G23" i="80"/>
  <c r="H23" i="80" s="1"/>
  <c r="I12" i="78"/>
  <c r="G7" i="78"/>
  <c r="H5" i="78"/>
  <c r="I5" i="78" s="1"/>
  <c r="F6" i="78"/>
  <c r="G6" i="78" s="1"/>
  <c r="H9" i="78"/>
  <c r="I9" i="78" s="1"/>
  <c r="F10" i="78"/>
  <c r="H16" i="78"/>
  <c r="I16" i="78" s="1"/>
  <c r="D11" i="78"/>
  <c r="D25" i="78" s="1"/>
  <c r="H13" i="78"/>
  <c r="I13" i="78" s="1"/>
  <c r="F14" i="78"/>
  <c r="G14" i="78" s="1"/>
  <c r="F17" i="78"/>
  <c r="E11" i="78"/>
  <c r="F8" i="78"/>
  <c r="G8" i="78" s="1"/>
  <c r="H8" i="78" s="1"/>
  <c r="F15" i="78"/>
  <c r="G18" i="78"/>
  <c r="I22" i="78"/>
  <c r="G23" i="78"/>
  <c r="G15" i="81" l="1"/>
  <c r="H15" i="81" s="1"/>
  <c r="D25" i="81"/>
  <c r="I6" i="81"/>
  <c r="K6" i="81" s="1"/>
  <c r="L6" i="81" s="1"/>
  <c r="M6" i="81" s="1"/>
  <c r="I6" i="80"/>
  <c r="J6" i="80" s="1"/>
  <c r="I15" i="80"/>
  <c r="G21" i="80"/>
  <c r="H21" i="80" s="1"/>
  <c r="I21" i="80" s="1"/>
  <c r="I9" i="80"/>
  <c r="J9" i="80" s="1"/>
  <c r="K19" i="78"/>
  <c r="L19" i="78" s="1"/>
  <c r="M19" i="78" s="1"/>
  <c r="K14" i="81"/>
  <c r="L14" i="81" s="1"/>
  <c r="M14" i="81" s="1"/>
  <c r="J14" i="81"/>
  <c r="I21" i="81"/>
  <c r="I15" i="81"/>
  <c r="G11" i="81"/>
  <c r="H11" i="81" s="1"/>
  <c r="J18" i="81"/>
  <c r="K18" i="81"/>
  <c r="L18" i="81" s="1"/>
  <c r="M18" i="81" s="1"/>
  <c r="I23" i="81"/>
  <c r="G7" i="81"/>
  <c r="I7" i="81" s="1"/>
  <c r="G22" i="81"/>
  <c r="I13" i="81"/>
  <c r="G5" i="81"/>
  <c r="H9" i="81"/>
  <c r="I9" i="81" s="1"/>
  <c r="I8" i="81"/>
  <c r="I19" i="81"/>
  <c r="I17" i="81"/>
  <c r="H16" i="81"/>
  <c r="I16" i="81" s="1"/>
  <c r="H12" i="81"/>
  <c r="I12" i="81" s="1"/>
  <c r="J5" i="80"/>
  <c r="K5" i="80"/>
  <c r="L5" i="80" s="1"/>
  <c r="K7" i="80"/>
  <c r="L7" i="80" s="1"/>
  <c r="J7" i="80"/>
  <c r="K13" i="80"/>
  <c r="L13" i="80" s="1"/>
  <c r="M13" i="80" s="1"/>
  <c r="J13" i="80"/>
  <c r="G19" i="80"/>
  <c r="I22" i="80"/>
  <c r="F17" i="80"/>
  <c r="G17" i="80" s="1"/>
  <c r="K10" i="80"/>
  <c r="L10" i="80" s="1"/>
  <c r="M10" i="80" s="1"/>
  <c r="J10" i="80"/>
  <c r="G12" i="80"/>
  <c r="H12" i="80" s="1"/>
  <c r="K6" i="80"/>
  <c r="L6" i="80" s="1"/>
  <c r="I18" i="80"/>
  <c r="H14" i="80"/>
  <c r="I14" i="80"/>
  <c r="H11" i="80"/>
  <c r="I11" i="80" s="1"/>
  <c r="I23" i="80"/>
  <c r="K16" i="80"/>
  <c r="L16" i="80" s="1"/>
  <c r="M16" i="80" s="1"/>
  <c r="J16" i="80"/>
  <c r="I8" i="80"/>
  <c r="K5" i="78"/>
  <c r="L5" i="78" s="1"/>
  <c r="M5" i="78" s="1"/>
  <c r="J5" i="78"/>
  <c r="H6" i="78"/>
  <c r="I6" i="78" s="1"/>
  <c r="J22" i="78"/>
  <c r="K22" i="78"/>
  <c r="L22" i="78" s="1"/>
  <c r="M22" i="78" s="1"/>
  <c r="K9" i="78"/>
  <c r="L9" i="78" s="1"/>
  <c r="M9" i="78" s="1"/>
  <c r="J9" i="78"/>
  <c r="K13" i="78"/>
  <c r="L13" i="78" s="1"/>
  <c r="M13" i="78" s="1"/>
  <c r="J13" i="78"/>
  <c r="G10" i="78"/>
  <c r="H10" i="78" s="1"/>
  <c r="I10" i="78" s="1"/>
  <c r="I23" i="78"/>
  <c r="K16" i="78"/>
  <c r="L16" i="78" s="1"/>
  <c r="M16" i="78" s="1"/>
  <c r="J16" i="78"/>
  <c r="H14" i="78"/>
  <c r="I14" i="78" s="1"/>
  <c r="I7" i="78"/>
  <c r="F11" i="78"/>
  <c r="G11" i="78" s="1"/>
  <c r="K12" i="78"/>
  <c r="L12" i="78" s="1"/>
  <c r="M12" i="78" s="1"/>
  <c r="J12" i="78"/>
  <c r="H18" i="78"/>
  <c r="I18" i="78" s="1"/>
  <c r="G21" i="78"/>
  <c r="I8" i="78"/>
  <c r="G15" i="78"/>
  <c r="H15" i="78" s="1"/>
  <c r="G17" i="78"/>
  <c r="H17" i="78" s="1"/>
  <c r="M6" i="80" l="1"/>
  <c r="H10" i="77"/>
  <c r="M7" i="80"/>
  <c r="H11" i="77"/>
  <c r="M5" i="80"/>
  <c r="H9" i="77"/>
  <c r="J6" i="81"/>
  <c r="I22" i="81"/>
  <c r="I5" i="81"/>
  <c r="K9" i="80"/>
  <c r="L9" i="80" s="1"/>
  <c r="M9" i="80" s="1"/>
  <c r="K15" i="80"/>
  <c r="L15" i="80" s="1"/>
  <c r="M15" i="80" s="1"/>
  <c r="J15" i="80"/>
  <c r="I15" i="78"/>
  <c r="K15" i="78" s="1"/>
  <c r="L15" i="78" s="1"/>
  <c r="M15" i="78" s="1"/>
  <c r="H11" i="78"/>
  <c r="I11" i="78" s="1"/>
  <c r="K11" i="78" s="1"/>
  <c r="L11" i="78" s="1"/>
  <c r="M11" i="78" s="1"/>
  <c r="K16" i="81"/>
  <c r="L16" i="81" s="1"/>
  <c r="M16" i="81" s="1"/>
  <c r="J16" i="81"/>
  <c r="K7" i="81"/>
  <c r="L7" i="81" s="1"/>
  <c r="M7" i="81" s="1"/>
  <c r="J7" i="81"/>
  <c r="J8" i="81"/>
  <c r="K8" i="81"/>
  <c r="L8" i="81" s="1"/>
  <c r="M8" i="81" s="1"/>
  <c r="K17" i="81"/>
  <c r="L17" i="81" s="1"/>
  <c r="M17" i="81" s="1"/>
  <c r="J17" i="81"/>
  <c r="K21" i="81"/>
  <c r="L21" i="81" s="1"/>
  <c r="M21" i="81" s="1"/>
  <c r="J21" i="81"/>
  <c r="J12" i="81"/>
  <c r="K12" i="81"/>
  <c r="L12" i="81" s="1"/>
  <c r="M12" i="81" s="1"/>
  <c r="K15" i="81"/>
  <c r="L15" i="81" s="1"/>
  <c r="M15" i="81" s="1"/>
  <c r="J15" i="81"/>
  <c r="J23" i="81"/>
  <c r="K23" i="81"/>
  <c r="L23" i="81" s="1"/>
  <c r="M23" i="81" s="1"/>
  <c r="K13" i="81"/>
  <c r="L13" i="81" s="1"/>
  <c r="M13" i="81" s="1"/>
  <c r="J13" i="81"/>
  <c r="I11" i="81"/>
  <c r="J19" i="81"/>
  <c r="K19" i="81"/>
  <c r="L19" i="81" s="1"/>
  <c r="M19" i="81" s="1"/>
  <c r="K9" i="81"/>
  <c r="L9" i="81" s="1"/>
  <c r="M9" i="81" s="1"/>
  <c r="J9" i="81"/>
  <c r="J11" i="80"/>
  <c r="K11" i="80"/>
  <c r="L11" i="80" s="1"/>
  <c r="M11" i="80" s="1"/>
  <c r="I12" i="80"/>
  <c r="J14" i="80"/>
  <c r="K14" i="80"/>
  <c r="L14" i="80" s="1"/>
  <c r="M14" i="80" s="1"/>
  <c r="K23" i="80"/>
  <c r="L23" i="80" s="1"/>
  <c r="M23" i="80" s="1"/>
  <c r="J23" i="80"/>
  <c r="K22" i="80"/>
  <c r="L22" i="80" s="1"/>
  <c r="J22" i="80"/>
  <c r="J18" i="80"/>
  <c r="K18" i="80"/>
  <c r="L18" i="80" s="1"/>
  <c r="M18" i="80" s="1"/>
  <c r="H17" i="80"/>
  <c r="I17" i="80" s="1"/>
  <c r="K21" i="80"/>
  <c r="L21" i="80" s="1"/>
  <c r="J21" i="80"/>
  <c r="K8" i="80"/>
  <c r="L8" i="80" s="1"/>
  <c r="M8" i="80" s="1"/>
  <c r="J8" i="80"/>
  <c r="H19" i="80"/>
  <c r="I19" i="80" s="1"/>
  <c r="K23" i="78"/>
  <c r="L23" i="78" s="1"/>
  <c r="M23" i="78" s="1"/>
  <c r="J23" i="78"/>
  <c r="K10" i="78"/>
  <c r="L10" i="78" s="1"/>
  <c r="M10" i="78" s="1"/>
  <c r="J10" i="78"/>
  <c r="K18" i="78"/>
  <c r="L18" i="78" s="1"/>
  <c r="M18" i="78" s="1"/>
  <c r="J18" i="78"/>
  <c r="K6" i="78"/>
  <c r="L6" i="78" s="1"/>
  <c r="M6" i="78" s="1"/>
  <c r="J6" i="78"/>
  <c r="J7" i="78"/>
  <c r="K7" i="78"/>
  <c r="L7" i="78" s="1"/>
  <c r="M7" i="78" s="1"/>
  <c r="I21" i="78"/>
  <c r="K14" i="78"/>
  <c r="L14" i="78" s="1"/>
  <c r="M14" i="78" s="1"/>
  <c r="J14" i="78"/>
  <c r="K8" i="78"/>
  <c r="L8" i="78" s="1"/>
  <c r="M8" i="78" s="1"/>
  <c r="J8" i="78"/>
  <c r="I17" i="78"/>
  <c r="J15" i="78" l="1"/>
  <c r="M22" i="80"/>
  <c r="H17" i="77"/>
  <c r="I17" i="77" s="1"/>
  <c r="M21" i="80"/>
  <c r="H16" i="77"/>
  <c r="J22" i="81"/>
  <c r="K22" i="81"/>
  <c r="L22" i="81" s="1"/>
  <c r="M22" i="81" s="1"/>
  <c r="K5" i="81"/>
  <c r="L5" i="81" s="1"/>
  <c r="M5" i="81" s="1"/>
  <c r="J5" i="81"/>
  <c r="J11" i="78"/>
  <c r="J11" i="81"/>
  <c r="K11" i="81"/>
  <c r="L11" i="81" s="1"/>
  <c r="M11" i="81" s="1"/>
  <c r="K17" i="80"/>
  <c r="L17" i="80" s="1"/>
  <c r="M17" i="80" s="1"/>
  <c r="J17" i="80"/>
  <c r="K19" i="80"/>
  <c r="L19" i="80" s="1"/>
  <c r="M19" i="80" s="1"/>
  <c r="J19" i="80"/>
  <c r="K12" i="80"/>
  <c r="L12" i="80" s="1"/>
  <c r="M12" i="80" s="1"/>
  <c r="J12" i="80"/>
  <c r="K21" i="78"/>
  <c r="L21" i="78" s="1"/>
  <c r="M21" i="78" s="1"/>
  <c r="J21" i="78"/>
  <c r="K17" i="78"/>
  <c r="L17" i="78" s="1"/>
  <c r="M17" i="78" s="1"/>
  <c r="J17" i="78"/>
  <c r="J25" i="81" l="1"/>
  <c r="M25" i="80"/>
  <c r="M25" i="78"/>
  <c r="H18" i="77"/>
  <c r="M25" i="81"/>
  <c r="M26" i="81" s="1"/>
  <c r="J25" i="80"/>
  <c r="J25" i="78"/>
  <c r="M26" i="78" l="1"/>
  <c r="M26" i="80"/>
  <c r="I16" i="77"/>
  <c r="I14" i="77"/>
  <c r="I12" i="77"/>
  <c r="I11" i="77"/>
  <c r="I10" i="77"/>
  <c r="I9" i="77"/>
  <c r="I16" i="76"/>
  <c r="I14" i="76"/>
  <c r="H12" i="76"/>
  <c r="H11" i="76"/>
  <c r="I11" i="76" s="1"/>
  <c r="H10" i="76"/>
  <c r="I10" i="76" s="1"/>
  <c r="H9" i="76"/>
  <c r="I9" i="76" s="1"/>
  <c r="I18" i="77" l="1"/>
  <c r="H17" i="76"/>
  <c r="I12" i="76"/>
  <c r="I17" i="76" s="1"/>
  <c r="F10" i="15" l="1"/>
  <c r="G10" i="15" l="1"/>
  <c r="H11" i="75" l="1"/>
  <c r="I11" i="75" s="1"/>
  <c r="H18" i="75" l="1"/>
  <c r="I18" i="75" s="1"/>
  <c r="E12" i="62" l="1"/>
  <c r="E11" i="62"/>
  <c r="E10" i="62"/>
  <c r="E9" i="62"/>
  <c r="I16" i="62"/>
  <c r="I14" i="62"/>
  <c r="E7" i="9" l="1"/>
  <c r="G7" i="9"/>
  <c r="E8" i="9"/>
  <c r="G8" i="9"/>
  <c r="E15" i="9"/>
  <c r="G15" i="9"/>
  <c r="H8" i="9" l="1"/>
  <c r="I8" i="9" s="1"/>
  <c r="H15" i="9"/>
  <c r="H7" i="9"/>
  <c r="I7" i="9" s="1"/>
  <c r="I15" i="9" l="1"/>
  <c r="J15" i="9" s="1"/>
  <c r="J7" i="9"/>
  <c r="J8" i="9"/>
  <c r="K7" i="9"/>
  <c r="L7" i="9" s="1"/>
  <c r="K8" i="9"/>
  <c r="L8" i="9" s="1"/>
  <c r="M8" i="9" l="1"/>
  <c r="N8" i="9" s="1"/>
  <c r="M7" i="9"/>
  <c r="N7" i="9" s="1"/>
  <c r="K15" i="9"/>
  <c r="L15" i="9" s="1"/>
  <c r="M15" i="9" l="1"/>
  <c r="N15" i="9" s="1"/>
  <c r="H15" i="75"/>
  <c r="I15" i="75" s="1"/>
  <c r="H42" i="59"/>
  <c r="I42" i="59" s="1"/>
  <c r="J42" i="59" s="1"/>
  <c r="K42" i="59" s="1"/>
  <c r="K34" i="59"/>
  <c r="J34" i="59"/>
  <c r="I34" i="59"/>
  <c r="H34" i="59"/>
  <c r="G34" i="59"/>
  <c r="K27" i="59"/>
  <c r="J27" i="59"/>
  <c r="I27" i="59"/>
  <c r="H27" i="59"/>
  <c r="G27" i="59"/>
  <c r="I13" i="59"/>
  <c r="J13" i="59" s="1"/>
  <c r="K13" i="59" s="1"/>
  <c r="H16" i="75" l="1"/>
  <c r="I16" i="75" s="1"/>
  <c r="L104" i="44" l="1"/>
  <c r="G104" i="44"/>
  <c r="M132" i="44"/>
  <c r="N132" i="44" s="1"/>
  <c r="M128" i="44"/>
  <c r="N128" i="44" s="1"/>
  <c r="H128" i="44"/>
  <c r="I128" i="44" s="1"/>
  <c r="H111" i="44"/>
  <c r="H110" i="44"/>
  <c r="I110" i="44" s="1"/>
  <c r="N111" i="44"/>
  <c r="M110" i="44"/>
  <c r="N110" i="44" s="1"/>
  <c r="M102" i="44"/>
  <c r="N102" i="44" s="1"/>
  <c r="H87" i="44"/>
  <c r="I87" i="44" s="1"/>
  <c r="I85" i="44"/>
  <c r="C67" i="44"/>
  <c r="H107" i="44" s="1"/>
  <c r="C76" i="44"/>
  <c r="M70" i="44" s="1"/>
  <c r="N70" i="44" s="1"/>
  <c r="N159" i="44"/>
  <c r="N158" i="44"/>
  <c r="N157" i="44"/>
  <c r="N156" i="44"/>
  <c r="N155" i="44"/>
  <c r="N154" i="44"/>
  <c r="N153" i="44"/>
  <c r="N152" i="44"/>
  <c r="N151" i="44"/>
  <c r="N150" i="44"/>
  <c r="N149" i="44"/>
  <c r="N148" i="44"/>
  <c r="N147" i="44"/>
  <c r="N146" i="44"/>
  <c r="N145" i="44"/>
  <c r="N144" i="44"/>
  <c r="N143" i="44"/>
  <c r="N142" i="44"/>
  <c r="N141" i="44"/>
  <c r="N140" i="44"/>
  <c r="N139" i="44"/>
  <c r="N138" i="44"/>
  <c r="N137" i="44"/>
  <c r="N136" i="44"/>
  <c r="N135" i="44"/>
  <c r="N134" i="44"/>
  <c r="N133" i="44"/>
  <c r="N131" i="44"/>
  <c r="N130" i="44"/>
  <c r="N129" i="44"/>
  <c r="N127" i="44"/>
  <c r="N126" i="44"/>
  <c r="N125" i="44"/>
  <c r="N124" i="44"/>
  <c r="N123" i="44"/>
  <c r="N121" i="44"/>
  <c r="N120" i="44"/>
  <c r="N119" i="44"/>
  <c r="N118" i="44"/>
  <c r="N117" i="44"/>
  <c r="N116" i="44"/>
  <c r="N115" i="44"/>
  <c r="N113" i="44"/>
  <c r="N112" i="44"/>
  <c r="N106" i="44"/>
  <c r="N105" i="44"/>
  <c r="N104" i="44"/>
  <c r="N101" i="44"/>
  <c r="N100" i="44"/>
  <c r="N99" i="44"/>
  <c r="N98" i="44"/>
  <c r="N97" i="44"/>
  <c r="N95" i="44"/>
  <c r="N94" i="44"/>
  <c r="N93" i="44"/>
  <c r="N92" i="44"/>
  <c r="N91" i="44"/>
  <c r="N89" i="44"/>
  <c r="N88" i="44"/>
  <c r="N87" i="44"/>
  <c r="N86" i="44"/>
  <c r="N85" i="44"/>
  <c r="N84" i="44"/>
  <c r="N82" i="44"/>
  <c r="N81" i="44"/>
  <c r="N80" i="44"/>
  <c r="N79" i="44"/>
  <c r="N77" i="44"/>
  <c r="N76" i="44"/>
  <c r="N75" i="44"/>
  <c r="N74" i="44"/>
  <c r="N73" i="44"/>
  <c r="N72" i="44"/>
  <c r="N71" i="44"/>
  <c r="N69" i="44"/>
  <c r="I159" i="44"/>
  <c r="I158" i="44"/>
  <c r="I157" i="44"/>
  <c r="I156" i="44"/>
  <c r="I155" i="44"/>
  <c r="I154" i="44"/>
  <c r="I153" i="44"/>
  <c r="I152" i="44"/>
  <c r="I151" i="44"/>
  <c r="I150" i="44"/>
  <c r="I149" i="44"/>
  <c r="I148" i="44"/>
  <c r="I147" i="44"/>
  <c r="I146" i="44"/>
  <c r="I145" i="44"/>
  <c r="I144" i="44"/>
  <c r="I143" i="44"/>
  <c r="I142" i="44"/>
  <c r="I141" i="44"/>
  <c r="I140" i="44"/>
  <c r="I139" i="44"/>
  <c r="I138" i="44"/>
  <c r="I137" i="44"/>
  <c r="I136" i="44"/>
  <c r="I135" i="44"/>
  <c r="I134" i="44"/>
  <c r="I133" i="44"/>
  <c r="I131" i="44"/>
  <c r="I130" i="44"/>
  <c r="I129" i="44"/>
  <c r="I127" i="44"/>
  <c r="I126" i="44"/>
  <c r="I125" i="44"/>
  <c r="I124" i="44"/>
  <c r="I123" i="44"/>
  <c r="I121" i="44"/>
  <c r="I120" i="44"/>
  <c r="I119" i="44"/>
  <c r="I118" i="44"/>
  <c r="I117" i="44"/>
  <c r="I116" i="44"/>
  <c r="I115" i="44"/>
  <c r="I113" i="44"/>
  <c r="I112" i="44"/>
  <c r="I111" i="44"/>
  <c r="I106" i="44"/>
  <c r="I105" i="44"/>
  <c r="I104" i="44"/>
  <c r="I101" i="44"/>
  <c r="I100" i="44"/>
  <c r="I99" i="44"/>
  <c r="I98" i="44"/>
  <c r="I97" i="44"/>
  <c r="I95" i="44"/>
  <c r="I94" i="44"/>
  <c r="I93" i="44"/>
  <c r="I92" i="44"/>
  <c r="I91" i="44"/>
  <c r="I89" i="44"/>
  <c r="I88" i="44"/>
  <c r="I86" i="44"/>
  <c r="I84" i="44"/>
  <c r="I71" i="44"/>
  <c r="I72" i="44"/>
  <c r="I73" i="44"/>
  <c r="I74" i="44"/>
  <c r="I75" i="44"/>
  <c r="I76" i="44"/>
  <c r="I77" i="44"/>
  <c r="I79" i="44"/>
  <c r="I80" i="44"/>
  <c r="I81" i="44"/>
  <c r="I82" i="44"/>
  <c r="I69" i="44"/>
  <c r="H132" i="44" l="1"/>
  <c r="I132" i="44" s="1"/>
  <c r="I107" i="44"/>
  <c r="H108" i="44"/>
  <c r="I108" i="44" s="1"/>
  <c r="H102" i="44"/>
  <c r="I102" i="44" s="1"/>
  <c r="M107" i="44"/>
  <c r="H70" i="44"/>
  <c r="I70" i="44" s="1"/>
  <c r="I160" i="44" s="1"/>
  <c r="H78" i="44"/>
  <c r="I78" i="44" s="1"/>
  <c r="M78" i="44"/>
  <c r="N78" i="44" s="1"/>
  <c r="N107" i="44" l="1"/>
  <c r="M108" i="44"/>
  <c r="N108" i="44" s="1"/>
  <c r="I161" i="44"/>
  <c r="N160" i="44" l="1"/>
  <c r="N161" i="44"/>
  <c r="O160" i="44"/>
  <c r="L34" i="44"/>
  <c r="L33" i="44"/>
  <c r="L32" i="44"/>
  <c r="L31" i="44"/>
  <c r="L30" i="44"/>
  <c r="L29" i="44"/>
  <c r="L28" i="44"/>
  <c r="L27" i="44"/>
  <c r="L26" i="44"/>
  <c r="L25" i="44"/>
  <c r="L24" i="44"/>
  <c r="L23" i="44"/>
  <c r="L22" i="44"/>
  <c r="L21" i="44"/>
  <c r="H61" i="44"/>
  <c r="H58" i="44"/>
  <c r="H52" i="44"/>
  <c r="H50" i="44"/>
  <c r="H45" i="44"/>
  <c r="H46" i="44"/>
  <c r="H47" i="44" s="1"/>
  <c r="H40" i="44"/>
  <c r="H41" i="44" s="1"/>
  <c r="H42" i="44" s="1"/>
  <c r="H38" i="44"/>
  <c r="H39" i="44" s="1"/>
  <c r="H35" i="44"/>
  <c r="H30" i="44"/>
  <c r="H32" i="44" s="1"/>
  <c r="H27" i="44"/>
  <c r="H29" i="44" s="1"/>
  <c r="H59" i="44"/>
  <c r="H62" i="44"/>
  <c r="H36" i="44"/>
  <c r="H23" i="44"/>
  <c r="H25" i="44" s="1"/>
  <c r="H22" i="44"/>
  <c r="H43" i="44"/>
  <c r="H48" i="44"/>
  <c r="H24" i="44" l="1"/>
  <c r="H31" i="44"/>
  <c r="H28" i="44"/>
  <c r="I11" i="44" l="1"/>
  <c r="I10" i="44"/>
  <c r="I9" i="44"/>
  <c r="I8" i="44"/>
  <c r="I7" i="44"/>
  <c r="I6" i="44"/>
  <c r="I5" i="44"/>
  <c r="I4" i="44"/>
  <c r="I3" i="44"/>
  <c r="H9" i="62" l="1"/>
  <c r="I9" i="62" s="1"/>
  <c r="H11" i="62"/>
  <c r="I11" i="62" s="1"/>
  <c r="H10" i="62"/>
  <c r="I10" i="62" s="1"/>
  <c r="H12" i="62" l="1"/>
  <c r="I12" i="62" l="1"/>
  <c r="I17" i="62" s="1"/>
  <c r="H17" i="62"/>
  <c r="O15" i="9" l="1"/>
  <c r="O8" i="9"/>
  <c r="O7" i="9"/>
  <c r="H17" i="75" l="1"/>
  <c r="I17" i="75" s="1"/>
  <c r="H10" i="75"/>
  <c r="H12" i="75" l="1"/>
  <c r="I12" i="75" s="1"/>
  <c r="I10" i="75"/>
  <c r="H13" i="75" l="1"/>
  <c r="I13" i="75" s="1"/>
  <c r="B4" i="15"/>
  <c r="J31" i="119" l="1"/>
  <c r="E6" i="9"/>
  <c r="E17" i="9" s="1"/>
  <c r="H20" i="75" l="1"/>
  <c r="L17" i="9"/>
  <c r="C5" i="15" s="1"/>
  <c r="F5" i="15" s="1"/>
  <c r="G5" i="15" l="1"/>
  <c r="I20" i="75"/>
  <c r="O17" i="9"/>
  <c r="O18" i="9" s="1"/>
  <c r="H9" i="75"/>
  <c r="I9" i="75" s="1"/>
  <c r="I21" i="75" l="1"/>
  <c r="H21" i="75"/>
  <c r="M21" i="1" l="1"/>
  <c r="C4" i="15" s="1"/>
  <c r="P21" i="1"/>
  <c r="K29" i="119" s="1"/>
  <c r="P22" i="1" l="1"/>
  <c r="F4" i="15"/>
  <c r="G4" i="15" l="1"/>
  <c r="E14" i="83" l="1"/>
  <c r="F8" i="83" l="1"/>
  <c r="F12" i="83"/>
  <c r="F11" i="83"/>
  <c r="F4" i="83"/>
  <c r="F10" i="83"/>
  <c r="F13" i="83"/>
  <c r="F5" i="83"/>
  <c r="F6" i="83"/>
  <c r="F9" i="83"/>
  <c r="F7" i="83"/>
  <c r="I14" i="83"/>
  <c r="H14" i="83"/>
  <c r="F14" i="83" l="1"/>
  <c r="J6" i="100" l="1"/>
  <c r="K6" i="100" l="1"/>
  <c r="M6" i="100" l="1"/>
  <c r="N6" i="100" s="1"/>
  <c r="O6" i="100" s="1"/>
  <c r="O22" i="100" s="1"/>
  <c r="L6" i="100"/>
  <c r="L22" i="100" s="1"/>
  <c r="C6" i="15" s="1"/>
  <c r="F6" i="15" l="1"/>
  <c r="G6" i="15" s="1"/>
  <c r="O23" i="100"/>
  <c r="O21" i="101"/>
  <c r="L21" i="101"/>
  <c r="C7" i="15" s="1"/>
  <c r="F7" i="15" l="1"/>
  <c r="O22" i="101"/>
  <c r="G7" i="15" l="1"/>
  <c r="J6" i="102"/>
  <c r="K6" i="102" l="1"/>
  <c r="M6" i="102" s="1"/>
  <c r="N6" i="102" s="1"/>
  <c r="O6" i="102" l="1"/>
  <c r="O25" i="102" s="1"/>
  <c r="L6" i="102"/>
  <c r="L25" i="102" s="1"/>
  <c r="C8" i="15" s="1"/>
  <c r="F8" i="15" l="1"/>
  <c r="O26" i="102"/>
  <c r="G8" i="15" l="1"/>
  <c r="H11" i="59" l="1"/>
  <c r="I11" i="59" s="1"/>
  <c r="J11" i="59" s="1"/>
  <c r="K11" i="59" s="1"/>
  <c r="G10" i="59"/>
  <c r="E22" i="103"/>
  <c r="G22" i="103"/>
  <c r="E17" i="103"/>
  <c r="G17" i="103"/>
  <c r="E18" i="103"/>
  <c r="G18" i="103"/>
  <c r="E20" i="103"/>
  <c r="G20" i="103"/>
  <c r="E19" i="103"/>
  <c r="G19" i="103"/>
  <c r="E21" i="103"/>
  <c r="G21" i="103"/>
  <c r="I22" i="103" l="1"/>
  <c r="J22" i="103" s="1"/>
  <c r="H22" i="103"/>
  <c r="H21" i="103"/>
  <c r="I21" i="103"/>
  <c r="J21" i="103" s="1"/>
  <c r="H20" i="103"/>
  <c r="J20" i="103" s="1"/>
  <c r="I20" i="103"/>
  <c r="I19" i="103"/>
  <c r="H19" i="103"/>
  <c r="J19" i="103" s="1"/>
  <c r="H18" i="103"/>
  <c r="I18" i="103"/>
  <c r="J18" i="103" s="1"/>
  <c r="H17" i="103"/>
  <c r="J17" i="103" s="1"/>
  <c r="I17" i="103"/>
  <c r="E8" i="103"/>
  <c r="G8" i="103"/>
  <c r="L22" i="103" l="1"/>
  <c r="K22" i="103"/>
  <c r="M22" i="103" s="1"/>
  <c r="K21" i="103"/>
  <c r="L21" i="103"/>
  <c r="M21" i="103"/>
  <c r="K20" i="103"/>
  <c r="L20" i="103" s="1"/>
  <c r="M20" i="103"/>
  <c r="K19" i="103"/>
  <c r="M19" i="103"/>
  <c r="L19" i="103"/>
  <c r="K18" i="103"/>
  <c r="L18" i="103" s="1"/>
  <c r="M18" i="103"/>
  <c r="K17" i="103"/>
  <c r="M17" i="103"/>
  <c r="L17" i="103"/>
  <c r="H8" i="103"/>
  <c r="I8" i="103"/>
  <c r="J8" i="103" s="1"/>
  <c r="N22" i="103" l="1"/>
  <c r="O22" i="103" s="1"/>
  <c r="N21" i="103"/>
  <c r="O21" i="103" s="1"/>
  <c r="N20" i="103"/>
  <c r="O20" i="103" s="1"/>
  <c r="N19" i="103"/>
  <c r="O19" i="103" s="1"/>
  <c r="N18" i="103"/>
  <c r="O18" i="103" s="1"/>
  <c r="N17" i="103"/>
  <c r="O17" i="103" s="1"/>
  <c r="K8" i="103"/>
  <c r="L8" i="103" s="1"/>
  <c r="L46" i="103" s="1"/>
  <c r="M8" i="103" l="1"/>
  <c r="C9" i="15"/>
  <c r="N8" i="103" l="1"/>
  <c r="O8" i="103" s="1"/>
  <c r="O46" i="103" s="1"/>
  <c r="G23" i="59"/>
  <c r="F9" i="15"/>
  <c r="C12" i="15"/>
  <c r="D4" i="15" s="1"/>
  <c r="K28" i="117" l="1"/>
  <c r="O47" i="103"/>
  <c r="D9" i="15"/>
  <c r="C16" i="15"/>
  <c r="F12" i="15"/>
  <c r="G9" i="15"/>
  <c r="G12" i="15" s="1"/>
  <c r="H22" i="59"/>
  <c r="H23" i="59" s="1"/>
  <c r="I9" i="59"/>
  <c r="D6" i="15"/>
  <c r="D8" i="15"/>
  <c r="D11" i="15"/>
  <c r="B31" i="83"/>
  <c r="D31" i="83" s="1"/>
  <c r="D10" i="15"/>
  <c r="D7" i="15"/>
  <c r="D5" i="15"/>
  <c r="K30" i="117" l="1"/>
  <c r="K31" i="117" s="1"/>
  <c r="K39" i="117" s="1"/>
  <c r="C15" i="15"/>
  <c r="C20" i="15" s="1"/>
  <c r="D12" i="15"/>
  <c r="J9" i="59"/>
  <c r="I22" i="59"/>
  <c r="I23" i="59" s="1"/>
  <c r="B32" i="83"/>
  <c r="K3" i="15"/>
  <c r="K5" i="15" s="1"/>
  <c r="C17" i="15" l="1"/>
  <c r="C21" i="15" s="1"/>
  <c r="C24" i="15" s="1"/>
  <c r="D25" i="15" s="1"/>
  <c r="C25" i="15" s="1"/>
  <c r="C26" i="15" s="1"/>
  <c r="C29" i="15" s="1"/>
  <c r="D29" i="15" s="1"/>
  <c r="B34" i="83"/>
  <c r="B36" i="83" s="1"/>
  <c r="D36" i="83" s="1"/>
  <c r="I23" i="15"/>
  <c r="B33" i="83"/>
  <c r="D32" i="83"/>
  <c r="J22" i="59"/>
  <c r="J23" i="59" s="1"/>
  <c r="K9" i="59"/>
  <c r="K22" i="59" s="1"/>
  <c r="K23" i="59" s="1"/>
  <c r="D26" i="15" l="1"/>
  <c r="H16" i="59"/>
  <c r="H18" i="59" s="1"/>
  <c r="H29" i="59" s="1"/>
  <c r="H36" i="59" s="1"/>
  <c r="I6" i="59"/>
  <c r="J6" i="59" l="1"/>
  <c r="I16" i="59"/>
  <c r="I18" i="59" s="1"/>
  <c r="I29" i="59" s="1"/>
  <c r="I36" i="59" s="1"/>
  <c r="G18" i="59"/>
  <c r="G29" i="59" s="1"/>
  <c r="G36" i="59" s="1"/>
  <c r="H43" i="59"/>
  <c r="H46" i="59" s="1"/>
  <c r="I43" i="59" l="1"/>
  <c r="I46" i="59" s="1"/>
  <c r="G43" i="59"/>
  <c r="G39" i="59"/>
  <c r="K6" i="59"/>
  <c r="J16" i="59"/>
  <c r="J18" i="59" s="1"/>
  <c r="J29" i="59" s="1"/>
  <c r="J36" i="59" s="1"/>
  <c r="J43" i="59" l="1"/>
  <c r="J46" i="59" s="1"/>
  <c r="K16" i="59"/>
  <c r="K18" i="59" s="1"/>
  <c r="K29" i="59" s="1"/>
  <c r="K36" i="59" s="1"/>
  <c r="G40" i="59"/>
  <c r="H38" i="59"/>
  <c r="H39" i="59" s="1"/>
  <c r="K43" i="59" l="1"/>
  <c r="F45" i="59"/>
  <c r="K6" i="15" s="1"/>
  <c r="I38" i="59"/>
  <c r="I39" i="59" s="1"/>
  <c r="H40" i="59"/>
  <c r="I18" i="120" l="1"/>
  <c r="I40" i="59"/>
  <c r="J38" i="59"/>
  <c r="J39" i="59" s="1"/>
  <c r="K46" i="59"/>
  <c r="H47" i="59" s="1"/>
  <c r="F44" i="59"/>
  <c r="L7" i="15" l="1"/>
  <c r="M7" i="15" s="1"/>
  <c r="J19" i="120"/>
  <c r="K19" i="120" s="1"/>
  <c r="B37" i="83"/>
  <c r="D38" i="83" s="1"/>
  <c r="K38" i="59"/>
  <c r="K39" i="59" s="1"/>
  <c r="K40" i="59" s="1"/>
  <c r="J40" i="59"/>
</calcChain>
</file>

<file path=xl/sharedStrings.xml><?xml version="1.0" encoding="utf-8"?>
<sst xmlns="http://schemas.openxmlformats.org/spreadsheetml/2006/main" count="2129" uniqueCount="655">
  <si>
    <t xml:space="preserve">          Description</t>
  </si>
  <si>
    <t>Qty</t>
  </si>
  <si>
    <t>Ancho de Banda</t>
  </si>
  <si>
    <t>Sistema CCTV Perímetro</t>
  </si>
  <si>
    <t>No.</t>
  </si>
  <si>
    <t>Modelo</t>
  </si>
  <si>
    <t>Tipo</t>
  </si>
  <si>
    <t>Resolución</t>
  </si>
  <si>
    <t>Cantidad</t>
  </si>
  <si>
    <t>Visualización</t>
  </si>
  <si>
    <t>Grabación</t>
  </si>
  <si>
    <t>LPR</t>
  </si>
  <si>
    <t>Reconocimiento Facial</t>
  </si>
  <si>
    <t>Conteo</t>
  </si>
  <si>
    <t>Total</t>
  </si>
  <si>
    <t>Analíticas</t>
  </si>
  <si>
    <t>Cámara fija IP para Perimetro Exterior
Modelo: XNV-6080R</t>
  </si>
  <si>
    <t>XNV-6080R</t>
  </si>
  <si>
    <t>Domo Exterior</t>
  </si>
  <si>
    <t>2MP</t>
  </si>
  <si>
    <t>77.35 Mbps</t>
  </si>
  <si>
    <t>168.76 Mbps</t>
  </si>
  <si>
    <t>246.10 Mbps</t>
  </si>
  <si>
    <t>• Manipulación
• Merodeo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</si>
  <si>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Perimetro Interior
Modelo: XND-6080RV</t>
  </si>
  <si>
    <t>XND-6080RV</t>
  </si>
  <si>
    <t>Domo Interior</t>
  </si>
  <si>
    <t>204.25 Mbps</t>
  </si>
  <si>
    <t>445.64 Mbps</t>
  </si>
  <si>
    <t>649.90 Mbps</t>
  </si>
  <si>
    <t>• Manipulación, 
• Merodeo, 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</si>
  <si>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Estacionamientos
Modelo: XNO-6080R</t>
  </si>
  <si>
    <t>XNO-6080R</t>
  </si>
  <si>
    <t>Bullet Exterior</t>
  </si>
  <si>
    <t>22.12 Mbps</t>
  </si>
  <si>
    <t>44.24 Mbps</t>
  </si>
  <si>
    <t>66.36 Mbps</t>
  </si>
  <si>
    <t>Cámara fija IP para Reconocimiento
Modelo: XNO-6080R</t>
  </si>
  <si>
    <t>PNM-9020V</t>
  </si>
  <si>
    <t xml:space="preserve">Panoramica Multi-sensor 180˚ </t>
  </si>
  <si>
    <t>7.3MP</t>
  </si>
  <si>
    <t>6.76 Mbps</t>
  </si>
  <si>
    <t>51.61 Mbps</t>
  </si>
  <si>
    <t>58.37 Mbps</t>
  </si>
  <si>
    <t>• Manipulación, 
• Línea virtual, entrada / salida, aparecer / desaparecer, 
• Detección de audio,
• Detección de desenfoque, 
• Seguimiento automático digital, 
• Mapa de calor</t>
  </si>
  <si>
    <t>Cámara fija IP Panoramica 180°
Modelo: PNM-9020V</t>
  </si>
  <si>
    <t>PNM-9000VQ</t>
  </si>
  <si>
    <t>Panoramica Multi-directional 360°</t>
  </si>
  <si>
    <t>8MP</t>
  </si>
  <si>
    <t>81.10 Mbps</t>
  </si>
  <si>
    <t>176.95 Mbps</t>
  </si>
  <si>
    <t>258.05 Mbps</t>
  </si>
  <si>
    <t>• Manipulación, 
• Merodeo, 
• Detección direccional, 
• Detección de empañamiento, 
• Línea virtual, entrada y salida, (des)aparición, 
• Detección facial, 
• Detección de movimiento, 
• Detección de desenfoque</t>
  </si>
  <si>
    <t>Camara fija IP Panoramica 360°
Modelo: PNM-9000VQ</t>
  </si>
  <si>
    <t>PNM-9320VQP</t>
  </si>
  <si>
    <t>Panoramica Multi-directional 360° + PTZ</t>
  </si>
  <si>
    <t>10MP</t>
  </si>
  <si>
    <t>172.71 Mbps</t>
  </si>
  <si>
    <t>282.62 Mbps</t>
  </si>
  <si>
    <t>455.34 Mbps</t>
  </si>
  <si>
    <t>• Adulteración, 
• Ociosidad, 
• Detección direccional, 
• Detección de neblina, 
• Línea virtual, entradas y salidas, apariciones y desapariciones, 
• Detección facial, 
• Detección de movimiento, 
• Detección de desenfoque (cámara multidireccional)</t>
  </si>
  <si>
    <t>Camara IP Panoramica 360°/PTZ
Modelo: PNM-9320VQP</t>
  </si>
  <si>
    <t>XNP-6320H</t>
  </si>
  <si>
    <t>Domo PTZ Exterior</t>
  </si>
  <si>
    <t>14.27 Mbps</t>
  </si>
  <si>
    <t>31.13 Mbps</t>
  </si>
  <si>
    <t>45.40 Mbps</t>
  </si>
  <si>
    <t>• Manipulación, 
• Merodeo, 
• Detección de dirección, 
• Detección de niebla, 
• Línea virtual, entrada y salida, (Des) aparece, 
• Detección de audio, 
• Detección de rostros, 
• Detección de movimiento, 
• Clasificación de sonidos</t>
  </si>
  <si>
    <t>Camara IP PTZ Perimetral
Modelo: XNP-6320H</t>
  </si>
  <si>
    <t>XNP-6320</t>
  </si>
  <si>
    <t>Domo PTZ Interior</t>
  </si>
  <si>
    <t>1.50 Mbps</t>
  </si>
  <si>
    <t>3.28 Mbps</t>
  </si>
  <si>
    <t>4.78 Mbps</t>
  </si>
  <si>
    <t>Sistema CCTV Terminal</t>
  </si>
  <si>
    <t>XNF-8010R</t>
  </si>
  <si>
    <t>Panoramica 360° Fisheye</t>
  </si>
  <si>
    <t>6MP</t>
  </si>
  <si>
    <t>39.42 Mbps</t>
  </si>
  <si>
    <t>77.41 Mbps</t>
  </si>
  <si>
    <t>116.84 Mbps</t>
  </si>
  <si>
    <t>• Manipulación, 
• Merodeo, 
• Detección de dirección, 
• Línea virtual, entrada y salida, (des) aparece,
• Detección de audio, 
• Clasificación de sonidos, 
• Conteo de personas, 
• Mapa de calor, 
• Gestión de colas</t>
  </si>
  <si>
    <t>Camara IP Visualizacion Interior
Modelo: XND-6080RV</t>
  </si>
  <si>
    <t>Camara IP Visualizacion Exterior
Modelo: XNV-6080R</t>
  </si>
  <si>
    <t>Camara IP 360°/PTZ Interior
Modelo: PNM-9320VQP</t>
  </si>
  <si>
    <t>Notas:</t>
  </si>
  <si>
    <t>Camara IP 360°/PTZ Exterior
Modelo: PNM-9320VQP</t>
  </si>
  <si>
    <t>• Se recomienda la configuración de una red Multicast para la optimización de los streams de video demandados a cada cámara.</t>
  </si>
  <si>
    <t>Camara IP Panoramicas 360° Interior
Modelo: XNF-8010R</t>
  </si>
  <si>
    <t>Camara IP Panoramica 360° Exterior
Modelo: PNM-9000VQ</t>
  </si>
  <si>
    <t>Camara IP PTZ
Modelo: XNP-6320</t>
  </si>
  <si>
    <t>Accesorios por Modelo</t>
  </si>
  <si>
    <t>Camara para Ascensores
Modelo: XND-6010</t>
  </si>
  <si>
    <t>Resumen</t>
  </si>
  <si>
    <t>Cámara</t>
  </si>
  <si>
    <t>Accesorios</t>
  </si>
  <si>
    <t>Hanging Mount
Modelo: SBP-300HM6</t>
  </si>
  <si>
    <t>1.5" Coupler
Modelo: SBP-HCF</t>
  </si>
  <si>
    <t>Parapet Mount
Modelo: SBP-300LM</t>
  </si>
  <si>
    <t>Back Box
Modelo: SBP-302CMB</t>
  </si>
  <si>
    <t>Flush Mount
Modelo: SHD-3000F1</t>
  </si>
  <si>
    <t>Wall Mount Arm
Modelo: SBP-390WM1</t>
  </si>
  <si>
    <t>Hanging Mount
Modelo: SBP-201HM</t>
  </si>
  <si>
    <t>Installation Box
Modelo: SBP-300NB</t>
  </si>
  <si>
    <t>Hanging Mount
Modelo: SBP-276HM</t>
  </si>
  <si>
    <t>Hanging Mount
Modelo: SBP-300HM5</t>
  </si>
  <si>
    <t>Lentes 2M 2.8mm
Modelo: SLA-2M2800P</t>
  </si>
  <si>
    <t>Lentes 2M 2.8mm
Modelo: SLA-2M2800Q</t>
  </si>
  <si>
    <t>Pole Mount
Modelo: SBP-300PM</t>
  </si>
  <si>
    <t>Pole Mount
Modelo: SBP-302PM</t>
  </si>
  <si>
    <t>Materiales de Instalación</t>
  </si>
  <si>
    <t>Materiales Varios Perímetro</t>
  </si>
  <si>
    <t>Materiales Varios Terminal</t>
  </si>
  <si>
    <t>Materiales</t>
  </si>
  <si>
    <t>Precio Uni.</t>
  </si>
  <si>
    <t>Cantidad ML</t>
  </si>
  <si>
    <t>Costo Materiales</t>
  </si>
  <si>
    <t>Materiales Varios</t>
  </si>
  <si>
    <t>Expansor Metalico S10 (Gabinetes)</t>
  </si>
  <si>
    <t>Cinta aislante Negra</t>
  </si>
  <si>
    <t xml:space="preserve">Adecuaciones físicas </t>
  </si>
  <si>
    <t>Pegamento PVC 1/4</t>
  </si>
  <si>
    <t>Canaleta plastica 1/2"</t>
  </si>
  <si>
    <t>Canaleta plastica 3/4"</t>
  </si>
  <si>
    <t>Espuma selladora</t>
  </si>
  <si>
    <t>Caja metalica 2x4 " pexon para exterior</t>
  </si>
  <si>
    <t>Fajillas Plastica # 08</t>
  </si>
  <si>
    <t>Fajillas Plastica # 12</t>
  </si>
  <si>
    <t>Conector Romex 3/8"</t>
  </si>
  <si>
    <t>Tubo Corrugado Rollo</t>
  </si>
  <si>
    <t>Rollo de Velcro 20m</t>
  </si>
  <si>
    <t>Tapadera ciega con salida de media Metalica 4x4"</t>
  </si>
  <si>
    <t>Postes</t>
  </si>
  <si>
    <t>Mastil 2-1/2"</t>
  </si>
  <si>
    <t>Mastil 4"</t>
  </si>
  <si>
    <t>Poste 35 Ft Croncreto</t>
  </si>
  <si>
    <t>Conector prensaestopa 1/2"</t>
  </si>
  <si>
    <t xml:space="preserve">Abrazadera Strug 3/4" </t>
  </si>
  <si>
    <t xml:space="preserve">Abrazadera Strug 1/2" </t>
  </si>
  <si>
    <t>Tapaderas</t>
  </si>
  <si>
    <t>Canaleta Ranurada de 1-1/2"</t>
  </si>
  <si>
    <t>Tapadera ciega Plastica 2x4"</t>
  </si>
  <si>
    <t>Tapadera ciega Metalica 2x4"</t>
  </si>
  <si>
    <t>Tapadera ciega Plastica 4x4"</t>
  </si>
  <si>
    <t>Tapadera ciega Metalica 4x4"</t>
  </si>
  <si>
    <t>Soportes de Tubería</t>
  </si>
  <si>
    <t>Varilla Roscada 3/8"</t>
  </si>
  <si>
    <t>Arandela plana 3/8</t>
  </si>
  <si>
    <t>Tuerca 3/8 Galvanizada</t>
  </si>
  <si>
    <t>Riel Strut 1-5/8"</t>
  </si>
  <si>
    <t>Abrazadera 1/2"</t>
  </si>
  <si>
    <t>Taco fisher S8 con tornillo</t>
  </si>
  <si>
    <t>Cajas</t>
  </si>
  <si>
    <t>Caja EMT 4x4"</t>
  </si>
  <si>
    <t>Caja EMT 2x4"</t>
  </si>
  <si>
    <t>Caja EMT Pesada 8x8"</t>
  </si>
  <si>
    <t>Conector BX 1"</t>
  </si>
  <si>
    <t>Tubo BX con forro 1"</t>
  </si>
  <si>
    <t>Tubería IMC (1-1/2")</t>
  </si>
  <si>
    <t>Tubería IMC 1-1/2"</t>
  </si>
  <si>
    <t>Conector IMC 1-1/2" con contratuerca</t>
  </si>
  <si>
    <t>Coupling IMC 1-1/2"</t>
  </si>
  <si>
    <t>Curva IMC 1-1/2"</t>
  </si>
  <si>
    <t>Tubería PVC ced. 40 (3/4")</t>
  </si>
  <si>
    <t>Tubería PVC 3/4"</t>
  </si>
  <si>
    <t>Conector PVC 3/4" con contratuerca</t>
  </si>
  <si>
    <t>Coupling PVC 3/4"</t>
  </si>
  <si>
    <t>Curva PVC C-40 3/4"</t>
  </si>
  <si>
    <t>Caja PVC 4x4"</t>
  </si>
  <si>
    <t>Caja Plastica 4x2"</t>
  </si>
  <si>
    <t>Caja PVC 8x8"</t>
  </si>
  <si>
    <t>UTP Cat6 Interior Azul</t>
  </si>
  <si>
    <t>UTP Cat6 Exterior Negro</t>
  </si>
  <si>
    <t>RJ45 Cate6</t>
  </si>
  <si>
    <t>Jack Cate6</t>
  </si>
  <si>
    <t xml:space="preserve">Tapadera Plastica para punto de red </t>
  </si>
  <si>
    <t>Toma corriente exterior 110V</t>
  </si>
  <si>
    <t>Centro de carga de 2 espacios Superficial</t>
  </si>
  <si>
    <t>Breaker 110 V de 20 Amp</t>
  </si>
  <si>
    <t>Cable 3x8 Triplex</t>
  </si>
  <si>
    <t>Cable TSJ 3x14</t>
  </si>
  <si>
    <t>Bobina de cable 22/4</t>
  </si>
  <si>
    <t>Cable THHN # 8</t>
  </si>
  <si>
    <t>Cable THHN # 10</t>
  </si>
  <si>
    <t>Cable THHN # 12</t>
  </si>
  <si>
    <t xml:space="preserve">Fibra de 24 Hilos SM </t>
  </si>
  <si>
    <t>Preformados para FO 24 hilos</t>
  </si>
  <si>
    <t>Fibra de 8 Hilos SM</t>
  </si>
  <si>
    <t>Preformados para FO 8 hilos</t>
  </si>
  <si>
    <t>Cierre de 12 hilos</t>
  </si>
  <si>
    <t>Tuerca de ojo 5/8"</t>
  </si>
  <si>
    <t>Varilla polo tierra cobre 5/8X8</t>
  </si>
  <si>
    <t>Grapa polo tierra 1/2 - 5/8</t>
  </si>
  <si>
    <t>Terminal de ojo 1/4</t>
  </si>
  <si>
    <t xml:space="preserve">Terminal de ojo # 8 </t>
  </si>
  <si>
    <t>Cable galvanizado 1/4 (mensajero)</t>
  </si>
  <si>
    <t>Preformados 1/4"</t>
  </si>
  <si>
    <t>Escalerilla Cablofil 6 "</t>
  </si>
  <si>
    <t>Uniones para escalerilla</t>
  </si>
  <si>
    <t>Soportes en L para escalerilla</t>
  </si>
  <si>
    <t>Barra de cobre 6X2X1/4</t>
  </si>
  <si>
    <t xml:space="preserve">Tornillo rosca corrida 1X5X16 </t>
  </si>
  <si>
    <t>Tuerca para tornillo 1X5X16</t>
  </si>
  <si>
    <t>Aislador tipo pera 35mm</t>
  </si>
  <si>
    <t>Arandela presion para tornillo</t>
  </si>
  <si>
    <t>Toma de pendulo Macho</t>
  </si>
  <si>
    <t>Toma de pendulo Hembra</t>
  </si>
  <si>
    <t>Tapones para Emplame Electrico</t>
  </si>
  <si>
    <t>Total costos materiales</t>
  </si>
  <si>
    <t xml:space="preserve">Flujo de Caja </t>
  </si>
  <si>
    <t>60 meses</t>
  </si>
  <si>
    <t>Ingresos</t>
  </si>
  <si>
    <t>Ingresos Operativos</t>
  </si>
  <si>
    <t>USDk</t>
  </si>
  <si>
    <t>Costos</t>
  </si>
  <si>
    <t>COGS</t>
  </si>
  <si>
    <t>Costos Variables</t>
  </si>
  <si>
    <t>OPEX</t>
  </si>
  <si>
    <t>Otros gastos (incluye depreciaciones)</t>
  </si>
  <si>
    <t>(-) Depreciaciones y amortizaciones</t>
  </si>
  <si>
    <t>Otros Ingresos</t>
  </si>
  <si>
    <t>Impuestos</t>
  </si>
  <si>
    <t>Flujo de Caja Operativo</t>
  </si>
  <si>
    <t>Inversiones</t>
  </si>
  <si>
    <t>Capex</t>
  </si>
  <si>
    <t>Ajuste de Flujo</t>
  </si>
  <si>
    <t>Flujo de Caja de Inversión</t>
  </si>
  <si>
    <t>Financiamiento Adicional</t>
  </si>
  <si>
    <t>Capital Adicional</t>
  </si>
  <si>
    <t>Flujo de caja disponible para servicio de Deuda</t>
  </si>
  <si>
    <t>Servicio de Deuda</t>
  </si>
  <si>
    <t>Intereses</t>
  </si>
  <si>
    <t>Principal</t>
  </si>
  <si>
    <t>Flujo de Caja Neto</t>
  </si>
  <si>
    <t>Balance De Caja Inicial</t>
  </si>
  <si>
    <t>Balance De Caja Final</t>
  </si>
  <si>
    <t>Flujo acumulado</t>
  </si>
  <si>
    <t>#</t>
  </si>
  <si>
    <t>Tasa de descuento</t>
  </si>
  <si>
    <t>Flujo descontado</t>
  </si>
  <si>
    <t>VAN</t>
  </si>
  <si>
    <t>TIR</t>
  </si>
  <si>
    <t>Resumen de Costos por Servicio</t>
  </si>
  <si>
    <t>RESUMEN DE PROYECTO - CCTV</t>
  </si>
  <si>
    <t>Resumen del Proyecto</t>
  </si>
  <si>
    <t>Cantidad total para proyecto</t>
  </si>
  <si>
    <t>Costo Unitario</t>
  </si>
  <si>
    <t>Costo total</t>
  </si>
  <si>
    <t>% del costo</t>
  </si>
  <si>
    <t>Venta Unitario</t>
  </si>
  <si>
    <t>P. Venta total</t>
  </si>
  <si>
    <t xml:space="preserve">Costo Mensual (4 años) </t>
  </si>
  <si>
    <t>Venta mensual (4 años) Unitaria</t>
  </si>
  <si>
    <t xml:space="preserve">Venta mensual total </t>
  </si>
  <si>
    <t>Precio venta Ofertado unitario</t>
  </si>
  <si>
    <t>Precio venta total</t>
  </si>
  <si>
    <t>Cámaras PTZ</t>
  </si>
  <si>
    <t>Cámaras Bullet</t>
  </si>
  <si>
    <t>Centro de Monitoreo</t>
  </si>
  <si>
    <t>Almacenamiento</t>
  </si>
  <si>
    <t>VMS</t>
  </si>
  <si>
    <t>Fibra optica</t>
  </si>
  <si>
    <t xml:space="preserve">Gabinetes y paneles </t>
  </si>
  <si>
    <t xml:space="preserve">Postes </t>
  </si>
  <si>
    <t>Cámaras LPR</t>
  </si>
  <si>
    <t>Control de Acceso</t>
  </si>
  <si>
    <t>TOTALES</t>
  </si>
  <si>
    <t>Servicio</t>
  </si>
  <si>
    <t>Porcentaje de margen con financiamiento (unitario)</t>
  </si>
  <si>
    <t>Oferta Version 2</t>
  </si>
  <si>
    <t>Oferta Version 1</t>
  </si>
  <si>
    <t xml:space="preserve">Costo </t>
  </si>
  <si>
    <t>Venta sin impuesto</t>
  </si>
  <si>
    <t xml:space="preserve">Margen </t>
  </si>
  <si>
    <t>Cuota por financiamiento</t>
  </si>
  <si>
    <t>Numero de cuotas</t>
  </si>
  <si>
    <t>Venta financiada</t>
  </si>
  <si>
    <t>Utilidad esperada</t>
  </si>
  <si>
    <t>Utilidad de proyecto</t>
  </si>
  <si>
    <t xml:space="preserve">Resumen de Costos por Componente </t>
  </si>
  <si>
    <t xml:space="preserve">Tasa $ </t>
  </si>
  <si>
    <t>Costo</t>
  </si>
  <si>
    <t>% de venta</t>
  </si>
  <si>
    <t xml:space="preserve">P. Venta </t>
  </si>
  <si>
    <t>Margen X Componente</t>
  </si>
  <si>
    <t>CCTV</t>
  </si>
  <si>
    <t>Materiales/otros</t>
  </si>
  <si>
    <t>OPCIÓN DE SERVICIOS POR 4 AÑOS</t>
  </si>
  <si>
    <t>Monto</t>
  </si>
  <si>
    <t>Int.s</t>
  </si>
  <si>
    <t>Plazo</t>
  </si>
  <si>
    <t>Margen bruto</t>
  </si>
  <si>
    <t>Cuota</t>
  </si>
  <si>
    <t>Opex</t>
  </si>
  <si>
    <t>Opex administrativo</t>
  </si>
  <si>
    <t>Utilidad Neta del Ejercicio</t>
  </si>
  <si>
    <t>Comisiones</t>
  </si>
  <si>
    <t>Utilidad Operativa</t>
  </si>
  <si>
    <t>Fianzas</t>
  </si>
  <si>
    <t>Costo financiero</t>
  </si>
  <si>
    <t>Utilidad antes de ISR</t>
  </si>
  <si>
    <t>ISR</t>
  </si>
  <si>
    <t>Utilidad neta</t>
  </si>
  <si>
    <t>Hasta</t>
  </si>
  <si>
    <t>IMPUESTO SOBRE LA RENTA COSTA RICA</t>
  </si>
  <si>
    <t>Ingresos brutos</t>
  </si>
  <si>
    <t>Tarifa(Se aplica sobre renta neta total)</t>
  </si>
  <si>
    <t>Ingresos Brutos $</t>
  </si>
  <si>
    <t>Mayor de</t>
  </si>
  <si>
    <t>Ítem</t>
  </si>
  <si>
    <t>Descripción</t>
  </si>
  <si>
    <t>Cant.</t>
  </si>
  <si>
    <t>Precio Venta</t>
  </si>
  <si>
    <t>HARDWARE</t>
  </si>
  <si>
    <t>MATERIALES DE INSTALACION Y REDES</t>
  </si>
  <si>
    <t>Centro de Datos/Monitoreo</t>
  </si>
  <si>
    <t>GASTOS DE VIAJE Y ESTADIAS</t>
  </si>
  <si>
    <t>ADMINISTRACION DE PROYECTO</t>
  </si>
  <si>
    <t>Sub Total</t>
  </si>
  <si>
    <t>SERVICIOS DE IMPLEMENTACION</t>
  </si>
  <si>
    <t>IVA</t>
  </si>
  <si>
    <t>Proveedor</t>
  </si>
  <si>
    <t>#Parte</t>
  </si>
  <si>
    <t>Marca</t>
  </si>
  <si>
    <t>Descripción / Código</t>
  </si>
  <si>
    <t xml:space="preserve">Megasuper </t>
  </si>
  <si>
    <t>-</t>
  </si>
  <si>
    <t>Panasonic</t>
  </si>
  <si>
    <t>Genetec</t>
  </si>
  <si>
    <t>DSC</t>
  </si>
  <si>
    <t xml:space="preserve">Precios ya incluyen impuesto de venta </t>
  </si>
  <si>
    <t>Subtotal</t>
  </si>
  <si>
    <t>Materiales y accesorios</t>
  </si>
  <si>
    <t>Mano de obra por instalación y puesta en marcha</t>
  </si>
  <si>
    <t>Impuesto de Ventas</t>
  </si>
  <si>
    <t>Total de Oferta</t>
  </si>
  <si>
    <t>IMG</t>
  </si>
  <si>
    <t>Implementación de sistemas de seguridad</t>
  </si>
  <si>
    <t>GV</t>
  </si>
  <si>
    <t/>
  </si>
  <si>
    <t>Cédula Jurídica: 3101666618</t>
  </si>
  <si>
    <t>www.grupovision.org</t>
  </si>
  <si>
    <t>Tibas Anselmo Llorente, Cámara Costarricense
 de la Construción</t>
  </si>
  <si>
    <t>San José, Costa Rica</t>
  </si>
  <si>
    <t xml:space="preserve">Teléfonos: (506) 40101090 </t>
  </si>
  <si>
    <t xml:space="preserve"> Nombre:</t>
  </si>
  <si>
    <t>Fecha:</t>
  </si>
  <si>
    <t>Cotización #:</t>
  </si>
  <si>
    <t>Validez de:</t>
  </si>
  <si>
    <t>Método de envío:</t>
  </si>
  <si>
    <t>Electrónico</t>
  </si>
  <si>
    <t>Precio U.</t>
  </si>
  <si>
    <t>Total Contado</t>
  </si>
  <si>
    <t>****************************************U.L****************************************</t>
  </si>
  <si>
    <t xml:space="preserve">SUBTOTAL </t>
  </si>
  <si>
    <t>IMPUESTO</t>
  </si>
  <si>
    <t>ss</t>
  </si>
  <si>
    <t>TOTAL</t>
  </si>
  <si>
    <t xml:space="preserve">Depto Preventa y Diseño </t>
  </si>
  <si>
    <t>Edificio Cámara Costarricense de la Construcción Piso 4, oficina 401</t>
  </si>
  <si>
    <t xml:space="preserve">MATRIZ DE COSTO PROYECTO: </t>
  </si>
  <si>
    <t>Productos 1</t>
  </si>
  <si>
    <t>Transporte</t>
  </si>
  <si>
    <t>Seguros</t>
  </si>
  <si>
    <t>DAI</t>
  </si>
  <si>
    <t>Costo Untit</t>
  </si>
  <si>
    <t>Administración</t>
  </si>
  <si>
    <t>Margen GV</t>
  </si>
  <si>
    <t>IMPORTADO</t>
  </si>
  <si>
    <t>Costo Unit</t>
  </si>
  <si>
    <t>Costo Total</t>
  </si>
  <si>
    <t>Nacionalizado</t>
  </si>
  <si>
    <t>Unitario</t>
  </si>
  <si>
    <t>Sección 1</t>
  </si>
  <si>
    <t>no</t>
  </si>
  <si>
    <t>Sección 3</t>
  </si>
  <si>
    <t>Total FOB</t>
  </si>
  <si>
    <t>Costo Nac.</t>
  </si>
  <si>
    <t>Total Venta</t>
  </si>
  <si>
    <t>UTILIDAD</t>
  </si>
  <si>
    <t>si</t>
  </si>
  <si>
    <t>Productos 2</t>
  </si>
  <si>
    <t>Nacionaliado</t>
  </si>
  <si>
    <t>Sección 2</t>
  </si>
  <si>
    <t>Productos 3</t>
  </si>
  <si>
    <t>Licencias</t>
  </si>
  <si>
    <t>Servidores</t>
  </si>
  <si>
    <t>Productos 4</t>
  </si>
  <si>
    <t>Productos 5</t>
  </si>
  <si>
    <t>SERVERS</t>
  </si>
  <si>
    <t>caja nema para SENSORES</t>
  </si>
  <si>
    <t xml:space="preserve">Cable UTP cat6A Exteriores caja </t>
  </si>
  <si>
    <t>Cable UTP cat6A Exteriores</t>
  </si>
  <si>
    <t>conectores rj45 cat 6</t>
  </si>
  <si>
    <t>cable electrico #12 rojo</t>
  </si>
  <si>
    <t>cable electrico #12 blanco</t>
  </si>
  <si>
    <t>cable electrico #12 verde</t>
  </si>
  <si>
    <t>tomas de parche</t>
  </si>
  <si>
    <t>tape 3m</t>
  </si>
  <si>
    <t>regleta</t>
  </si>
  <si>
    <t>Breaker 20A</t>
  </si>
  <si>
    <t>Tubos conduit 3/4" UL</t>
  </si>
  <si>
    <t>Uniones  conduit de 3/4"</t>
  </si>
  <si>
    <t>Conectores conduit de 3/4"</t>
  </si>
  <si>
    <t>Gaza 1 ojo 3/4</t>
  </si>
  <si>
    <t>Cajas de paso 4x4 entradas 3/4"</t>
  </si>
  <si>
    <t>Tapas caja 3/4"</t>
  </si>
  <si>
    <t>tornillos  7</t>
  </si>
  <si>
    <t>spander 7</t>
  </si>
  <si>
    <t>Spander gypsum</t>
  </si>
  <si>
    <t>tornillo gypsum</t>
  </si>
  <si>
    <t>amarrras plasticas</t>
  </si>
  <si>
    <t xml:space="preserve">imp </t>
  </si>
  <si>
    <t>viex</t>
  </si>
  <si>
    <t>conector bx</t>
  </si>
  <si>
    <t>alquiler andamios</t>
  </si>
  <si>
    <t xml:space="preserve">Cable Honeywell 18x4, para magneto o control </t>
  </si>
  <si>
    <t>PRODUCTO G</t>
  </si>
  <si>
    <t>PRODUCTO H</t>
  </si>
  <si>
    <t>PRODUCTO I</t>
  </si>
  <si>
    <t>PRODUCTO J</t>
  </si>
  <si>
    <t>PRODUCTO K</t>
  </si>
  <si>
    <t>PRODUCTO L</t>
  </si>
  <si>
    <t>PRODUCTO M</t>
  </si>
  <si>
    <t>PRODUCTO N</t>
  </si>
  <si>
    <t>PRODUCTO O</t>
  </si>
  <si>
    <t>OPEX GV</t>
  </si>
  <si>
    <t>Instalación de equipos MO</t>
  </si>
  <si>
    <t>Mano de obra contratista</t>
  </si>
  <si>
    <t>transporte</t>
  </si>
  <si>
    <t>Imprevistos</t>
  </si>
  <si>
    <t>Salario  mensual Ing GV</t>
  </si>
  <si>
    <t>x hora</t>
  </si>
  <si>
    <t>X DÍA</t>
  </si>
  <si>
    <t>Salario Mensual Técnico GV</t>
  </si>
  <si>
    <t>Costo x hora Técnico</t>
  </si>
  <si>
    <t>Costo x hora Ingeniero</t>
  </si>
  <si>
    <t>Técmico GV</t>
  </si>
  <si>
    <t>Ing GV</t>
  </si>
  <si>
    <t>Salario Bruto</t>
  </si>
  <si>
    <t>CCSS 26,50%</t>
  </si>
  <si>
    <t>Aguinaldo 8,33%</t>
  </si>
  <si>
    <t>Vacaciones 4,17%</t>
  </si>
  <si>
    <t>Poliza 3%</t>
  </si>
  <si>
    <t>Referencia Cálculo Anterior</t>
  </si>
  <si>
    <t>Colaborador</t>
  </si>
  <si>
    <t>Mano de Obra</t>
  </si>
  <si>
    <t>Viáticos</t>
  </si>
  <si>
    <t>Hora Hombre</t>
  </si>
  <si>
    <t>Precio por Día</t>
  </si>
  <si>
    <t>Días</t>
  </si>
  <si>
    <t>Personas</t>
  </si>
  <si>
    <t>Alimentación</t>
  </si>
  <si>
    <t>Combustible</t>
  </si>
  <si>
    <t>Hospedaje</t>
  </si>
  <si>
    <t>Configurador (Implementación)</t>
  </si>
  <si>
    <t>Supervisor (Coordinador de Implementación)</t>
  </si>
  <si>
    <t>Diferencia</t>
  </si>
  <si>
    <t>Project Manager</t>
  </si>
  <si>
    <t>Diseño (Ingeniero de Diseño)</t>
  </si>
  <si>
    <t>Actividad</t>
  </si>
  <si>
    <t>Semanas</t>
  </si>
  <si>
    <t>Tiempo de Planificación de Proyecto (GV)</t>
  </si>
  <si>
    <t>Tiempo de Configuracion (Planta telefonica)</t>
  </si>
  <si>
    <t>Tiempo de Configuración de Sistema (GV)</t>
  </si>
  <si>
    <t>Tiempo de Cierre de Proyecto (GV)</t>
  </si>
  <si>
    <t>Tiempo Total del Proyecto</t>
  </si>
  <si>
    <t>Diferencia Neta</t>
  </si>
  <si>
    <t>Traslado</t>
  </si>
  <si>
    <t>INSUMOS BIOSEGURIDAD/ POR PERSONA</t>
  </si>
  <si>
    <t>Equipo Bioseguridad</t>
  </si>
  <si>
    <t>Precio Unitario</t>
  </si>
  <si>
    <t>bata quirúrgica</t>
  </si>
  <si>
    <t>Mascarilla</t>
  </si>
  <si>
    <t>guantes latex par</t>
  </si>
  <si>
    <t>Gorros (cofia)</t>
  </si>
  <si>
    <t>Careta o Google</t>
  </si>
  <si>
    <t>Gel de mano 500 ml</t>
  </si>
  <si>
    <t>Franela</t>
  </si>
  <si>
    <t>INSUMOS VARIOS/ POR MANTO 20 CAMARAS</t>
  </si>
  <si>
    <t xml:space="preserve">consumibles </t>
  </si>
  <si>
    <t xml:space="preserve">Espumas </t>
  </si>
  <si>
    <t xml:space="preserve">Limpia contactos </t>
  </si>
  <si>
    <t xml:space="preserve">Wipes </t>
  </si>
  <si>
    <t xml:space="preserve">Franelas </t>
  </si>
  <si>
    <t xml:space="preserve">Remplazo de Cableado </t>
  </si>
  <si>
    <t>MANO DE OBRA MANTENIMENTO TONCONTIN</t>
  </si>
  <si>
    <t>MANO MANTENIMENTO DE LA CEIBA</t>
  </si>
  <si>
    <t>MANO MANTENIMENTO  DE OBRA ROATAN</t>
  </si>
  <si>
    <t>MANO MANTENIMENTO DE OBRA SPS</t>
  </si>
  <si>
    <t>Cliente</t>
  </si>
  <si>
    <t>KM ida y vuelta</t>
  </si>
  <si>
    <t>can carros</t>
  </si>
  <si>
    <t>kms por viaje</t>
  </si>
  <si>
    <t>cant viajes</t>
  </si>
  <si>
    <t>total de kms</t>
  </si>
  <si>
    <t>costo por km</t>
  </si>
  <si>
    <t>total</t>
  </si>
  <si>
    <t>jaco</t>
  </si>
  <si>
    <t>AFZ</t>
  </si>
  <si>
    <t>Zona Franca Coyol</t>
  </si>
  <si>
    <t>Limón</t>
  </si>
  <si>
    <t>Global Park - Ultra Park</t>
  </si>
  <si>
    <t>real</t>
  </si>
  <si>
    <t>Florida Bebidas</t>
  </si>
  <si>
    <t>saldo</t>
  </si>
  <si>
    <t>Planta Cristal</t>
  </si>
  <si>
    <t>Planta Pepsi</t>
  </si>
  <si>
    <t>Fórum2</t>
  </si>
  <si>
    <t>Puntarenas</t>
  </si>
  <si>
    <t>Nicoya</t>
  </si>
  <si>
    <t>San Ramon</t>
  </si>
  <si>
    <t>Guapiles</t>
  </si>
  <si>
    <t>Turrialba</t>
  </si>
  <si>
    <t>San Jose</t>
  </si>
  <si>
    <t>San Pedro</t>
  </si>
  <si>
    <t>Liberia</t>
  </si>
  <si>
    <t>Pérez Zeledón</t>
  </si>
  <si>
    <t>Paso Canoas</t>
  </si>
  <si>
    <t>Alajuela</t>
  </si>
  <si>
    <t>Cartago</t>
  </si>
  <si>
    <t>TUBERIA</t>
  </si>
  <si>
    <t>MATERIALES/CANTIDAD</t>
  </si>
  <si>
    <t>cam1</t>
  </si>
  <si>
    <t>DIST-APROX</t>
  </si>
  <si>
    <t>contactos magneticos baterias</t>
  </si>
  <si>
    <t>DIST-APROX2</t>
  </si>
  <si>
    <t>cam 2</t>
  </si>
  <si>
    <t>DIST-APROX3</t>
  </si>
  <si>
    <t>DIST-APROX4</t>
  </si>
  <si>
    <t>DIST-APROX5</t>
  </si>
  <si>
    <t>DIST-APROX6</t>
  </si>
  <si>
    <t>DIST-APROX7</t>
  </si>
  <si>
    <t>TUBOS 3/4</t>
  </si>
  <si>
    <t>UNIONES</t>
  </si>
  <si>
    <t>CAJAS</t>
  </si>
  <si>
    <t xml:space="preserve">CONECTORES </t>
  </si>
  <si>
    <t>GAZAS</t>
  </si>
  <si>
    <t>Tapas</t>
  </si>
  <si>
    <t>MATERIALES</t>
  </si>
  <si>
    <t>CABLEADO</t>
  </si>
  <si>
    <t>UTP CAT 6</t>
  </si>
  <si>
    <t>CONECTORES RJ45</t>
  </si>
  <si>
    <t>total tuberia accesorios</t>
  </si>
  <si>
    <t>CAMARA</t>
  </si>
  <si>
    <t>Mts UTP CAT 6 POR CAMARA</t>
  </si>
  <si>
    <t>TOTAL UPT CAT6 PARA INTERIOR</t>
  </si>
  <si>
    <t>TOTAL UPT CAT6 PARA EXTERIOR</t>
  </si>
  <si>
    <t>TOTAL GENERAL</t>
  </si>
  <si>
    <t>TEST</t>
  </si>
  <si>
    <t>PTZ 1</t>
  </si>
  <si>
    <t>PTZ 2</t>
  </si>
  <si>
    <t>PTZ 3</t>
  </si>
  <si>
    <t>PTZ 4</t>
  </si>
  <si>
    <t>PTZ 5</t>
  </si>
  <si>
    <t>PTZ 6</t>
  </si>
  <si>
    <t>PTZ 7</t>
  </si>
  <si>
    <t>PTZ 8</t>
  </si>
  <si>
    <t>PTZ 9</t>
  </si>
  <si>
    <t>PTZ 10</t>
  </si>
  <si>
    <t>Bullet</t>
  </si>
  <si>
    <t>Bullet 2</t>
  </si>
  <si>
    <t>MATRIZ DE COSTO PROYECTO MONTES DE OCA</t>
  </si>
  <si>
    <t>LPR Patrullas</t>
  </si>
  <si>
    <t>Cámara Box WV-S1131</t>
  </si>
  <si>
    <t>Housing Antivandalico</t>
  </si>
  <si>
    <t>Lente 15-50mm</t>
  </si>
  <si>
    <t>Base personalizada cámara Bullet</t>
  </si>
  <si>
    <t xml:space="preserve">Iluminador </t>
  </si>
  <si>
    <t>PoE+</t>
  </si>
  <si>
    <t xml:space="preserve">Instalacion y configuracion </t>
  </si>
  <si>
    <t>Instalacion fisica de la camara</t>
  </si>
  <si>
    <t>Mantenimiento</t>
  </si>
  <si>
    <t>Horas correctivas</t>
  </si>
  <si>
    <t>Contribución del Proyecto en Entrenamiento</t>
  </si>
  <si>
    <t xml:space="preserve">Bank of 10 days onsite Custom Development Assistance (15% discount already applied). Minimum of 2 budgetary airfares must be quoted. </t>
  </si>
  <si>
    <t>PS-C-10FIELDDEVBANK-ALL</t>
  </si>
  <si>
    <t>$12,750.00</t>
  </si>
  <si>
    <t>Budgetary airfare for flight in EMEA
- Mandatory onsite services quoted.
- Amount will be adjusted to real cost on the invoice.</t>
  </si>
  <si>
    <t>PS-C-1AIRFARE-EMEA</t>
  </si>
  <si>
    <t>$2,000.00</t>
  </si>
  <si>
    <t>Equipo de PP</t>
  </si>
  <si>
    <t>Identificación</t>
  </si>
  <si>
    <t>Uniformes del Personal</t>
  </si>
  <si>
    <t>Materiales complementarios CCTV</t>
  </si>
  <si>
    <t>Body Cam</t>
  </si>
  <si>
    <t>VB-400</t>
  </si>
  <si>
    <t>VB-400 Software License (per camera)</t>
  </si>
  <si>
    <t>VB-400-Dock Solo</t>
  </si>
  <si>
    <t>Servicios profesionales</t>
  </si>
  <si>
    <t>Configuracion y mantenimiento</t>
  </si>
  <si>
    <t>Face Pro</t>
  </si>
  <si>
    <t>Facial Recognition Server Software  WV-ASF950W</t>
  </si>
  <si>
    <t>Additional Camera Kit (4ch)  WV-ASFE904W</t>
  </si>
  <si>
    <t>Additional Camera Kit (1ch)  WV-ASFE901W</t>
  </si>
  <si>
    <t>Face plug in software for ASM300  WV-ASE231W</t>
  </si>
  <si>
    <t>Equipos</t>
  </si>
  <si>
    <t>FHD Weatherproof Box Camera Tele Lens IR LED (40m) Extreme Series  WV-S1531LTN</t>
  </si>
  <si>
    <t>FHD Indoor Box Camera Extreme Series  WV-S1131</t>
  </si>
  <si>
    <t>Fomart 1/2.7" &amp; 1/3" Resolution 3 Mega Focal DN 15-50 mm DC Auto   YV3.3x15SR4ASA2</t>
  </si>
  <si>
    <t>Hardware para servidor</t>
  </si>
  <si>
    <t xml:space="preserve">Instalacion </t>
  </si>
  <si>
    <t xml:space="preserve">Configuracion </t>
  </si>
  <si>
    <t xml:space="preserve">Hotlist - Permit list updater through FTP/HTTP/SFTP for Mobile LPR  GSC-AV-S-LISTUPDATER-M </t>
  </si>
  <si>
    <t xml:space="preserve">Generic Sharp Z3 camera (camera only, no accessories) : This part number is used for budget purposes only. Exact part number is dependent on illumination and lens chosen at time of issuance of purchase order (PO). AU-Z3-GENERIC </t>
  </si>
  <si>
    <t xml:space="preserve">Genetec Patroller™ license. (For a 4 LPR  Camera system. Cameras and camera mounts not included) </t>
  </si>
  <si>
    <t>MOBILE - AutoVu™ SharpZ3 camera hard mount mounting bracket Black - Pan Tilt (per camera</t>
  </si>
  <si>
    <t>Panasonic Toughpad FZ-G1 with VERIZON LTE Complete Kit; 5 year warranty on the Laptop, Mounting Hardware (VEHICLE MAKE AND MODEL MANDATORY AT TIME OF ORDER), Docking Station, Keyboard and Vehicle Power Adapter. Includes: AU-HPANAFZG1, U-H-PANADKSTG1, AU-HPANAG1PWS12V, AU-HPANAKEYBOARD, AU-HPANAKEYTRAY, AU-HRAMPOLEBOT12, AU-HRAMPOLETOP12, AU-H-RAMSWING, AU-H-RAMTNT90, AU-H-KEYDOCK, AUH-PMTBOLT, AU-H-RAMBASE, VERIZON LTE</t>
  </si>
  <si>
    <t>Mano de obra de configuracion por 2 dias</t>
  </si>
  <si>
    <t xml:space="preserve">Materiales </t>
  </si>
  <si>
    <t>Servicio de Analíticas Avanzadas</t>
  </si>
  <si>
    <t>Item</t>
  </si>
  <si>
    <t>unidad</t>
  </si>
  <si>
    <t>Precio Total</t>
  </si>
  <si>
    <t>1. Agent VI</t>
  </si>
  <si>
    <t>1.1. Licenciamiento de Analíticas</t>
  </si>
  <si>
    <t>1.1.01</t>
  </si>
  <si>
    <t>und</t>
  </si>
  <si>
    <t>1.1.02</t>
  </si>
  <si>
    <t>1.1.03</t>
  </si>
  <si>
    <t>1.1.04</t>
  </si>
  <si>
    <t>1.2. Entrenamiento de Analíticas Avanzadas</t>
  </si>
  <si>
    <t>1.2.01</t>
  </si>
  <si>
    <t xml:space="preserve">Capacitación AgentVi </t>
  </si>
  <si>
    <t>1.3. Servicios Profesionales</t>
  </si>
  <si>
    <t>1.3.01</t>
  </si>
  <si>
    <t>Instalación y Soporte Técnico Analíticas Avanzadas</t>
  </si>
  <si>
    <t>1. Body cam</t>
  </si>
  <si>
    <t xml:space="preserve">1.1.Equipo </t>
  </si>
  <si>
    <t xml:space="preserve">1.2. </t>
  </si>
  <si>
    <t>1.3.02</t>
  </si>
  <si>
    <t>=BodyCam!A22</t>
  </si>
  <si>
    <t>1. Cámara Antivandalica</t>
  </si>
  <si>
    <t>1.1. Cámara y accesorios</t>
  </si>
  <si>
    <t>1.1.05</t>
  </si>
  <si>
    <t>Materiales de instalacion</t>
  </si>
  <si>
    <t>1.2. Licenciamiento</t>
  </si>
  <si>
    <t>1.2.02</t>
  </si>
  <si>
    <t>1.2.03</t>
  </si>
  <si>
    <t>1.2.04</t>
  </si>
  <si>
    <t>15 días</t>
  </si>
  <si>
    <t>V1</t>
  </si>
  <si>
    <t>GVCR configuración del sistema - Días</t>
  </si>
  <si>
    <t>Tel:</t>
  </si>
  <si>
    <t>Atención:</t>
  </si>
  <si>
    <t xml:space="preserve"> Correo:</t>
  </si>
  <si>
    <t>Asesor:</t>
  </si>
  <si>
    <t>Dirreción:</t>
  </si>
  <si>
    <t>Ref:</t>
  </si>
  <si>
    <t>T5-0000000-26</t>
  </si>
  <si>
    <t xml:space="preserve"> San José, Costa Rica </t>
  </si>
  <si>
    <t>MO</t>
  </si>
  <si>
    <t>MANO DE OBRA PROYECTO</t>
  </si>
  <si>
    <t>E-mail: alazzarotto@grupovisión.org</t>
  </si>
  <si>
    <t xml:space="preserve">Alessandro Lazzarotto Castillo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</si>
</sst>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&quot;L&quot;* #,##0.00_-;\-&quot;L&quot;* #,##0.00_-;_-&quot;L&quot;* &quot;-&quot;??_-;_-@_-"/>
    <numFmt numFmtId="167" formatCode="0.0%"/>
    <numFmt numFmtId="168" formatCode="_(&quot;L.&quot;\ * #,##0.00_);_(&quot;L.&quot;\ * \(#,##0.00\);_(&quot;L.&quot;\ * &quot;-&quot;??_);_(@_)"/>
    <numFmt numFmtId="169" formatCode="_-[$$-540A]* #,##0.00_ ;_-[$$-540A]* \-#,##0.00\ ;_-[$$-540A]* &quot;-&quot;??_ ;_-@_ "/>
    <numFmt numFmtId="170" formatCode="_-[$L-480A]* #,##0.00_-;\-[$L-480A]* #,##0.00_-;_-[$L-480A]* &quot;-&quot;??_-;_-@_-"/>
    <numFmt numFmtId="171" formatCode="_-[$$-540A]* #,##0.00_ ;_-[$$-540A]* \-#,##0.00\ ;_-[$$-540A]* \-??_ ;_-@_ "/>
    <numFmt numFmtId="172" formatCode="_(* #,##0.00_);_(* \(#,##0.00\);_(* \-??_);_(@_)"/>
    <numFmt numFmtId="173" formatCode="_(* #,##0_);_(* \(#,##0\);_(* \-??_);_(@_)"/>
    <numFmt numFmtId="174" formatCode="_-* #,##0.00_-;\-* #,##0.00_-;_-* \-??_-;_-@_-"/>
    <numFmt numFmtId="175" formatCode="_ [$L.-480A]\ * #,##0.00_ ;_ [$L.-480A]\ * \-#,##0.00_ ;_ [$L.-480A]\ * &quot;-&quot;??_ ;_ @_ "/>
    <numFmt numFmtId="176" formatCode="[$$-540A]#,##0.00_ ;\-[$$-540A]#,##0.00\ "/>
    <numFmt numFmtId="177" formatCode="_(&quot;$&quot;* #,##0.0_);_(&quot;$&quot;* \(#,##0.0\);_(&quot;$&quot;* &quot;-&quot;??_);_(@_)"/>
    <numFmt numFmtId="178" formatCode="_([$$-409]* #,##0.00_);_([$$-409]* \(#,##0.00\);_([$$-409]* &quot;-&quot;??_);_(@_)"/>
    <numFmt numFmtId="179" formatCode="_-[$₡-140A]* #,##0.00_-;\-[$₡-140A]* #,##0.00_-;_-[$₡-140A]* &quot;-&quot;??_-;_-@_-"/>
    <numFmt numFmtId="180" formatCode="_-[$$-409]* #,##0.00_ ;_-[$$-409]* \-#,##0.00\ ;_-[$$-409]* &quot;-&quot;??_ ;_-@_ "/>
    <numFmt numFmtId="181" formatCode="_([$$-540A]* #,##0.00_);_([$$-540A]* \(#,##0.00\);_([$$-540A]* &quot;-&quot;??_);_(@_)"/>
    <numFmt numFmtId="182" formatCode="[$$-409]#,##0.00"/>
    <numFmt numFmtId="183" formatCode=";;;"/>
  </numFmts>
  <fonts count="8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name val="Century Gothic"/>
      <family val="2"/>
    </font>
    <font>
      <b/>
      <sz val="14"/>
      <color theme="0"/>
      <name val="Century Gothic"/>
      <family val="2"/>
    </font>
    <font>
      <b/>
      <sz val="11"/>
      <color theme="0"/>
      <name val="Century Gothic"/>
      <family val="2"/>
    </font>
    <font>
      <b/>
      <sz val="11"/>
      <name val="Century Gothic"/>
      <family val="2"/>
    </font>
    <font>
      <sz val="11"/>
      <name val="Century Gothic"/>
      <family val="2"/>
    </font>
    <font>
      <sz val="10"/>
      <color indexed="64"/>
      <name val="Arial"/>
      <family val="2"/>
    </font>
    <font>
      <sz val="8"/>
      <name val="Arial"/>
      <family val="2"/>
    </font>
    <font>
      <b/>
      <sz val="16"/>
      <color rgb="FF1F497D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1F497D"/>
      <name val="Arial"/>
      <family val="2"/>
      <charset val="1"/>
    </font>
    <font>
      <sz val="10"/>
      <color rgb="FF808080"/>
      <name val="Arial"/>
      <family val="2"/>
      <charset val="1"/>
    </font>
    <font>
      <sz val="10"/>
      <color rgb="FFFFFFFF"/>
      <name val="Arial"/>
      <family val="2"/>
      <charset val="1"/>
    </font>
    <font>
      <b/>
      <u/>
      <sz val="11"/>
      <name val="Arial"/>
      <family val="2"/>
      <charset val="1"/>
    </font>
    <font>
      <sz val="10"/>
      <name val="Arial"/>
      <family val="2"/>
      <charset val="1"/>
    </font>
    <font>
      <u/>
      <sz val="11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charset val="129"/>
      <scheme val="minor"/>
    </font>
    <font>
      <sz val="9"/>
      <name val="Arial"/>
      <family val="2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0"/>
      <color rgb="FFC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1"/>
      <color rgb="FF000000"/>
      <name val="Calibri"/>
      <family val="2"/>
    </font>
    <font>
      <sz val="8"/>
      <name val="Arial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  <scheme val="minor"/>
    </font>
    <font>
      <b/>
      <sz val="12"/>
      <color rgb="FFFFFFFF"/>
      <name val="Arial"/>
      <family val="2"/>
    </font>
    <font>
      <sz val="11"/>
      <name val="Calibri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sz val="12"/>
      <color rgb="FF000000"/>
      <name val="Arial"/>
      <family val="2"/>
    </font>
    <font>
      <i/>
      <sz val="10"/>
      <color rgb="FF000000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b/>
      <sz val="16"/>
      <color rgb="FFFFFFFF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rgb="FFFF0000"/>
      <name val="Arial"/>
      <family val="2"/>
    </font>
    <font>
      <b/>
      <sz val="11"/>
      <name val="Calibri"/>
      <family val="2"/>
      <scheme val="minor"/>
    </font>
    <font>
      <b/>
      <sz val="11"/>
      <color theme="2"/>
      <name val="Arial"/>
      <family val="2"/>
    </font>
    <font>
      <b/>
      <sz val="14"/>
      <color theme="1"/>
      <name val="Arial"/>
      <family val="2"/>
    </font>
    <font>
      <sz val="11"/>
      <color rgb="FF262626"/>
      <name val="Calibri"/>
      <family val="2"/>
    </font>
    <font>
      <u/>
      <sz val="11"/>
      <color theme="10"/>
      <name val="Calibri"/>
      <family val="2"/>
      <scheme val="minor"/>
    </font>
    <font>
      <b/>
      <sz val="10"/>
      <color indexed="10"/>
      <name val="System"/>
      <family val="2"/>
    </font>
    <font>
      <b/>
      <i/>
      <sz val="14"/>
      <color theme="3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sz val="12"/>
      <name val="Arial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i/>
      <sz val="11"/>
      <name val="Arial"/>
      <family val="2"/>
    </font>
  </fonts>
  <fills count="5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AFFFF"/>
      </patternFill>
    </fill>
    <fill>
      <patternFill patternType="solid">
        <fgColor rgb="FFFAFFFF"/>
        <bgColor rgb="FFFFFFFF"/>
      </patternFill>
    </fill>
    <fill>
      <patternFill patternType="solid">
        <fgColor rgb="FF1F497D"/>
        <bgColor rgb="FF17375E"/>
      </patternFill>
    </fill>
    <fill>
      <patternFill patternType="solid">
        <fgColor rgb="FFF2F2F2"/>
        <bgColor rgb="FFEBF1DE"/>
      </patternFill>
    </fill>
    <fill>
      <patternFill patternType="solid">
        <fgColor rgb="FF17375E"/>
        <bgColor rgb="FF1F497D"/>
      </patternFill>
    </fill>
    <fill>
      <patternFill patternType="solid">
        <fgColor rgb="FFDCE6F2"/>
        <bgColor rgb="FFEBF1D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8" tint="-0.249977111117893"/>
        <bgColor theme="8" tint="-0.249977111117893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1"/>
        <bgColor theme="8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366092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59999389629810485"/>
        <bgColor indexed="64"/>
      </patternFill>
    </fill>
  </fills>
  <borders count="8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1F497D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theme="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/>
      <top style="thick">
        <color indexed="48"/>
      </top>
      <bottom style="thin">
        <color indexed="32"/>
      </bottom>
      <diagonal/>
    </border>
    <border>
      <left/>
      <right/>
      <top/>
      <bottom style="hair">
        <color indexed="2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24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7" fillId="0" borderId="0"/>
    <xf numFmtId="0" fontId="18" fillId="0" borderId="0"/>
    <xf numFmtId="171" fontId="20" fillId="22" borderId="13"/>
    <xf numFmtId="0" fontId="21" fillId="0" borderId="0"/>
    <xf numFmtId="171" fontId="22" fillId="24" borderId="0"/>
    <xf numFmtId="171" fontId="23" fillId="23" borderId="7"/>
    <xf numFmtId="172" fontId="21" fillId="0" borderId="0" applyBorder="0" applyProtection="0"/>
    <xf numFmtId="171" fontId="24" fillId="23" borderId="0"/>
    <xf numFmtId="171" fontId="25" fillId="26" borderId="9">
      <alignment horizontal="center" vertical="center" wrapText="1"/>
    </xf>
    <xf numFmtId="171" fontId="26" fillId="23" borderId="0"/>
    <xf numFmtId="171" fontId="28" fillId="23" borderId="0" applyBorder="0"/>
    <xf numFmtId="171" fontId="27" fillId="0" borderId="14"/>
    <xf numFmtId="174" fontId="21" fillId="0" borderId="0" applyBorder="0" applyProtection="0"/>
    <xf numFmtId="171" fontId="21" fillId="0" borderId="0"/>
    <xf numFmtId="0" fontId="33" fillId="0" borderId="0"/>
    <xf numFmtId="0" fontId="7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>
      <alignment vertical="center"/>
    </xf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164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34" fillId="0" borderId="0"/>
    <xf numFmtId="0" fontId="6" fillId="0" borderId="0"/>
    <xf numFmtId="0" fontId="42" fillId="0" borderId="0"/>
    <xf numFmtId="43" fontId="7" fillId="0" borderId="0" applyFont="0" applyFill="0" applyBorder="0" applyAlignment="0" applyProtection="0"/>
    <xf numFmtId="165" fontId="47" fillId="0" borderId="0" applyFont="0" applyFill="0" applyBorder="0" applyAlignment="0" applyProtection="0"/>
    <xf numFmtId="169" fontId="5" fillId="0" borderId="0"/>
    <xf numFmtId="169" fontId="4" fillId="0" borderId="0"/>
    <xf numFmtId="43" fontId="33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43" fontId="7" fillId="0" borderId="0" applyFont="0" applyFill="0" applyBorder="0" applyAlignment="0" applyProtection="0"/>
    <xf numFmtId="169" fontId="3" fillId="0" borderId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69" fillId="0" borderId="0" applyNumberFormat="0" applyFill="0" applyBorder="0" applyAlignment="0" applyProtection="0"/>
    <xf numFmtId="166" fontId="2" fillId="0" borderId="0" applyFont="0" applyFill="0" applyBorder="0" applyAlignment="0" applyProtection="0"/>
  </cellStyleXfs>
  <cellXfs count="60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/>
    <xf numFmtId="9" fontId="0" fillId="0" borderId="0" xfId="0" applyNumberFormat="1"/>
    <xf numFmtId="0" fontId="8" fillId="8" borderId="0" xfId="0" applyFont="1" applyFill="1" applyAlignment="1">
      <alignment horizontal="center"/>
    </xf>
    <xf numFmtId="9" fontId="8" fillId="8" borderId="0" xfId="0" applyNumberFormat="1" applyFont="1" applyFill="1" applyAlignment="1">
      <alignment horizontal="center"/>
    </xf>
    <xf numFmtId="167" fontId="8" fillId="8" borderId="0" xfId="0" applyNumberFormat="1" applyFont="1" applyFill="1" applyAlignment="1">
      <alignment horizontal="center"/>
    </xf>
    <xf numFmtId="0" fontId="7" fillId="0" borderId="0" xfId="0" applyFont="1"/>
    <xf numFmtId="164" fontId="0" fillId="0" borderId="0" xfId="1" applyFont="1" applyBorder="1" applyAlignment="1">
      <alignment vertical="center"/>
    </xf>
    <xf numFmtId="164" fontId="0" fillId="6" borderId="0" xfId="1" applyFont="1" applyFill="1" applyBorder="1" applyAlignment="1">
      <alignment vertical="center"/>
    </xf>
    <xf numFmtId="164" fontId="0" fillId="0" borderId="0" xfId="1" applyFont="1"/>
    <xf numFmtId="0" fontId="0" fillId="0" borderId="0" xfId="0" applyAlignment="1">
      <alignment horizontal="center" vertical="center"/>
    </xf>
    <xf numFmtId="0" fontId="8" fillId="7" borderId="0" xfId="0" applyFont="1" applyFill="1" applyAlignment="1">
      <alignment horizontal="left" vertical="center"/>
    </xf>
    <xf numFmtId="0" fontId="8" fillId="7" borderId="0" xfId="0" applyFont="1" applyFill="1" applyAlignment="1">
      <alignment horizontal="center" vertical="center"/>
    </xf>
    <xf numFmtId="164" fontId="8" fillId="7" borderId="0" xfId="1" applyFont="1" applyFill="1" applyBorder="1" applyAlignment="1">
      <alignment vertical="center"/>
    </xf>
    <xf numFmtId="0" fontId="0" fillId="0" borderId="0" xfId="0" applyAlignment="1">
      <alignment vertical="center"/>
    </xf>
    <xf numFmtId="164" fontId="8" fillId="7" borderId="0" xfId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0" fontId="8" fillId="11" borderId="0" xfId="0" applyFont="1" applyFill="1" applyAlignment="1">
      <alignment horizontal="center" vertical="center"/>
    </xf>
    <xf numFmtId="164" fontId="8" fillId="11" borderId="0" xfId="0" applyNumberFormat="1" applyFont="1" applyFill="1" applyAlignment="1">
      <alignment vertical="center"/>
    </xf>
    <xf numFmtId="0" fontId="8" fillId="8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9" fontId="8" fillId="8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7" fontId="8" fillId="8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9" fontId="0" fillId="0" borderId="0" xfId="2" applyFont="1" applyAlignment="1">
      <alignment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vertical="center" textRotation="90"/>
    </xf>
    <xf numFmtId="0" fontId="7" fillId="0" borderId="0" xfId="0" applyFont="1" applyAlignment="1">
      <alignment horizontal="right" vertical="center"/>
    </xf>
    <xf numFmtId="164" fontId="0" fillId="0" borderId="0" xfId="1" applyFont="1" applyAlignment="1">
      <alignment vertical="center"/>
    </xf>
    <xf numFmtId="0" fontId="8" fillId="0" borderId="0" xfId="0" applyFont="1" applyAlignment="1">
      <alignment horizontal="center" vertical="center"/>
    </xf>
    <xf numFmtId="164" fontId="8" fillId="0" borderId="0" xfId="1" applyFont="1" applyAlignment="1">
      <alignment horizontal="center" vertical="center"/>
    </xf>
    <xf numFmtId="0" fontId="13" fillId="16" borderId="0" xfId="4" applyFont="1" applyFill="1" applyAlignment="1">
      <alignment horizontal="center" vertical="center"/>
    </xf>
    <xf numFmtId="0" fontId="13" fillId="16" borderId="3" xfId="4" applyFont="1" applyFill="1" applyBorder="1" applyAlignment="1">
      <alignment horizontal="center" vertical="center"/>
    </xf>
    <xf numFmtId="0" fontId="17" fillId="16" borderId="9" xfId="4" applyFont="1" applyFill="1" applyBorder="1" applyAlignment="1">
      <alignment horizontal="center" vertical="center"/>
    </xf>
    <xf numFmtId="0" fontId="13" fillId="16" borderId="7" xfId="4" applyFont="1" applyFill="1" applyBorder="1" applyAlignment="1">
      <alignment horizontal="center" vertical="center"/>
    </xf>
    <xf numFmtId="164" fontId="13" fillId="16" borderId="0" xfId="1" applyFont="1" applyFill="1" applyAlignment="1">
      <alignment horizontal="center" vertical="center"/>
    </xf>
    <xf numFmtId="164" fontId="13" fillId="16" borderId="3" xfId="1" applyFont="1" applyFill="1" applyBorder="1" applyAlignment="1">
      <alignment horizontal="center" vertical="center"/>
    </xf>
    <xf numFmtId="164" fontId="13" fillId="16" borderId="0" xfId="1" applyFont="1" applyFill="1" applyBorder="1" applyAlignment="1">
      <alignment horizontal="center" vertical="center"/>
    </xf>
    <xf numFmtId="164" fontId="15" fillId="17" borderId="9" xfId="1" applyFont="1" applyFill="1" applyBorder="1" applyAlignment="1">
      <alignment horizontal="center" vertical="center" wrapText="1"/>
    </xf>
    <xf numFmtId="0" fontId="0" fillId="0" borderId="0" xfId="0" applyAlignment="1">
      <alignment vertical="center" textRotation="90"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20" fillId="22" borderId="13" xfId="6" applyNumberFormat="1"/>
    <xf numFmtId="0" fontId="20" fillId="22" borderId="13" xfId="6" applyNumberFormat="1" applyAlignment="1">
      <alignment horizontal="right"/>
    </xf>
    <xf numFmtId="0" fontId="21" fillId="23" borderId="0" xfId="7" applyFill="1"/>
    <xf numFmtId="0" fontId="22" fillId="24" borderId="0" xfId="8" applyNumberFormat="1"/>
    <xf numFmtId="0" fontId="23" fillId="23" borderId="7" xfId="9" applyNumberFormat="1"/>
    <xf numFmtId="0" fontId="23" fillId="23" borderId="7" xfId="9" applyNumberFormat="1" applyAlignment="1">
      <alignment horizontal="right"/>
    </xf>
    <xf numFmtId="173" fontId="7" fillId="23" borderId="0" xfId="10" applyNumberFormat="1" applyFont="1" applyFill="1" applyBorder="1" applyAlignment="1" applyProtection="1">
      <alignment horizontal="right"/>
    </xf>
    <xf numFmtId="0" fontId="21" fillId="25" borderId="0" xfId="7" applyFill="1"/>
    <xf numFmtId="0" fontId="24" fillId="23" borderId="0" xfId="11" applyNumberFormat="1"/>
    <xf numFmtId="0" fontId="21" fillId="23" borderId="0" xfId="7" applyFill="1" applyAlignment="1">
      <alignment horizontal="right"/>
    </xf>
    <xf numFmtId="0" fontId="25" fillId="26" borderId="9" xfId="12" applyNumberFormat="1">
      <alignment horizontal="center" vertical="center" wrapText="1"/>
    </xf>
    <xf numFmtId="0" fontId="26" fillId="23" borderId="0" xfId="13" applyNumberFormat="1"/>
    <xf numFmtId="4" fontId="27" fillId="0" borderId="14" xfId="10" applyNumberFormat="1" applyFont="1" applyBorder="1" applyAlignment="1" applyProtection="1">
      <alignment horizontal="right"/>
    </xf>
    <xf numFmtId="173" fontId="27" fillId="0" borderId="14" xfId="10" applyNumberFormat="1" applyFont="1" applyBorder="1" applyAlignment="1" applyProtection="1">
      <alignment horizontal="right"/>
    </xf>
    <xf numFmtId="0" fontId="0" fillId="23" borderId="0" xfId="7" applyFont="1" applyFill="1"/>
    <xf numFmtId="0" fontId="28" fillId="23" borderId="0" xfId="14" applyNumberFormat="1" applyBorder="1"/>
    <xf numFmtId="173" fontId="27" fillId="27" borderId="9" xfId="10" applyNumberFormat="1" applyFont="1" applyFill="1" applyBorder="1" applyAlignment="1" applyProtection="1">
      <alignment horizontal="right"/>
    </xf>
    <xf numFmtId="0" fontId="29" fillId="23" borderId="0" xfId="7" applyFont="1" applyFill="1"/>
    <xf numFmtId="173" fontId="27" fillId="27" borderId="11" xfId="10" applyNumberFormat="1" applyFont="1" applyFill="1" applyBorder="1" applyAlignment="1" applyProtection="1">
      <alignment horizontal="right"/>
    </xf>
    <xf numFmtId="173" fontId="27" fillId="0" borderId="14" xfId="10" applyNumberFormat="1" applyFont="1" applyBorder="1" applyProtection="1"/>
    <xf numFmtId="0" fontId="30" fillId="23" borderId="0" xfId="7" applyFont="1" applyFill="1"/>
    <xf numFmtId="10" fontId="27" fillId="0" borderId="14" xfId="15" applyNumberFormat="1"/>
    <xf numFmtId="173" fontId="27" fillId="0" borderId="14" xfId="16" applyNumberFormat="1" applyFont="1" applyBorder="1" applyProtection="1"/>
    <xf numFmtId="173" fontId="27" fillId="0" borderId="14" xfId="15" applyNumberFormat="1"/>
    <xf numFmtId="173" fontId="27" fillId="0" borderId="0" xfId="10" applyNumberFormat="1" applyFont="1" applyBorder="1" applyProtection="1"/>
    <xf numFmtId="9" fontId="31" fillId="0" borderId="14" xfId="15" applyNumberFormat="1" applyFont="1"/>
    <xf numFmtId="173" fontId="21" fillId="23" borderId="0" xfId="7" applyNumberFormat="1" applyFill="1"/>
    <xf numFmtId="0" fontId="21" fillId="0" borderId="0" xfId="7"/>
    <xf numFmtId="0" fontId="21" fillId="25" borderId="0" xfId="7" applyFill="1" applyAlignment="1">
      <alignment horizontal="right"/>
    </xf>
    <xf numFmtId="171" fontId="21" fillId="0" borderId="0" xfId="17"/>
    <xf numFmtId="170" fontId="21" fillId="23" borderId="0" xfId="7" applyNumberFormat="1" applyFill="1"/>
    <xf numFmtId="0" fontId="0" fillId="29" borderId="0" xfId="0" applyFill="1" applyAlignment="1">
      <alignment horizontal="center" vertical="center"/>
    </xf>
    <xf numFmtId="9" fontId="8" fillId="29" borderId="0" xfId="0" applyNumberFormat="1" applyFont="1" applyFill="1" applyAlignment="1">
      <alignment horizontal="center"/>
    </xf>
    <xf numFmtId="167" fontId="8" fillId="29" borderId="0" xfId="0" applyNumberFormat="1" applyFont="1" applyFill="1" applyAlignment="1">
      <alignment horizontal="center"/>
    </xf>
    <xf numFmtId="0" fontId="8" fillId="29" borderId="0" xfId="0" applyFont="1" applyFill="1" applyAlignment="1">
      <alignment horizontal="center" vertical="center"/>
    </xf>
    <xf numFmtId="9" fontId="8" fillId="29" borderId="0" xfId="0" applyNumberFormat="1" applyFont="1" applyFill="1" applyAlignment="1">
      <alignment horizontal="center" vertical="center"/>
    </xf>
    <xf numFmtId="0" fontId="7" fillId="29" borderId="0" xfId="0" applyFont="1" applyFill="1" applyAlignment="1">
      <alignment horizontal="center" vertical="center"/>
    </xf>
    <xf numFmtId="0" fontId="7" fillId="29" borderId="0" xfId="0" applyFont="1" applyFill="1" applyAlignment="1">
      <alignment horizontal="center" vertical="center" wrapText="1"/>
    </xf>
    <xf numFmtId="0" fontId="0" fillId="29" borderId="0" xfId="0" applyFill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2" fillId="18" borderId="9" xfId="0" applyFont="1" applyFill="1" applyBorder="1" applyAlignment="1">
      <alignment horizontal="center"/>
    </xf>
    <xf numFmtId="0" fontId="7" fillId="0" borderId="9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35" fillId="0" borderId="9" xfId="0" applyFont="1" applyBorder="1" applyAlignment="1">
      <alignment horizontal="left" vertical="center" wrapText="1"/>
    </xf>
    <xf numFmtId="49" fontId="7" fillId="7" borderId="9" xfId="0" applyNumberFormat="1" applyFont="1" applyFill="1" applyBorder="1" applyAlignment="1">
      <alignment vertical="center" wrapText="1"/>
    </xf>
    <xf numFmtId="0" fontId="0" fillId="0" borderId="9" xfId="0" applyBorder="1" applyAlignment="1">
      <alignment horizontal="center"/>
    </xf>
    <xf numFmtId="49" fontId="7" fillId="30" borderId="9" xfId="0" applyNumberFormat="1" applyFont="1" applyFill="1" applyBorder="1" applyAlignment="1">
      <alignment vertical="center" wrapText="1"/>
    </xf>
    <xf numFmtId="49" fontId="7" fillId="21" borderId="9" xfId="0" applyNumberFormat="1" applyFont="1" applyFill="1" applyBorder="1" applyAlignment="1">
      <alignment vertical="center" wrapText="1"/>
    </xf>
    <xf numFmtId="49" fontId="7" fillId="32" borderId="9" xfId="0" applyNumberFormat="1" applyFont="1" applyFill="1" applyBorder="1" applyAlignment="1">
      <alignment vertical="center" wrapText="1"/>
    </xf>
    <xf numFmtId="0" fontId="8" fillId="29" borderId="9" xfId="0" applyFont="1" applyFill="1" applyBorder="1" applyAlignment="1">
      <alignment horizontal="center" vertical="center"/>
    </xf>
    <xf numFmtId="0" fontId="8" fillId="29" borderId="20" xfId="0" applyFont="1" applyFill="1" applyBorder="1" applyAlignment="1">
      <alignment horizontal="center" vertical="center"/>
    </xf>
    <xf numFmtId="49" fontId="36" fillId="5" borderId="20" xfId="0" applyNumberFormat="1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49" fontId="7" fillId="30" borderId="22" xfId="0" applyNumberFormat="1" applyFont="1" applyFill="1" applyBorder="1" applyAlignment="1">
      <alignment vertical="center" wrapText="1"/>
    </xf>
    <xf numFmtId="0" fontId="0" fillId="0" borderId="22" xfId="0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0" fillId="9" borderId="9" xfId="0" applyFill="1" applyBorder="1" applyAlignment="1">
      <alignment horizontal="left" vertical="center" wrapText="1"/>
    </xf>
    <xf numFmtId="1" fontId="0" fillId="19" borderId="9" xfId="1" applyNumberFormat="1" applyFont="1" applyFill="1" applyBorder="1" applyAlignment="1">
      <alignment horizontal="center" vertical="center"/>
    </xf>
    <xf numFmtId="175" fontId="0" fillId="9" borderId="9" xfId="1" applyNumberFormat="1" applyFont="1" applyFill="1" applyBorder="1" applyAlignment="1">
      <alignment horizontal="center" vertical="center"/>
    </xf>
    <xf numFmtId="0" fontId="0" fillId="19" borderId="9" xfId="1" applyNumberFormat="1" applyFont="1" applyFill="1" applyBorder="1" applyAlignment="1">
      <alignment horizontal="center" vertical="center"/>
    </xf>
    <xf numFmtId="0" fontId="0" fillId="9" borderId="9" xfId="1" applyNumberFormat="1" applyFont="1" applyFill="1" applyBorder="1" applyAlignment="1">
      <alignment horizontal="center" vertical="center"/>
    </xf>
    <xf numFmtId="170" fontId="0" fillId="9" borderId="9" xfId="1" applyNumberFormat="1" applyFont="1" applyFill="1" applyBorder="1"/>
    <xf numFmtId="0" fontId="0" fillId="0" borderId="9" xfId="0" applyBorder="1" applyAlignment="1">
      <alignment vertical="center"/>
    </xf>
    <xf numFmtId="1" fontId="0" fillId="9" borderId="9" xfId="0" applyNumberFormat="1" applyFill="1" applyBorder="1" applyAlignment="1">
      <alignment horizontal="center" vertical="center"/>
    </xf>
    <xf numFmtId="2" fontId="0" fillId="9" borderId="9" xfId="1" applyNumberFormat="1" applyFont="1" applyFill="1" applyBorder="1" applyAlignment="1">
      <alignment horizontal="center" vertical="center"/>
    </xf>
    <xf numFmtId="170" fontId="0" fillId="9" borderId="9" xfId="0" applyNumberFormat="1" applyFill="1" applyBorder="1"/>
    <xf numFmtId="170" fontId="0" fillId="9" borderId="9" xfId="1" applyNumberFormat="1" applyFont="1" applyFill="1" applyBorder="1" applyAlignment="1">
      <alignment horizontal="center" vertical="center"/>
    </xf>
    <xf numFmtId="175" fontId="0" fillId="9" borderId="9" xfId="1" applyNumberFormat="1" applyFont="1" applyFill="1" applyBorder="1" applyAlignment="1">
      <alignment horizontal="left" vertical="center"/>
    </xf>
    <xf numFmtId="166" fontId="0" fillId="0" borderId="0" xfId="0" applyNumberFormat="1"/>
    <xf numFmtId="0" fontId="0" fillId="0" borderId="24" xfId="0" applyBorder="1" applyAlignment="1">
      <alignment horizontal="center"/>
    </xf>
    <xf numFmtId="0" fontId="40" fillId="0" borderId="9" xfId="0" applyFont="1" applyBorder="1" applyAlignment="1">
      <alignment vertical="center" wrapText="1"/>
    </xf>
    <xf numFmtId="0" fontId="0" fillId="9" borderId="9" xfId="0" applyFill="1" applyBorder="1" applyAlignment="1">
      <alignment horizontal="left" vertical="center"/>
    </xf>
    <xf numFmtId="0" fontId="37" fillId="9" borderId="9" xfId="0" applyFont="1" applyFill="1" applyBorder="1" applyAlignment="1">
      <alignment horizontal="center" vertical="center"/>
    </xf>
    <xf numFmtId="169" fontId="39" fillId="28" borderId="9" xfId="0" applyNumberFormat="1" applyFont="1" applyFill="1" applyBorder="1" applyAlignment="1">
      <alignment vertical="center"/>
    </xf>
    <xf numFmtId="169" fontId="0" fillId="28" borderId="9" xfId="0" applyNumberFormat="1" applyFill="1" applyBorder="1" applyAlignment="1">
      <alignment vertical="center"/>
    </xf>
    <xf numFmtId="0" fontId="38" fillId="0" borderId="9" xfId="0" applyFont="1" applyBorder="1" applyAlignment="1">
      <alignment horizontal="left" vertical="center"/>
    </xf>
    <xf numFmtId="170" fontId="0" fillId="9" borderId="9" xfId="0" applyNumberFormat="1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175" fontId="0" fillId="9" borderId="9" xfId="1" applyNumberFormat="1" applyFont="1" applyFill="1" applyBorder="1" applyAlignment="1">
      <alignment vertical="center"/>
    </xf>
    <xf numFmtId="170" fontId="0" fillId="9" borderId="9" xfId="1" applyNumberFormat="1" applyFont="1" applyFill="1" applyBorder="1" applyAlignment="1">
      <alignment vertical="center"/>
    </xf>
    <xf numFmtId="170" fontId="0" fillId="0" borderId="9" xfId="0" applyNumberFormat="1" applyBorder="1" applyAlignment="1">
      <alignment vertical="center"/>
    </xf>
    <xf numFmtId="169" fontId="0" fillId="0" borderId="0" xfId="0" applyNumberFormat="1" applyAlignment="1">
      <alignment vertical="center"/>
    </xf>
    <xf numFmtId="175" fontId="37" fillId="19" borderId="23" xfId="1" applyNumberFormat="1" applyFont="1" applyFill="1" applyBorder="1" applyAlignment="1">
      <alignment vertical="center"/>
    </xf>
    <xf numFmtId="176" fontId="37" fillId="19" borderId="23" xfId="1" applyNumberFormat="1" applyFont="1" applyFill="1" applyBorder="1" applyAlignment="1">
      <alignment vertical="center"/>
    </xf>
    <xf numFmtId="0" fontId="7" fillId="9" borderId="9" xfId="0" applyFont="1" applyFill="1" applyBorder="1" applyAlignment="1">
      <alignment horizontal="left" vertical="center" wrapText="1"/>
    </xf>
    <xf numFmtId="164" fontId="0" fillId="9" borderId="0" xfId="1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167" fontId="8" fillId="29" borderId="0" xfId="0" applyNumberFormat="1" applyFont="1" applyFill="1" applyAlignment="1">
      <alignment horizontal="center" vertical="center"/>
    </xf>
    <xf numFmtId="177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9" fontId="0" fillId="0" borderId="25" xfId="2" applyFont="1" applyBorder="1" applyAlignment="1">
      <alignment horizontal="center" vertical="center"/>
    </xf>
    <xf numFmtId="9" fontId="41" fillId="19" borderId="0" xfId="0" applyNumberFormat="1" applyFont="1" applyFill="1" applyAlignment="1">
      <alignment horizontal="center" vertical="center"/>
    </xf>
    <xf numFmtId="0" fontId="15" fillId="17" borderId="9" xfId="68" applyFont="1" applyFill="1" applyBorder="1" applyAlignment="1">
      <alignment horizontal="center" vertical="center" wrapText="1"/>
    </xf>
    <xf numFmtId="4" fontId="17" fillId="16" borderId="0" xfId="4" applyNumberFormat="1" applyFont="1" applyFill="1" applyAlignment="1">
      <alignment horizontal="center" vertical="center"/>
    </xf>
    <xf numFmtId="49" fontId="17" fillId="16" borderId="9" xfId="4" applyNumberFormat="1" applyFont="1" applyFill="1" applyBorder="1" applyAlignment="1">
      <alignment vertical="center" wrapText="1"/>
    </xf>
    <xf numFmtId="0" fontId="13" fillId="16" borderId="0" xfId="68" applyFont="1" applyFill="1" applyAlignment="1">
      <alignment vertical="center"/>
    </xf>
    <xf numFmtId="0" fontId="13" fillId="16" borderId="2" xfId="68" applyFont="1" applyFill="1" applyBorder="1" applyAlignment="1">
      <alignment vertical="center"/>
    </xf>
    <xf numFmtId="0" fontId="13" fillId="16" borderId="4" xfId="68" applyFont="1" applyFill="1" applyBorder="1" applyAlignment="1">
      <alignment vertical="center"/>
    </xf>
    <xf numFmtId="0" fontId="13" fillId="16" borderId="5" xfId="68" applyFont="1" applyFill="1" applyBorder="1" applyAlignment="1">
      <alignment vertical="center"/>
    </xf>
    <xf numFmtId="0" fontId="13" fillId="16" borderId="1" xfId="68" applyFont="1" applyFill="1" applyBorder="1" applyAlignment="1">
      <alignment vertical="center"/>
    </xf>
    <xf numFmtId="0" fontId="13" fillId="16" borderId="6" xfId="68" applyFont="1" applyFill="1" applyBorder="1" applyAlignment="1">
      <alignment vertical="center"/>
    </xf>
    <xf numFmtId="0" fontId="13" fillId="16" borderId="8" xfId="68" applyFont="1" applyFill="1" applyBorder="1" applyAlignment="1">
      <alignment vertical="center"/>
    </xf>
    <xf numFmtId="0" fontId="13" fillId="0" borderId="0" xfId="68" applyFont="1" applyAlignment="1">
      <alignment vertical="center"/>
    </xf>
    <xf numFmtId="0" fontId="13" fillId="0" borderId="0" xfId="4" applyFont="1" applyAlignment="1">
      <alignment horizontal="center" vertical="center"/>
    </xf>
    <xf numFmtId="0" fontId="13" fillId="0" borderId="0" xfId="4" applyFont="1" applyAlignment="1">
      <alignment horizontal="left" vertical="center"/>
    </xf>
    <xf numFmtId="164" fontId="13" fillId="0" borderId="0" xfId="1" applyFont="1" applyFill="1" applyAlignment="1">
      <alignment horizontal="center" vertical="center"/>
    </xf>
    <xf numFmtId="0" fontId="13" fillId="16" borderId="3" xfId="4" applyFont="1" applyFill="1" applyBorder="1" applyAlignment="1">
      <alignment horizontal="left" vertical="center"/>
    </xf>
    <xf numFmtId="0" fontId="13" fillId="16" borderId="0" xfId="4" applyFont="1" applyFill="1" applyAlignment="1">
      <alignment horizontal="left" vertical="center"/>
    </xf>
    <xf numFmtId="0" fontId="13" fillId="0" borderId="0" xfId="4" applyFont="1" applyAlignment="1">
      <alignment vertical="center"/>
    </xf>
    <xf numFmtId="0" fontId="17" fillId="16" borderId="9" xfId="4" applyFont="1" applyFill="1" applyBorder="1" applyAlignment="1">
      <alignment vertical="center" wrapText="1"/>
    </xf>
    <xf numFmtId="0" fontId="13" fillId="16" borderId="7" xfId="4" applyFont="1" applyFill="1" applyBorder="1" applyAlignment="1">
      <alignment vertical="center"/>
    </xf>
    <xf numFmtId="0" fontId="13" fillId="16" borderId="0" xfId="4" applyFont="1" applyFill="1" applyAlignment="1">
      <alignment vertical="center"/>
    </xf>
    <xf numFmtId="164" fontId="17" fillId="16" borderId="9" xfId="1" applyFont="1" applyFill="1" applyBorder="1" applyAlignment="1">
      <alignment horizontal="center" vertical="center"/>
    </xf>
    <xf numFmtId="164" fontId="13" fillId="16" borderId="7" xfId="1" applyFont="1" applyFill="1" applyBorder="1" applyAlignment="1">
      <alignment horizontal="center" vertical="center"/>
    </xf>
    <xf numFmtId="164" fontId="13" fillId="0" borderId="0" xfId="1" applyFont="1" applyFill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9" fontId="8" fillId="13" borderId="23" xfId="2" applyFont="1" applyFill="1" applyBorder="1" applyAlignment="1">
      <alignment horizontal="center" vertical="center"/>
    </xf>
    <xf numFmtId="0" fontId="8" fillId="14" borderId="38" xfId="0" applyFont="1" applyFill="1" applyBorder="1" applyAlignment="1">
      <alignment horizontal="center" vertical="center" textRotation="90"/>
    </xf>
    <xf numFmtId="0" fontId="10" fillId="0" borderId="0" xfId="0" applyFont="1" applyAlignment="1">
      <alignment horizontal="center" vertical="center"/>
    </xf>
    <xf numFmtId="9" fontId="0" fillId="0" borderId="31" xfId="2" applyFont="1" applyBorder="1" applyAlignment="1">
      <alignment horizontal="center" vertical="center"/>
    </xf>
    <xf numFmtId="9" fontId="0" fillId="0" borderId="34" xfId="2" applyFont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164" fontId="8" fillId="13" borderId="23" xfId="0" applyNumberFormat="1" applyFont="1" applyFill="1" applyBorder="1" applyAlignment="1">
      <alignment vertical="center"/>
    </xf>
    <xf numFmtId="164" fontId="8" fillId="13" borderId="23" xfId="1" applyFont="1" applyFill="1" applyBorder="1" applyAlignment="1">
      <alignment vertical="center"/>
    </xf>
    <xf numFmtId="164" fontId="8" fillId="0" borderId="0" xfId="0" applyNumberFormat="1" applyFont="1" applyAlignment="1">
      <alignment vertical="center"/>
    </xf>
    <xf numFmtId="9" fontId="0" fillId="0" borderId="0" xfId="2" applyFont="1" applyFill="1" applyBorder="1" applyAlignment="1">
      <alignment horizontal="center" vertical="center"/>
    </xf>
    <xf numFmtId="164" fontId="8" fillId="0" borderId="0" xfId="1" applyFont="1" applyFill="1" applyBorder="1" applyAlignment="1">
      <alignment vertical="center"/>
    </xf>
    <xf numFmtId="164" fontId="0" fillId="0" borderId="0" xfId="1" applyFont="1" applyFill="1" applyBorder="1" applyAlignment="1">
      <alignment vertical="center"/>
    </xf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5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43" fontId="0" fillId="0" borderId="0" xfId="0" applyNumberFormat="1" applyAlignment="1">
      <alignment horizontal="center"/>
    </xf>
    <xf numFmtId="0" fontId="8" fillId="33" borderId="21" xfId="0" applyFont="1" applyFill="1" applyBorder="1" applyAlignment="1">
      <alignment horizontal="center"/>
    </xf>
    <xf numFmtId="167" fontId="8" fillId="5" borderId="22" xfId="0" applyNumberFormat="1" applyFont="1" applyFill="1" applyBorder="1" applyAlignment="1">
      <alignment horizontal="center"/>
    </xf>
    <xf numFmtId="0" fontId="0" fillId="0" borderId="8" xfId="0" applyBorder="1"/>
    <xf numFmtId="0" fontId="9" fillId="10" borderId="29" xfId="0" applyFont="1" applyFill="1" applyBorder="1"/>
    <xf numFmtId="9" fontId="9" fillId="10" borderId="28" xfId="2" applyFont="1" applyFill="1" applyBorder="1"/>
    <xf numFmtId="0" fontId="7" fillId="23" borderId="0" xfId="7" applyFont="1" applyFill="1"/>
    <xf numFmtId="164" fontId="21" fillId="23" borderId="0" xfId="1" applyFont="1" applyFill="1"/>
    <xf numFmtId="164" fontId="32" fillId="23" borderId="0" xfId="1" applyFont="1" applyFill="1"/>
    <xf numFmtId="164" fontId="9" fillId="10" borderId="28" xfId="1" applyFont="1" applyFill="1" applyBorder="1"/>
    <xf numFmtId="0" fontId="17" fillId="16" borderId="10" xfId="4" applyFont="1" applyFill="1" applyBorder="1" applyAlignment="1">
      <alignment horizontal="center" vertical="center"/>
    </xf>
    <xf numFmtId="0" fontId="17" fillId="16" borderId="11" xfId="4" applyFont="1" applyFill="1" applyBorder="1" applyAlignment="1">
      <alignment horizontal="center" vertical="center"/>
    </xf>
    <xf numFmtId="0" fontId="17" fillId="16" borderId="0" xfId="4" applyFont="1" applyFill="1" applyAlignment="1">
      <alignment horizontal="center" vertical="center"/>
    </xf>
    <xf numFmtId="164" fontId="17" fillId="12" borderId="0" xfId="1" applyFont="1" applyFill="1" applyBorder="1" applyAlignment="1">
      <alignment horizontal="center" vertical="center"/>
    </xf>
    <xf numFmtId="164" fontId="17" fillId="19" borderId="0" xfId="1" applyFont="1" applyFill="1" applyBorder="1" applyAlignment="1">
      <alignment horizontal="center" vertical="center"/>
    </xf>
    <xf numFmtId="0" fontId="17" fillId="16" borderId="0" xfId="4" applyFont="1" applyFill="1" applyAlignment="1">
      <alignment vertical="center" wrapText="1"/>
    </xf>
    <xf numFmtId="49" fontId="17" fillId="16" borderId="12" xfId="4" applyNumberFormat="1" applyFont="1" applyFill="1" applyBorder="1" applyAlignment="1">
      <alignment vertical="center" wrapText="1"/>
    </xf>
    <xf numFmtId="0" fontId="44" fillId="0" borderId="0" xfId="0" applyFont="1" applyAlignment="1">
      <alignment wrapText="1"/>
    </xf>
    <xf numFmtId="49" fontId="17" fillId="16" borderId="11" xfId="4" applyNumberFormat="1" applyFont="1" applyFill="1" applyBorder="1" applyAlignment="1">
      <alignment vertical="center" wrapText="1"/>
    </xf>
    <xf numFmtId="164" fontId="17" fillId="16" borderId="11" xfId="1" applyFont="1" applyFill="1" applyBorder="1" applyAlignment="1">
      <alignment horizontal="center" vertical="center"/>
    </xf>
    <xf numFmtId="164" fontId="17" fillId="16" borderId="12" xfId="1" applyFont="1" applyFill="1" applyBorder="1" applyAlignment="1">
      <alignment horizontal="center" vertical="center"/>
    </xf>
    <xf numFmtId="0" fontId="8" fillId="0" borderId="40" xfId="0" applyFont="1" applyBorder="1" applyAlignment="1">
      <alignment vertical="center" wrapText="1"/>
    </xf>
    <xf numFmtId="0" fontId="7" fillId="0" borderId="36" xfId="0" applyFont="1" applyBorder="1" applyAlignment="1">
      <alignment vertical="center"/>
    </xf>
    <xf numFmtId="0" fontId="7" fillId="0" borderId="31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164" fontId="0" fillId="0" borderId="31" xfId="0" applyNumberFormat="1" applyBorder="1" applyAlignment="1">
      <alignment horizontal="center" vertical="center"/>
    </xf>
    <xf numFmtId="164" fontId="0" fillId="0" borderId="31" xfId="1" applyFont="1" applyBorder="1" applyAlignment="1">
      <alignment horizontal="center" vertical="center"/>
    </xf>
    <xf numFmtId="164" fontId="0" fillId="0" borderId="32" xfId="1" applyFont="1" applyBorder="1" applyAlignment="1">
      <alignment horizontal="center" vertical="center"/>
    </xf>
    <xf numFmtId="164" fontId="8" fillId="13" borderId="23" xfId="0" applyNumberFormat="1" applyFont="1" applyFill="1" applyBorder="1" applyAlignment="1">
      <alignment horizontal="center" vertical="center"/>
    </xf>
    <xf numFmtId="164" fontId="8" fillId="13" borderId="23" xfId="1" applyFont="1" applyFill="1" applyBorder="1" applyAlignment="1">
      <alignment horizontal="center" vertical="center"/>
    </xf>
    <xf numFmtId="0" fontId="7" fillId="0" borderId="9" xfId="0" applyFont="1" applyBorder="1" applyAlignment="1">
      <alignment vertical="center"/>
    </xf>
    <xf numFmtId="0" fontId="8" fillId="19" borderId="9" xfId="0" applyFont="1" applyFill="1" applyBorder="1" applyAlignment="1">
      <alignment horizontal="center" vertical="center"/>
    </xf>
    <xf numFmtId="0" fontId="8" fillId="19" borderId="9" xfId="0" applyFont="1" applyFill="1" applyBorder="1" applyAlignment="1">
      <alignment horizontal="center" vertical="center" wrapText="1"/>
    </xf>
    <xf numFmtId="9" fontId="0" fillId="0" borderId="9" xfId="2" applyFont="1" applyBorder="1" applyAlignment="1">
      <alignment horizontal="center" vertical="center"/>
    </xf>
    <xf numFmtId="164" fontId="0" fillId="0" borderId="9" xfId="1" applyFont="1" applyBorder="1" applyAlignment="1">
      <alignment vertical="center"/>
    </xf>
    <xf numFmtId="43" fontId="0" fillId="0" borderId="0" xfId="0" applyNumberFormat="1" applyAlignment="1">
      <alignment vertical="center"/>
    </xf>
    <xf numFmtId="0" fontId="7" fillId="12" borderId="9" xfId="0" applyFont="1" applyFill="1" applyBorder="1" applyAlignment="1">
      <alignment vertical="center"/>
    </xf>
    <xf numFmtId="0" fontId="0" fillId="12" borderId="9" xfId="0" applyFill="1" applyBorder="1" applyAlignment="1">
      <alignment vertical="center"/>
    </xf>
    <xf numFmtId="0" fontId="7" fillId="12" borderId="9" xfId="0" applyFont="1" applyFill="1" applyBorder="1" applyAlignment="1">
      <alignment vertical="center" wrapText="1"/>
    </xf>
    <xf numFmtId="167" fontId="0" fillId="0" borderId="9" xfId="2" applyNumberFormat="1" applyFont="1" applyBorder="1" applyAlignment="1">
      <alignment vertical="center"/>
    </xf>
    <xf numFmtId="167" fontId="9" fillId="10" borderId="28" xfId="2" applyNumberFormat="1" applyFont="1" applyFill="1" applyBorder="1"/>
    <xf numFmtId="167" fontId="0" fillId="12" borderId="0" xfId="2" applyNumberFormat="1" applyFont="1" applyFill="1" applyAlignment="1">
      <alignment vertical="center"/>
    </xf>
    <xf numFmtId="0" fontId="12" fillId="20" borderId="0" xfId="0" applyFont="1" applyFill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167" fontId="8" fillId="0" borderId="0" xfId="2" applyNumberFormat="1" applyFont="1" applyFill="1" applyAlignment="1">
      <alignment horizontal="center" vertical="center"/>
    </xf>
    <xf numFmtId="9" fontId="41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vertical="center" wrapText="1"/>
    </xf>
    <xf numFmtId="0" fontId="0" fillId="19" borderId="42" xfId="0" applyFill="1" applyBorder="1" applyAlignment="1">
      <alignment horizontal="center" vertical="center"/>
    </xf>
    <xf numFmtId="167" fontId="10" fillId="19" borderId="42" xfId="0" applyNumberFormat="1" applyFont="1" applyFill="1" applyBorder="1" applyAlignment="1">
      <alignment horizontal="center"/>
    </xf>
    <xf numFmtId="0" fontId="9" fillId="10" borderId="9" xfId="0" applyFont="1" applyFill="1" applyBorder="1" applyAlignment="1">
      <alignment vertical="center"/>
    </xf>
    <xf numFmtId="164" fontId="9" fillId="10" borderId="9" xfId="0" applyNumberFormat="1" applyFont="1" applyFill="1" applyBorder="1" applyAlignment="1">
      <alignment vertical="center"/>
    </xf>
    <xf numFmtId="167" fontId="9" fillId="10" borderId="9" xfId="2" applyNumberFormat="1" applyFont="1" applyFill="1" applyBorder="1" applyAlignment="1">
      <alignment vertical="center"/>
    </xf>
    <xf numFmtId="178" fontId="0" fillId="0" borderId="0" xfId="0" applyNumberFormat="1" applyAlignment="1">
      <alignment vertical="center"/>
    </xf>
    <xf numFmtId="9" fontId="12" fillId="20" borderId="0" xfId="0" applyNumberFormat="1" applyFont="1" applyFill="1" applyAlignment="1">
      <alignment horizontal="center" vertical="center"/>
    </xf>
    <xf numFmtId="9" fontId="12" fillId="20" borderId="0" xfId="0" applyNumberFormat="1" applyFont="1" applyFill="1" applyAlignment="1">
      <alignment horizontal="center"/>
    </xf>
    <xf numFmtId="9" fontId="8" fillId="34" borderId="0" xfId="0" applyNumberFormat="1" applyFont="1" applyFill="1" applyAlignment="1">
      <alignment horizontal="center" vertical="center"/>
    </xf>
    <xf numFmtId="0" fontId="8" fillId="34" borderId="0" xfId="0" applyFont="1" applyFill="1" applyAlignment="1">
      <alignment horizontal="center" vertical="center" wrapText="1"/>
    </xf>
    <xf numFmtId="0" fontId="0" fillId="34" borderId="0" xfId="0" applyFill="1" applyAlignment="1">
      <alignment horizontal="center" vertical="center"/>
    </xf>
    <xf numFmtId="0" fontId="46" fillId="20" borderId="1" xfId="0" applyFont="1" applyFill="1" applyBorder="1" applyAlignment="1">
      <alignment vertical="center"/>
    </xf>
    <xf numFmtId="0" fontId="7" fillId="34" borderId="0" xfId="0" applyFont="1" applyFill="1" applyAlignment="1">
      <alignment horizontal="center" vertical="center"/>
    </xf>
    <xf numFmtId="9" fontId="12" fillId="34" borderId="0" xfId="0" applyNumberFormat="1" applyFont="1" applyFill="1" applyAlignment="1">
      <alignment horizontal="center"/>
    </xf>
    <xf numFmtId="0" fontId="7" fillId="0" borderId="0" xfId="0" applyFont="1" applyAlignment="1">
      <alignment horizontal="left" wrapText="1"/>
    </xf>
    <xf numFmtId="164" fontId="0" fillId="8" borderId="31" xfId="0" applyNumberFormat="1" applyFill="1" applyBorder="1" applyAlignment="1">
      <alignment vertical="center"/>
    </xf>
    <xf numFmtId="164" fontId="0" fillId="8" borderId="25" xfId="0" applyNumberFormat="1" applyFill="1" applyBorder="1" applyAlignment="1">
      <alignment vertical="center"/>
    </xf>
    <xf numFmtId="9" fontId="0" fillId="8" borderId="31" xfId="2" applyFont="1" applyFill="1" applyBorder="1" applyAlignment="1">
      <alignment horizontal="center" vertical="center"/>
    </xf>
    <xf numFmtId="9" fontId="8" fillId="8" borderId="31" xfId="2" applyFont="1" applyFill="1" applyBorder="1" applyAlignment="1">
      <alignment horizontal="center" vertical="center"/>
    </xf>
    <xf numFmtId="164" fontId="0" fillId="8" borderId="31" xfId="1" applyFont="1" applyFill="1" applyBorder="1" applyAlignment="1">
      <alignment vertical="center"/>
    </xf>
    <xf numFmtId="164" fontId="0" fillId="8" borderId="32" xfId="1" applyFont="1" applyFill="1" applyBorder="1" applyAlignment="1">
      <alignment vertical="center"/>
    </xf>
    <xf numFmtId="9" fontId="0" fillId="8" borderId="34" xfId="2" applyFont="1" applyFill="1" applyBorder="1" applyAlignment="1">
      <alignment horizontal="center" vertical="center"/>
    </xf>
    <xf numFmtId="9" fontId="8" fillId="8" borderId="34" xfId="2" applyFont="1" applyFill="1" applyBorder="1" applyAlignment="1">
      <alignment horizontal="center" vertical="center"/>
    </xf>
    <xf numFmtId="164" fontId="0" fillId="8" borderId="34" xfId="1" applyFont="1" applyFill="1" applyBorder="1" applyAlignment="1">
      <alignment vertical="center"/>
    </xf>
    <xf numFmtId="164" fontId="0" fillId="8" borderId="35" xfId="1" applyFont="1" applyFill="1" applyBorder="1" applyAlignment="1">
      <alignment vertical="center"/>
    </xf>
    <xf numFmtId="9" fontId="7" fillId="8" borderId="25" xfId="2" applyFont="1" applyFill="1" applyBorder="1" applyAlignment="1">
      <alignment horizontal="center" vertical="center"/>
    </xf>
    <xf numFmtId="9" fontId="8" fillId="8" borderId="25" xfId="2" applyFont="1" applyFill="1" applyBorder="1" applyAlignment="1">
      <alignment horizontal="center" vertical="center"/>
    </xf>
    <xf numFmtId="164" fontId="0" fillId="8" borderId="41" xfId="1" applyFont="1" applyFill="1" applyBorder="1" applyAlignment="1">
      <alignment vertical="center"/>
    </xf>
    <xf numFmtId="164" fontId="7" fillId="8" borderId="1" xfId="1" applyFont="1" applyFill="1" applyBorder="1" applyAlignment="1">
      <alignment vertical="center"/>
    </xf>
    <xf numFmtId="179" fontId="7" fillId="0" borderId="0" xfId="0" applyNumberFormat="1" applyFont="1" applyAlignment="1">
      <alignment vertical="center"/>
    </xf>
    <xf numFmtId="0" fontId="7" fillId="0" borderId="42" xfId="0" applyFont="1" applyBorder="1" applyAlignment="1">
      <alignment vertical="center"/>
    </xf>
    <xf numFmtId="179" fontId="7" fillId="0" borderId="42" xfId="0" applyNumberFormat="1" applyFont="1" applyBorder="1" applyAlignment="1">
      <alignment vertical="center"/>
    </xf>
    <xf numFmtId="9" fontId="0" fillId="0" borderId="42" xfId="2" applyFont="1" applyFill="1" applyBorder="1" applyAlignment="1">
      <alignment vertical="center"/>
    </xf>
    <xf numFmtId="164" fontId="7" fillId="0" borderId="42" xfId="0" applyNumberFormat="1" applyFont="1" applyBorder="1" applyAlignment="1">
      <alignment vertical="center" wrapText="1"/>
    </xf>
    <xf numFmtId="0" fontId="7" fillId="0" borderId="0" xfId="0" applyFont="1" applyAlignment="1">
      <alignment vertical="center" textRotation="90"/>
    </xf>
    <xf numFmtId="180" fontId="0" fillId="0" borderId="0" xfId="0" applyNumberFormat="1" applyAlignment="1">
      <alignment vertical="center"/>
    </xf>
    <xf numFmtId="180" fontId="0" fillId="0" borderId="42" xfId="0" applyNumberFormat="1" applyBorder="1" applyAlignment="1">
      <alignment vertical="center"/>
    </xf>
    <xf numFmtId="164" fontId="0" fillId="8" borderId="45" xfId="0" applyNumberFormat="1" applyFill="1" applyBorder="1" applyAlignment="1">
      <alignment vertical="center"/>
    </xf>
    <xf numFmtId="164" fontId="0" fillId="8" borderId="1" xfId="0" applyNumberFormat="1" applyFill="1" applyBorder="1" applyAlignment="1">
      <alignment vertical="center"/>
    </xf>
    <xf numFmtId="164" fontId="0" fillId="8" borderId="8" xfId="0" applyNumberFormat="1" applyFill="1" applyBorder="1" applyAlignment="1">
      <alignment vertical="center"/>
    </xf>
    <xf numFmtId="164" fontId="0" fillId="8" borderId="28" xfId="0" applyNumberFormat="1" applyFill="1" applyBorder="1" applyAlignment="1">
      <alignment vertical="center"/>
    </xf>
    <xf numFmtId="164" fontId="8" fillId="13" borderId="46" xfId="1" applyFont="1" applyFill="1" applyBorder="1" applyAlignment="1">
      <alignment vertical="center"/>
    </xf>
    <xf numFmtId="0" fontId="0" fillId="0" borderId="5" xfId="0" applyBorder="1" applyAlignment="1">
      <alignment vertical="center" wrapText="1"/>
    </xf>
    <xf numFmtId="0" fontId="12" fillId="20" borderId="16" xfId="0" applyFont="1" applyFill="1" applyBorder="1" applyAlignment="1">
      <alignment vertical="center" wrapText="1"/>
    </xf>
    <xf numFmtId="0" fontId="0" fillId="0" borderId="5" xfId="0" applyBorder="1" applyAlignment="1">
      <alignment vertical="center"/>
    </xf>
    <xf numFmtId="9" fontId="7" fillId="8" borderId="31" xfId="2" applyFont="1" applyFill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164" fontId="0" fillId="8" borderId="47" xfId="0" applyNumberFormat="1" applyFill="1" applyBorder="1" applyAlignment="1">
      <alignment vertical="center"/>
    </xf>
    <xf numFmtId="9" fontId="8" fillId="8" borderId="47" xfId="2" applyFont="1" applyFill="1" applyBorder="1" applyAlignment="1">
      <alignment horizontal="center" vertical="center"/>
    </xf>
    <xf numFmtId="164" fontId="0" fillId="8" borderId="49" xfId="1" applyFont="1" applyFill="1" applyBorder="1" applyAlignment="1">
      <alignment vertical="center"/>
    </xf>
    <xf numFmtId="164" fontId="7" fillId="8" borderId="48" xfId="1" applyFont="1" applyFill="1" applyBorder="1" applyAlignment="1">
      <alignment vertical="center"/>
    </xf>
    <xf numFmtId="164" fontId="7" fillId="8" borderId="8" xfId="1" applyFont="1" applyFill="1" applyBorder="1" applyAlignment="1">
      <alignment vertical="center"/>
    </xf>
    <xf numFmtId="9" fontId="0" fillId="8" borderId="47" xfId="2" applyFont="1" applyFill="1" applyBorder="1" applyAlignment="1">
      <alignment horizontal="center" vertical="center"/>
    </xf>
    <xf numFmtId="164" fontId="0" fillId="8" borderId="35" xfId="0" applyNumberForma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27" xfId="0" applyFont="1" applyBorder="1" applyAlignment="1">
      <alignment vertical="center"/>
    </xf>
    <xf numFmtId="0" fontId="12" fillId="17" borderId="9" xfId="0" applyFont="1" applyFill="1" applyBorder="1" applyAlignment="1">
      <alignment horizontal="center" vertical="center"/>
    </xf>
    <xf numFmtId="178" fontId="12" fillId="17" borderId="9" xfId="70" applyNumberFormat="1" applyFont="1" applyFill="1" applyBorder="1" applyAlignment="1">
      <alignment vertical="center"/>
    </xf>
    <xf numFmtId="164" fontId="0" fillId="0" borderId="9" xfId="0" applyNumberFormat="1" applyBorder="1" applyAlignment="1">
      <alignment vertical="center"/>
    </xf>
    <xf numFmtId="178" fontId="0" fillId="0" borderId="9" xfId="0" applyNumberFormat="1" applyBorder="1" applyAlignment="1">
      <alignment vertical="center"/>
    </xf>
    <xf numFmtId="165" fontId="0" fillId="0" borderId="0" xfId="70" applyFont="1" applyAlignment="1">
      <alignment vertical="center"/>
    </xf>
    <xf numFmtId="0" fontId="12" fillId="36" borderId="9" xfId="0" applyFont="1" applyFill="1" applyBorder="1" applyAlignment="1">
      <alignment horizontal="center" vertical="center"/>
    </xf>
    <xf numFmtId="178" fontId="12" fillId="36" borderId="9" xfId="0" applyNumberFormat="1" applyFont="1" applyFill="1" applyBorder="1" applyAlignment="1">
      <alignment vertical="center"/>
    </xf>
    <xf numFmtId="178" fontId="0" fillId="0" borderId="9" xfId="70" applyNumberFormat="1" applyFont="1" applyBorder="1" applyAlignment="1">
      <alignment vertical="center"/>
    </xf>
    <xf numFmtId="0" fontId="11" fillId="37" borderId="9" xfId="0" applyFont="1" applyFill="1" applyBorder="1" applyAlignment="1">
      <alignment vertical="center"/>
    </xf>
    <xf numFmtId="178" fontId="11" fillId="37" borderId="9" xfId="0" applyNumberFormat="1" applyFont="1" applyFill="1" applyBorder="1" applyAlignment="1">
      <alignment vertical="center"/>
    </xf>
    <xf numFmtId="9" fontId="0" fillId="8" borderId="0" xfId="2" applyFont="1" applyFill="1" applyAlignment="1">
      <alignment vertical="center"/>
    </xf>
    <xf numFmtId="43" fontId="0" fillId="0" borderId="0" xfId="0" applyNumberFormat="1"/>
    <xf numFmtId="0" fontId="8" fillId="19" borderId="33" xfId="0" applyFont="1" applyFill="1" applyBorder="1" applyAlignment="1">
      <alignment horizontal="center" vertical="center" textRotation="90"/>
    </xf>
    <xf numFmtId="0" fontId="12" fillId="31" borderId="30" xfId="0" applyFont="1" applyFill="1" applyBorder="1" applyAlignment="1">
      <alignment horizontal="center" vertical="center" textRotation="90"/>
    </xf>
    <xf numFmtId="169" fontId="48" fillId="38" borderId="50" xfId="71" applyFont="1" applyFill="1" applyBorder="1"/>
    <xf numFmtId="169" fontId="5" fillId="0" borderId="0" xfId="71"/>
    <xf numFmtId="169" fontId="50" fillId="39" borderId="0" xfId="71" applyFont="1" applyFill="1"/>
    <xf numFmtId="0" fontId="49" fillId="11" borderId="0" xfId="71" applyNumberFormat="1" applyFont="1" applyFill="1"/>
    <xf numFmtId="0" fontId="49" fillId="40" borderId="0" xfId="71" applyNumberFormat="1" applyFont="1" applyFill="1"/>
    <xf numFmtId="169" fontId="50" fillId="41" borderId="0" xfId="71" applyFont="1" applyFill="1"/>
    <xf numFmtId="169" fontId="5" fillId="18" borderId="0" xfId="71" applyFill="1" applyAlignment="1">
      <alignment horizontal="center" textRotation="255"/>
    </xf>
    <xf numFmtId="169" fontId="50" fillId="42" borderId="0" xfId="71" applyFont="1" applyFill="1"/>
    <xf numFmtId="0" fontId="49" fillId="18" borderId="0" xfId="71" applyNumberFormat="1" applyFont="1" applyFill="1"/>
    <xf numFmtId="169" fontId="5" fillId="18" borderId="0" xfId="71" applyFill="1"/>
    <xf numFmtId="0" fontId="5" fillId="0" borderId="0" xfId="71" applyNumberFormat="1"/>
    <xf numFmtId="169" fontId="51" fillId="9" borderId="0" xfId="71" applyFont="1" applyFill="1" applyAlignment="1">
      <alignment textRotation="255"/>
    </xf>
    <xf numFmtId="169" fontId="5" fillId="0" borderId="0" xfId="71" applyAlignment="1">
      <alignment wrapText="1"/>
    </xf>
    <xf numFmtId="181" fontId="4" fillId="0" borderId="18" xfId="72" applyNumberFormat="1" applyBorder="1"/>
    <xf numFmtId="169" fontId="4" fillId="44" borderId="18" xfId="72" applyFill="1" applyBorder="1"/>
    <xf numFmtId="169" fontId="4" fillId="0" borderId="0" xfId="72"/>
    <xf numFmtId="169" fontId="4" fillId="0" borderId="18" xfId="72" applyBorder="1"/>
    <xf numFmtId="0" fontId="0" fillId="0" borderId="9" xfId="0" applyBorder="1"/>
    <xf numFmtId="169" fontId="0" fillId="0" borderId="9" xfId="1" applyNumberFormat="1" applyFont="1" applyBorder="1"/>
    <xf numFmtId="169" fontId="0" fillId="0" borderId="9" xfId="0" applyNumberFormat="1" applyBorder="1"/>
    <xf numFmtId="169" fontId="0" fillId="0" borderId="0" xfId="0" applyNumberFormat="1"/>
    <xf numFmtId="0" fontId="53" fillId="0" borderId="0" xfId="0" applyFont="1" applyAlignment="1">
      <alignment vertical="center"/>
    </xf>
    <xf numFmtId="169" fontId="49" fillId="19" borderId="0" xfId="0" applyNumberFormat="1" applyFont="1" applyFill="1"/>
    <xf numFmtId="169" fontId="37" fillId="0" borderId="9" xfId="118" applyFont="1" applyBorder="1" applyAlignment="1">
      <alignment horizontal="center" vertical="center"/>
    </xf>
    <xf numFmtId="0" fontId="37" fillId="0" borderId="9" xfId="118" applyNumberFormat="1" applyFont="1" applyBorder="1" applyAlignment="1">
      <alignment horizontal="center" vertical="center"/>
    </xf>
    <xf numFmtId="169" fontId="3" fillId="0" borderId="0" xfId="118"/>
    <xf numFmtId="0" fontId="3" fillId="0" borderId="9" xfId="118" applyNumberFormat="1" applyBorder="1" applyAlignment="1">
      <alignment horizontal="center"/>
    </xf>
    <xf numFmtId="169" fontId="3" fillId="0" borderId="9" xfId="118" applyBorder="1"/>
    <xf numFmtId="0" fontId="3" fillId="0" borderId="9" xfId="118" applyNumberFormat="1" applyBorder="1"/>
    <xf numFmtId="0" fontId="3" fillId="0" borderId="0" xfId="118" applyNumberFormat="1"/>
    <xf numFmtId="169" fontId="37" fillId="19" borderId="23" xfId="118" applyFont="1" applyFill="1" applyBorder="1" applyAlignment="1">
      <alignment horizontal="center" vertical="center"/>
    </xf>
    <xf numFmtId="182" fontId="54" fillId="45" borderId="51" xfId="118" applyNumberFormat="1" applyFont="1" applyFill="1" applyBorder="1" applyAlignment="1">
      <alignment horizontal="center"/>
    </xf>
    <xf numFmtId="182" fontId="54" fillId="45" borderId="52" xfId="118" applyNumberFormat="1" applyFont="1" applyFill="1" applyBorder="1" applyAlignment="1">
      <alignment horizontal="center"/>
    </xf>
    <xf numFmtId="182" fontId="54" fillId="45" borderId="53" xfId="118" applyNumberFormat="1" applyFont="1" applyFill="1" applyBorder="1"/>
    <xf numFmtId="182" fontId="54" fillId="45" borderId="55" xfId="118" applyNumberFormat="1" applyFont="1" applyFill="1" applyBorder="1" applyAlignment="1">
      <alignment horizontal="center"/>
    </xf>
    <xf numFmtId="0" fontId="3" fillId="0" borderId="9" xfId="118" applyNumberFormat="1" applyBorder="1" applyAlignment="1">
      <alignment horizontal="center" vertical="center"/>
    </xf>
    <xf numFmtId="1" fontId="3" fillId="0" borderId="9" xfId="118" applyNumberFormat="1" applyBorder="1" applyAlignment="1">
      <alignment horizontal="center" vertical="center"/>
    </xf>
    <xf numFmtId="169" fontId="3" fillId="0" borderId="9" xfId="118" applyBorder="1" applyAlignment="1">
      <alignment horizontal="center" vertical="center"/>
    </xf>
    <xf numFmtId="182" fontId="56" fillId="0" borderId="9" xfId="118" applyNumberFormat="1" applyFont="1" applyBorder="1" applyAlignment="1">
      <alignment horizontal="center" vertical="center"/>
    </xf>
    <xf numFmtId="164" fontId="9" fillId="0" borderId="9" xfId="118" applyNumberFormat="1" applyFont="1" applyBorder="1" applyAlignment="1">
      <alignment vertical="center"/>
    </xf>
    <xf numFmtId="182" fontId="54" fillId="45" borderId="58" xfId="118" applyNumberFormat="1" applyFont="1" applyFill="1" applyBorder="1" applyAlignment="1">
      <alignment vertical="top" wrapText="1"/>
    </xf>
    <xf numFmtId="182" fontId="54" fillId="45" borderId="0" xfId="118" applyNumberFormat="1" applyFont="1" applyFill="1" applyAlignment="1">
      <alignment vertical="top" wrapText="1"/>
    </xf>
    <xf numFmtId="182" fontId="60" fillId="45" borderId="0" xfId="118" applyNumberFormat="1" applyFont="1" applyFill="1"/>
    <xf numFmtId="182" fontId="60" fillId="45" borderId="57" xfId="118" applyNumberFormat="1" applyFont="1" applyFill="1" applyBorder="1" applyAlignment="1">
      <alignment horizontal="right"/>
    </xf>
    <xf numFmtId="164" fontId="56" fillId="0" borderId="59" xfId="118" applyNumberFormat="1" applyFont="1" applyBorder="1"/>
    <xf numFmtId="164" fontId="56" fillId="0" borderId="56" xfId="118" applyNumberFormat="1" applyFont="1" applyBorder="1"/>
    <xf numFmtId="182" fontId="54" fillId="45" borderId="60" xfId="118" applyNumberFormat="1" applyFont="1" applyFill="1" applyBorder="1" applyAlignment="1">
      <alignment vertical="top" wrapText="1"/>
    </xf>
    <xf numFmtId="182" fontId="54" fillId="45" borderId="61" xfId="118" applyNumberFormat="1" applyFont="1" applyFill="1" applyBorder="1" applyAlignment="1">
      <alignment vertical="top" wrapText="1"/>
    </xf>
    <xf numFmtId="182" fontId="61" fillId="45" borderId="61" xfId="118" applyNumberFormat="1" applyFont="1" applyFill="1" applyBorder="1"/>
    <xf numFmtId="182" fontId="62" fillId="45" borderId="62" xfId="118" applyNumberFormat="1" applyFont="1" applyFill="1" applyBorder="1" applyAlignment="1">
      <alignment horizontal="right"/>
    </xf>
    <xf numFmtId="164" fontId="57" fillId="0" borderId="56" xfId="118" applyNumberFormat="1" applyFont="1" applyBorder="1"/>
    <xf numFmtId="169" fontId="63" fillId="0" borderId="9" xfId="118" applyFont="1" applyBorder="1" applyAlignment="1">
      <alignment horizontal="center" vertical="center"/>
    </xf>
    <xf numFmtId="169" fontId="49" fillId="40" borderId="0" xfId="71" applyFont="1" applyFill="1"/>
    <xf numFmtId="182" fontId="60" fillId="45" borderId="57" xfId="118" applyNumberFormat="1" applyFont="1" applyFill="1" applyBorder="1" applyAlignment="1">
      <alignment horizontal="right" wrapText="1"/>
    </xf>
    <xf numFmtId="0" fontId="64" fillId="19" borderId="1" xfId="0" applyFont="1" applyFill="1" applyBorder="1" applyAlignment="1">
      <alignment vertical="center"/>
    </xf>
    <xf numFmtId="0" fontId="0" fillId="0" borderId="0" xfId="119" applyFont="1"/>
    <xf numFmtId="0" fontId="38" fillId="0" borderId="9" xfId="119" applyFont="1" applyBorder="1" applyAlignment="1">
      <alignment horizontal="center"/>
    </xf>
    <xf numFmtId="170" fontId="0" fillId="0" borderId="9" xfId="119" applyNumberFormat="1" applyFont="1" applyBorder="1"/>
    <xf numFmtId="0" fontId="39" fillId="0" borderId="9" xfId="119" applyFont="1" applyBorder="1" applyAlignment="1">
      <alignment horizontal="center"/>
    </xf>
    <xf numFmtId="0" fontId="38" fillId="0" borderId="9" xfId="119" applyFont="1" applyBorder="1" applyAlignment="1">
      <alignment horizontal="left" vertical="top"/>
    </xf>
    <xf numFmtId="0" fontId="0" fillId="0" borderId="9" xfId="119" applyFont="1" applyBorder="1"/>
    <xf numFmtId="0" fontId="0" fillId="0" borderId="9" xfId="119" applyFont="1" applyBorder="1" applyAlignment="1">
      <alignment horizontal="center" vertical="center"/>
    </xf>
    <xf numFmtId="164" fontId="0" fillId="48" borderId="9" xfId="120" applyNumberFormat="1" applyFont="1" applyFill="1" applyBorder="1"/>
    <xf numFmtId="164" fontId="0" fillId="0" borderId="9" xfId="120" applyNumberFormat="1" applyFont="1" applyBorder="1"/>
    <xf numFmtId="164" fontId="0" fillId="10" borderId="9" xfId="120" applyNumberFormat="1" applyFont="1" applyFill="1" applyBorder="1"/>
    <xf numFmtId="0" fontId="38" fillId="47" borderId="9" xfId="119" applyFont="1" applyFill="1" applyBorder="1" applyAlignment="1">
      <alignment horizontal="center"/>
    </xf>
    <xf numFmtId="170" fontId="0" fillId="47" borderId="9" xfId="119" applyNumberFormat="1" applyFont="1" applyFill="1" applyBorder="1" applyAlignment="1">
      <alignment horizontal="center"/>
    </xf>
    <xf numFmtId="164" fontId="39" fillId="12" borderId="9" xfId="120" applyNumberFormat="1" applyFont="1" applyFill="1" applyBorder="1"/>
    <xf numFmtId="164" fontId="0" fillId="0" borderId="0" xfId="120" applyNumberFormat="1" applyFont="1"/>
    <xf numFmtId="164" fontId="39" fillId="14" borderId="9" xfId="120" applyNumberFormat="1" applyFont="1" applyFill="1" applyBorder="1"/>
    <xf numFmtId="0" fontId="38" fillId="0" borderId="9" xfId="119" applyFont="1" applyBorder="1"/>
    <xf numFmtId="0" fontId="0" fillId="0" borderId="9" xfId="119" applyFont="1" applyBorder="1" applyAlignment="1">
      <alignment horizontal="center"/>
    </xf>
    <xf numFmtId="0" fontId="66" fillId="18" borderId="9" xfId="119" applyFont="1" applyFill="1" applyBorder="1"/>
    <xf numFmtId="0" fontId="0" fillId="47" borderId="9" xfId="119" applyFont="1" applyFill="1" applyBorder="1" applyAlignment="1">
      <alignment horizontal="center" vertical="center"/>
    </xf>
    <xf numFmtId="0" fontId="39" fillId="49" borderId="0" xfId="119" applyFont="1" applyFill="1"/>
    <xf numFmtId="170" fontId="39" fillId="49" borderId="0" xfId="119" applyNumberFormat="1" applyFont="1" applyFill="1"/>
    <xf numFmtId="0" fontId="2" fillId="0" borderId="0" xfId="119"/>
    <xf numFmtId="0" fontId="68" fillId="50" borderId="64" xfId="119" applyFont="1" applyFill="1" applyBorder="1" applyAlignment="1">
      <alignment horizontal="center"/>
    </xf>
    <xf numFmtId="0" fontId="68" fillId="51" borderId="64" xfId="119" applyFont="1" applyFill="1" applyBorder="1" applyAlignment="1">
      <alignment horizontal="left" indent="1"/>
    </xf>
    <xf numFmtId="0" fontId="2" fillId="0" borderId="0" xfId="119" applyAlignment="1">
      <alignment horizontal="center"/>
    </xf>
    <xf numFmtId="170" fontId="2" fillId="0" borderId="0" xfId="119" applyNumberFormat="1"/>
    <xf numFmtId="0" fontId="39" fillId="0" borderId="0" xfId="119" applyFont="1" applyAlignment="1">
      <alignment horizontal="center"/>
    </xf>
    <xf numFmtId="170" fontId="39" fillId="0" borderId="0" xfId="119" applyNumberFormat="1" applyFont="1"/>
    <xf numFmtId="0" fontId="68" fillId="50" borderId="64" xfId="119" applyFont="1" applyFill="1" applyBorder="1"/>
    <xf numFmtId="170" fontId="39" fillId="0" borderId="9" xfId="119" applyNumberFormat="1" applyFont="1" applyBorder="1"/>
    <xf numFmtId="164" fontId="56" fillId="0" borderId="55" xfId="118" applyNumberFormat="1" applyFont="1" applyBorder="1"/>
    <xf numFmtId="164" fontId="57" fillId="0" borderId="59" xfId="118" applyNumberFormat="1" applyFont="1" applyBorder="1"/>
    <xf numFmtId="164" fontId="56" fillId="0" borderId="65" xfId="118" applyNumberFormat="1" applyFont="1" applyBorder="1"/>
    <xf numFmtId="9" fontId="8" fillId="0" borderId="16" xfId="2" applyFont="1" applyBorder="1" applyAlignment="1">
      <alignment vertical="center" wrapText="1"/>
    </xf>
    <xf numFmtId="0" fontId="2" fillId="9" borderId="0" xfId="121" applyFill="1"/>
    <xf numFmtId="0" fontId="2" fillId="9" borderId="0" xfId="121" applyFill="1" applyAlignment="1">
      <alignment horizontal="center"/>
    </xf>
    <xf numFmtId="175" fontId="2" fillId="9" borderId="0" xfId="121" applyNumberFormat="1" applyFill="1"/>
    <xf numFmtId="0" fontId="8" fillId="9" borderId="0" xfId="121" applyFont="1" applyFill="1"/>
    <xf numFmtId="0" fontId="8" fillId="9" borderId="0" xfId="121" applyFont="1" applyFill="1" applyAlignment="1">
      <alignment horizontal="right"/>
    </xf>
    <xf numFmtId="175" fontId="70" fillId="9" borderId="0" xfId="121" applyNumberFormat="1" applyFont="1" applyFill="1"/>
    <xf numFmtId="0" fontId="71" fillId="9" borderId="0" xfId="122" applyFont="1" applyFill="1"/>
    <xf numFmtId="0" fontId="2" fillId="9" borderId="66" xfId="121" applyFill="1" applyBorder="1"/>
    <xf numFmtId="0" fontId="72" fillId="9" borderId="66" xfId="121" applyFont="1" applyFill="1" applyBorder="1"/>
    <xf numFmtId="175" fontId="72" fillId="9" borderId="66" xfId="121" applyNumberFormat="1" applyFont="1" applyFill="1" applyBorder="1"/>
    <xf numFmtId="0" fontId="72" fillId="9" borderId="0" xfId="121" applyFont="1" applyFill="1"/>
    <xf numFmtId="175" fontId="72" fillId="9" borderId="0" xfId="121" applyNumberFormat="1" applyFont="1" applyFill="1"/>
    <xf numFmtId="0" fontId="0" fillId="9" borderId="0" xfId="121" applyFont="1" applyFill="1"/>
    <xf numFmtId="14" fontId="8" fillId="9" borderId="67" xfId="121" applyNumberFormat="1" applyFont="1" applyFill="1" applyBorder="1" applyAlignment="1" applyProtection="1">
      <alignment horizontal="left"/>
      <protection locked="0"/>
    </xf>
    <xf numFmtId="0" fontId="74" fillId="9" borderId="67" xfId="121" applyFont="1" applyFill="1" applyBorder="1" applyAlignment="1" applyProtection="1">
      <alignment horizontal="left"/>
      <protection locked="0"/>
    </xf>
    <xf numFmtId="175" fontId="8" fillId="9" borderId="67" xfId="121" applyNumberFormat="1" applyFont="1" applyFill="1" applyBorder="1" applyAlignment="1" applyProtection="1">
      <alignment horizontal="left"/>
      <protection locked="0"/>
    </xf>
    <xf numFmtId="175" fontId="75" fillId="9" borderId="67" xfId="121" applyNumberFormat="1" applyFont="1" applyFill="1" applyBorder="1" applyAlignment="1" applyProtection="1">
      <alignment horizontal="left"/>
      <protection locked="0"/>
    </xf>
    <xf numFmtId="0" fontId="46" fillId="46" borderId="26" xfId="121" applyFont="1" applyFill="1" applyBorder="1" applyAlignment="1">
      <alignment horizontal="center" vertical="center"/>
    </xf>
    <xf numFmtId="0" fontId="46" fillId="46" borderId="9" xfId="121" applyFont="1" applyFill="1" applyBorder="1" applyAlignment="1">
      <alignment horizontal="center" vertical="center" wrapText="1"/>
    </xf>
    <xf numFmtId="175" fontId="46" fillId="46" borderId="9" xfId="121" applyNumberFormat="1" applyFont="1" applyFill="1" applyBorder="1" applyAlignment="1">
      <alignment horizontal="center" vertical="center"/>
    </xf>
    <xf numFmtId="0" fontId="2" fillId="9" borderId="0" xfId="121" applyFill="1" applyAlignment="1">
      <alignment horizontal="center" wrapText="1"/>
    </xf>
    <xf numFmtId="0" fontId="8" fillId="9" borderId="0" xfId="121" applyFont="1" applyFill="1" applyAlignment="1">
      <alignment horizontal="left"/>
    </xf>
    <xf numFmtId="1" fontId="9" fillId="9" borderId="16" xfId="121" applyNumberFormat="1" applyFont="1" applyFill="1" applyBorder="1" applyAlignment="1">
      <alignment horizontal="center"/>
    </xf>
    <xf numFmtId="0" fontId="9" fillId="9" borderId="16" xfId="121" applyFont="1" applyFill="1" applyBorder="1" applyAlignment="1">
      <alignment horizontal="left"/>
    </xf>
    <xf numFmtId="0" fontId="9" fillId="9" borderId="15" xfId="121" applyFont="1" applyFill="1" applyBorder="1" applyAlignment="1">
      <alignment horizontal="left"/>
    </xf>
    <xf numFmtId="0" fontId="9" fillId="9" borderId="17" xfId="121" applyFont="1" applyFill="1" applyBorder="1" applyAlignment="1">
      <alignment horizontal="left"/>
    </xf>
    <xf numFmtId="178" fontId="76" fillId="9" borderId="23" xfId="123" applyNumberFormat="1" applyFont="1" applyFill="1" applyBorder="1" applyAlignment="1">
      <alignment vertical="center"/>
    </xf>
    <xf numFmtId="178" fontId="76" fillId="9" borderId="17" xfId="123" applyNumberFormat="1" applyFont="1" applyFill="1" applyBorder="1" applyAlignment="1">
      <alignment vertical="center"/>
    </xf>
    <xf numFmtId="0" fontId="2" fillId="9" borderId="0" xfId="121" applyFill="1" applyAlignment="1">
      <alignment horizontal="left" indent="1"/>
    </xf>
    <xf numFmtId="0" fontId="79" fillId="9" borderId="0" xfId="121" applyFont="1" applyFill="1" applyAlignment="1">
      <alignment horizontal="right"/>
    </xf>
    <xf numFmtId="178" fontId="76" fillId="9" borderId="23" xfId="123" applyNumberFormat="1" applyFont="1" applyFill="1" applyBorder="1"/>
    <xf numFmtId="0" fontId="79" fillId="9" borderId="41" xfId="121" applyFont="1" applyFill="1" applyBorder="1" applyAlignment="1">
      <alignment horizontal="right"/>
    </xf>
    <xf numFmtId="178" fontId="76" fillId="9" borderId="9" xfId="123" applyNumberFormat="1" applyFont="1" applyFill="1" applyBorder="1"/>
    <xf numFmtId="183" fontId="2" fillId="9" borderId="0" xfId="121" applyNumberFormat="1" applyFill="1"/>
    <xf numFmtId="178" fontId="8" fillId="9" borderId="9" xfId="123" applyNumberFormat="1" applyFont="1" applyFill="1" applyBorder="1"/>
    <xf numFmtId="0" fontId="8" fillId="9" borderId="15" xfId="121" applyFont="1" applyFill="1" applyBorder="1"/>
    <xf numFmtId="0" fontId="2" fillId="9" borderId="15" xfId="121" applyFill="1" applyBorder="1"/>
    <xf numFmtId="49" fontId="7" fillId="9" borderId="69" xfId="0" applyNumberFormat="1" applyFont="1" applyFill="1" applyBorder="1" applyAlignment="1">
      <alignment vertical="center" wrapText="1"/>
    </xf>
    <xf numFmtId="164" fontId="0" fillId="0" borderId="69" xfId="0" applyNumberFormat="1" applyBorder="1" applyAlignment="1">
      <alignment vertical="center"/>
    </xf>
    <xf numFmtId="178" fontId="78" fillId="9" borderId="9" xfId="123" applyNumberFormat="1" applyFont="1" applyFill="1" applyBorder="1" applyAlignment="1">
      <alignment vertical="center"/>
    </xf>
    <xf numFmtId="1" fontId="77" fillId="9" borderId="9" xfId="121" applyNumberFormat="1" applyFont="1" applyFill="1" applyBorder="1" applyAlignment="1">
      <alignment horizontal="center" vertical="center"/>
    </xf>
    <xf numFmtId="164" fontId="0" fillId="34" borderId="9" xfId="120" applyNumberFormat="1" applyFont="1" applyFill="1" applyBorder="1"/>
    <xf numFmtId="49" fontId="0" fillId="30" borderId="69" xfId="0" applyNumberFormat="1" applyFill="1" applyBorder="1" applyAlignment="1">
      <alignment vertical="center" wrapText="1"/>
    </xf>
    <xf numFmtId="0" fontId="0" fillId="0" borderId="69" xfId="0" applyBorder="1" applyAlignment="1">
      <alignment horizontal="center" vertical="center" wrapText="1"/>
    </xf>
    <xf numFmtId="49" fontId="7" fillId="30" borderId="69" xfId="0" applyNumberFormat="1" applyFont="1" applyFill="1" applyBorder="1" applyAlignment="1">
      <alignment vertical="center" wrapText="1"/>
    </xf>
    <xf numFmtId="0" fontId="0" fillId="0" borderId="70" xfId="0" applyBorder="1" applyAlignment="1">
      <alignment horizontal="center"/>
    </xf>
    <xf numFmtId="49" fontId="7" fillId="21" borderId="71" xfId="0" applyNumberFormat="1" applyFont="1" applyFill="1" applyBorder="1" applyAlignment="1">
      <alignment vertical="center" wrapText="1"/>
    </xf>
    <xf numFmtId="49" fontId="7" fillId="21" borderId="72" xfId="0" applyNumberFormat="1" applyFont="1" applyFill="1" applyBorder="1" applyAlignment="1">
      <alignment vertical="center" wrapText="1"/>
    </xf>
    <xf numFmtId="49" fontId="7" fillId="30" borderId="72" xfId="0" applyNumberFormat="1" applyFont="1" applyFill="1" applyBorder="1" applyAlignment="1">
      <alignment vertical="center" wrapText="1"/>
    </xf>
    <xf numFmtId="49" fontId="7" fillId="7" borderId="72" xfId="0" applyNumberFormat="1" applyFont="1" applyFill="1" applyBorder="1" applyAlignment="1">
      <alignment vertical="center" wrapText="1"/>
    </xf>
    <xf numFmtId="49" fontId="7" fillId="32" borderId="72" xfId="0" applyNumberFormat="1" applyFont="1" applyFill="1" applyBorder="1" applyAlignment="1">
      <alignment vertical="center" wrapText="1"/>
    </xf>
    <xf numFmtId="49" fontId="7" fillId="30" borderId="73" xfId="0" applyNumberFormat="1" applyFont="1" applyFill="1" applyBorder="1" applyAlignment="1">
      <alignment vertical="center" wrapText="1"/>
    </xf>
    <xf numFmtId="0" fontId="7" fillId="0" borderId="74" xfId="0" applyFont="1" applyBorder="1" applyAlignment="1">
      <alignment horizontal="center" vertical="center"/>
    </xf>
    <xf numFmtId="164" fontId="0" fillId="8" borderId="75" xfId="0" applyNumberFormat="1" applyFill="1" applyBorder="1" applyAlignment="1">
      <alignment vertical="center"/>
    </xf>
    <xf numFmtId="9" fontId="0" fillId="8" borderId="75" xfId="2" applyFont="1" applyFill="1" applyBorder="1" applyAlignment="1">
      <alignment horizontal="center" vertical="center"/>
    </xf>
    <xf numFmtId="9" fontId="8" fillId="8" borderId="75" xfId="2" applyFont="1" applyFill="1" applyBorder="1" applyAlignment="1">
      <alignment horizontal="center" vertical="center"/>
    </xf>
    <xf numFmtId="164" fontId="0" fillId="8" borderId="75" xfId="1" applyFont="1" applyFill="1" applyBorder="1" applyAlignment="1">
      <alignment vertical="center"/>
    </xf>
    <xf numFmtId="164" fontId="0" fillId="8" borderId="76" xfId="1" applyFont="1" applyFill="1" applyBorder="1" applyAlignment="1">
      <alignment vertical="center"/>
    </xf>
    <xf numFmtId="0" fontId="7" fillId="19" borderId="74" xfId="0" applyFont="1" applyFill="1" applyBorder="1" applyAlignment="1">
      <alignment horizontal="center" vertical="center"/>
    </xf>
    <xf numFmtId="0" fontId="7" fillId="0" borderId="77" xfId="0" applyFont="1" applyBorder="1" applyAlignment="1">
      <alignment horizontal="center" vertical="center"/>
    </xf>
    <xf numFmtId="164" fontId="0" fillId="8" borderId="77" xfId="0" applyNumberFormat="1" applyFill="1" applyBorder="1" applyAlignment="1">
      <alignment vertical="center"/>
    </xf>
    <xf numFmtId="1" fontId="7" fillId="9" borderId="79" xfId="0" applyNumberFormat="1" applyFont="1" applyFill="1" applyBorder="1" applyAlignment="1">
      <alignment horizontal="center" vertical="center"/>
    </xf>
    <xf numFmtId="164" fontId="0" fillId="0" borderId="79" xfId="1" applyFont="1" applyBorder="1" applyAlignment="1">
      <alignment vertical="center"/>
    </xf>
    <xf numFmtId="164" fontId="0" fillId="0" borderId="79" xfId="0" applyNumberFormat="1" applyBorder="1" applyAlignment="1">
      <alignment vertical="center"/>
    </xf>
    <xf numFmtId="164" fontId="0" fillId="6" borderId="79" xfId="1" applyFont="1" applyFill="1" applyBorder="1" applyAlignment="1">
      <alignment vertical="center"/>
    </xf>
    <xf numFmtId="49" fontId="7" fillId="9" borderId="79" xfId="0" applyNumberFormat="1" applyFont="1" applyFill="1" applyBorder="1" applyAlignment="1">
      <alignment vertical="center" wrapText="1"/>
    </xf>
    <xf numFmtId="0" fontId="0" fillId="9" borderId="79" xfId="0" applyFill="1" applyBorder="1"/>
    <xf numFmtId="169" fontId="0" fillId="9" borderId="79" xfId="1" applyNumberFormat="1" applyFont="1" applyFill="1" applyBorder="1"/>
    <xf numFmtId="49" fontId="7" fillId="0" borderId="79" xfId="0" applyNumberFormat="1" applyFont="1" applyBorder="1" applyAlignment="1">
      <alignment horizontal="left" vertical="center" wrapText="1"/>
    </xf>
    <xf numFmtId="1" fontId="7" fillId="9" borderId="79" xfId="0" applyNumberFormat="1" applyFont="1" applyFill="1" applyBorder="1" applyAlignment="1">
      <alignment horizontal="right" vertical="center"/>
    </xf>
    <xf numFmtId="164" fontId="0" fillId="0" borderId="79" xfId="0" applyNumberFormat="1" applyBorder="1"/>
    <xf numFmtId="49" fontId="7" fillId="0" borderId="79" xfId="0" applyNumberFormat="1" applyFont="1" applyBorder="1" applyAlignment="1">
      <alignment horizontal="left" wrapText="1"/>
    </xf>
    <xf numFmtId="164" fontId="0" fillId="0" borderId="79" xfId="1" applyFont="1" applyBorder="1"/>
    <xf numFmtId="0" fontId="7" fillId="0" borderId="79" xfId="0" applyFont="1" applyBorder="1" applyAlignment="1">
      <alignment horizontal="left" wrapText="1"/>
    </xf>
    <xf numFmtId="49" fontId="7" fillId="9" borderId="79" xfId="0" applyNumberFormat="1" applyFont="1" applyFill="1" applyBorder="1" applyAlignment="1">
      <alignment horizontal="left" vertical="center" wrapText="1"/>
    </xf>
    <xf numFmtId="0" fontId="7" fillId="0" borderId="79" xfId="0" applyFont="1" applyBorder="1" applyAlignment="1">
      <alignment horizontal="left" vertical="center" wrapText="1"/>
    </xf>
    <xf numFmtId="2" fontId="44" fillId="35" borderId="79" xfId="0" applyNumberFormat="1" applyFont="1" applyFill="1" applyBorder="1"/>
    <xf numFmtId="164" fontId="0" fillId="6" borderId="79" xfId="1" applyFont="1" applyFill="1" applyBorder="1"/>
    <xf numFmtId="0" fontId="0" fillId="0" borderId="79" xfId="0" applyBorder="1" applyAlignment="1">
      <alignment horizontal="center" vertical="center"/>
    </xf>
    <xf numFmtId="164" fontId="0" fillId="9" borderId="79" xfId="1" applyFont="1" applyFill="1" applyBorder="1" applyAlignment="1">
      <alignment horizontal="center" vertical="center"/>
    </xf>
    <xf numFmtId="164" fontId="0" fillId="0" borderId="79" xfId="0" applyNumberFormat="1" applyBorder="1" applyAlignment="1">
      <alignment horizontal="center" vertical="center"/>
    </xf>
    <xf numFmtId="164" fontId="0" fillId="0" borderId="79" xfId="1" applyFont="1" applyFill="1" applyBorder="1" applyAlignment="1">
      <alignment vertical="center"/>
    </xf>
    <xf numFmtId="0" fontId="7" fillId="9" borderId="79" xfId="0" applyFont="1" applyFill="1" applyBorder="1" applyAlignment="1">
      <alignment horizontal="center" vertical="center"/>
    </xf>
    <xf numFmtId="164" fontId="0" fillId="9" borderId="79" xfId="1" applyFont="1" applyFill="1" applyBorder="1"/>
    <xf numFmtId="0" fontId="0" fillId="0" borderId="79" xfId="0" applyBorder="1" applyAlignment="1">
      <alignment horizontal="center"/>
    </xf>
    <xf numFmtId="49" fontId="43" fillId="9" borderId="79" xfId="0" applyNumberFormat="1" applyFont="1" applyFill="1" applyBorder="1" applyAlignment="1">
      <alignment vertical="center" wrapText="1"/>
    </xf>
    <xf numFmtId="49" fontId="7" fillId="30" borderId="79" xfId="0" applyNumberFormat="1" applyFont="1" applyFill="1" applyBorder="1"/>
    <xf numFmtId="49" fontId="0" fillId="9" borderId="79" xfId="0" applyNumberFormat="1" applyFill="1" applyBorder="1"/>
    <xf numFmtId="49" fontId="0" fillId="0" borderId="79" xfId="0" applyNumberFormat="1" applyBorder="1"/>
    <xf numFmtId="0" fontId="7" fillId="0" borderId="79" xfId="0" applyFont="1" applyBorder="1" applyAlignment="1">
      <alignment horizontal="center" vertical="center"/>
    </xf>
    <xf numFmtId="164" fontId="0" fillId="0" borderId="79" xfId="1" applyFont="1" applyFill="1" applyBorder="1"/>
    <xf numFmtId="0" fontId="7" fillId="30" borderId="79" xfId="0" applyFont="1" applyFill="1" applyBorder="1"/>
    <xf numFmtId="0" fontId="7" fillId="0" borderId="79" xfId="0" applyFont="1" applyBorder="1"/>
    <xf numFmtId="0" fontId="0" fillId="12" borderId="79" xfId="0" applyFill="1" applyBorder="1" applyAlignment="1">
      <alignment horizontal="center" vertical="center"/>
    </xf>
    <xf numFmtId="164" fontId="0" fillId="9" borderId="79" xfId="1" applyFont="1" applyFill="1" applyBorder="1" applyAlignment="1">
      <alignment vertical="center"/>
    </xf>
    <xf numFmtId="49" fontId="7" fillId="9" borderId="79" xfId="0" applyNumberFormat="1" applyFont="1" applyFill="1" applyBorder="1" applyAlignment="1">
      <alignment horizontal="left" vertical="center"/>
    </xf>
    <xf numFmtId="49" fontId="7" fillId="9" borderId="79" xfId="0" applyNumberFormat="1" applyFont="1" applyFill="1" applyBorder="1"/>
    <xf numFmtId="49" fontId="7" fillId="30" borderId="79" xfId="0" applyNumberFormat="1" applyFont="1" applyFill="1" applyBorder="1" applyAlignment="1">
      <alignment wrapText="1"/>
    </xf>
    <xf numFmtId="49" fontId="7" fillId="0" borderId="79" xfId="0" applyNumberFormat="1" applyFont="1" applyBorder="1"/>
    <xf numFmtId="0" fontId="7" fillId="30" borderId="79" xfId="0" applyFont="1" applyFill="1" applyBorder="1" applyAlignment="1">
      <alignment wrapText="1"/>
    </xf>
    <xf numFmtId="49" fontId="7" fillId="9" borderId="79" xfId="0" applyNumberFormat="1" applyFont="1" applyFill="1" applyBorder="1" applyAlignment="1">
      <alignment wrapText="1"/>
    </xf>
    <xf numFmtId="49" fontId="7" fillId="0" borderId="79" xfId="0" applyNumberFormat="1" applyFont="1" applyBorder="1" applyAlignment="1">
      <alignment vertical="center" wrapText="1"/>
    </xf>
    <xf numFmtId="49" fontId="7" fillId="0" borderId="79" xfId="0" applyNumberFormat="1" applyFont="1" applyBorder="1" applyAlignment="1">
      <alignment horizontal="center" vertical="center" wrapText="1"/>
    </xf>
    <xf numFmtId="1" fontId="7" fillId="0" borderId="79" xfId="0" applyNumberFormat="1" applyFont="1" applyBorder="1" applyAlignment="1">
      <alignment horizontal="center" vertical="center"/>
    </xf>
    <xf numFmtId="0" fontId="7" fillId="0" borderId="0" xfId="0" applyFont="1" applyAlignment="1">
      <alignment wrapText="1"/>
    </xf>
    <xf numFmtId="169" fontId="4" fillId="19" borderId="18" xfId="72" applyFill="1" applyBorder="1"/>
    <xf numFmtId="0" fontId="7" fillId="9" borderId="0" xfId="121" applyFont="1" applyFill="1"/>
    <xf numFmtId="0" fontId="9" fillId="52" borderId="9" xfId="121" applyFont="1" applyFill="1" applyBorder="1" applyAlignment="1">
      <alignment horizontal="center" vertical="center"/>
    </xf>
    <xf numFmtId="166" fontId="76" fillId="52" borderId="68" xfId="123" applyFont="1" applyFill="1" applyBorder="1" applyAlignment="1">
      <alignment vertical="center"/>
    </xf>
    <xf numFmtId="178" fontId="76" fillId="52" borderId="68" xfId="123" applyNumberFormat="1" applyFont="1" applyFill="1" applyBorder="1" applyAlignment="1">
      <alignment vertical="center"/>
    </xf>
    <xf numFmtId="164" fontId="2" fillId="36" borderId="0" xfId="1" applyFont="1" applyFill="1"/>
    <xf numFmtId="49" fontId="8" fillId="9" borderId="67" xfId="121" applyNumberFormat="1" applyFont="1" applyFill="1" applyBorder="1" applyProtection="1">
      <protection locked="0"/>
    </xf>
    <xf numFmtId="49" fontId="8" fillId="9" borderId="78" xfId="121" applyNumberFormat="1" applyFont="1" applyFill="1" applyBorder="1" applyProtection="1">
      <protection locked="0"/>
    </xf>
    <xf numFmtId="0" fontId="1" fillId="9" borderId="0" xfId="121" applyFont="1" applyFill="1"/>
    <xf numFmtId="175" fontId="80" fillId="9" borderId="0" xfId="121" applyNumberFormat="1" applyFont="1" applyFill="1" applyAlignment="1">
      <alignment horizontal="right"/>
    </xf>
    <xf numFmtId="0" fontId="12" fillId="31" borderId="16" xfId="0" applyFont="1" applyFill="1" applyBorder="1" applyAlignment="1">
      <alignment horizontal="center" vertical="center"/>
    </xf>
    <xf numFmtId="0" fontId="12" fillId="31" borderId="15" xfId="0" applyFont="1" applyFill="1" applyBorder="1" applyAlignment="1">
      <alignment horizontal="center" vertical="center"/>
    </xf>
    <xf numFmtId="0" fontId="11" fillId="20" borderId="19" xfId="0" applyFont="1" applyFill="1" applyBorder="1" applyAlignment="1">
      <alignment horizontal="center" vertical="center"/>
    </xf>
    <xf numFmtId="0" fontId="11" fillId="20" borderId="15" xfId="0" applyFont="1" applyFill="1" applyBorder="1" applyAlignment="1">
      <alignment horizontal="center" vertical="center"/>
    </xf>
    <xf numFmtId="0" fontId="37" fillId="5" borderId="9" xfId="0" applyFont="1" applyFill="1" applyBorder="1" applyAlignment="1">
      <alignment horizontal="center" vertical="center"/>
    </xf>
    <xf numFmtId="0" fontId="37" fillId="19" borderId="16" xfId="0" applyFont="1" applyFill="1" applyBorder="1" applyAlignment="1">
      <alignment horizontal="center" vertical="center"/>
    </xf>
    <xf numFmtId="0" fontId="37" fillId="19" borderId="17" xfId="0" applyFont="1" applyFill="1" applyBorder="1" applyAlignment="1">
      <alignment horizontal="center" vertical="center"/>
    </xf>
    <xf numFmtId="0" fontId="12" fillId="18" borderId="2" xfId="0" applyFont="1" applyFill="1" applyBorder="1" applyAlignment="1">
      <alignment horizontal="center" vertical="center"/>
    </xf>
    <xf numFmtId="0" fontId="12" fillId="18" borderId="3" xfId="0" applyFont="1" applyFill="1" applyBorder="1" applyAlignment="1">
      <alignment horizontal="center" vertical="center"/>
    </xf>
    <xf numFmtId="0" fontId="12" fillId="18" borderId="4" xfId="0" applyFont="1" applyFill="1" applyBorder="1" applyAlignment="1">
      <alignment horizontal="center" vertical="center"/>
    </xf>
    <xf numFmtId="0" fontId="12" fillId="20" borderId="0" xfId="0" applyFont="1" applyFill="1" applyAlignment="1">
      <alignment horizontal="center" vertical="center"/>
    </xf>
    <xf numFmtId="0" fontId="7" fillId="19" borderId="29" xfId="0" applyFont="1" applyFill="1" applyBorder="1" applyAlignment="1">
      <alignment horizontal="center" vertical="center"/>
    </xf>
    <xf numFmtId="0" fontId="7" fillId="19" borderId="44" xfId="0" applyFont="1" applyFill="1" applyBorder="1" applyAlignment="1">
      <alignment horizontal="center" vertical="center"/>
    </xf>
    <xf numFmtId="0" fontId="7" fillId="19" borderId="28" xfId="0" applyFont="1" applyFill="1" applyBorder="1" applyAlignment="1">
      <alignment horizontal="center" vertical="center"/>
    </xf>
    <xf numFmtId="0" fontId="12" fillId="20" borderId="2" xfId="0" applyFont="1" applyFill="1" applyBorder="1" applyAlignment="1">
      <alignment horizontal="center" vertical="center"/>
    </xf>
    <xf numFmtId="0" fontId="12" fillId="20" borderId="3" xfId="0" applyFont="1" applyFill="1" applyBorder="1" applyAlignment="1">
      <alignment horizontal="center" vertical="center"/>
    </xf>
    <xf numFmtId="0" fontId="12" fillId="20" borderId="4" xfId="0" applyFont="1" applyFill="1" applyBorder="1" applyAlignment="1">
      <alignment horizontal="center" vertical="center"/>
    </xf>
    <xf numFmtId="0" fontId="12" fillId="20" borderId="15" xfId="0" applyFont="1" applyFill="1" applyBorder="1" applyAlignment="1">
      <alignment horizontal="center" vertical="center"/>
    </xf>
    <xf numFmtId="0" fontId="8" fillId="4" borderId="43" xfId="0" applyFont="1" applyFill="1" applyBorder="1" applyAlignment="1">
      <alignment horizontal="center" vertical="center" textRotation="90"/>
    </xf>
    <xf numFmtId="0" fontId="8" fillId="4" borderId="0" xfId="0" applyFont="1" applyFill="1" applyAlignment="1">
      <alignment horizontal="center" vertical="center" textRotation="90"/>
    </xf>
    <xf numFmtId="0" fontId="8" fillId="4" borderId="39" xfId="0" applyFont="1" applyFill="1" applyBorder="1" applyAlignment="1">
      <alignment horizontal="center" vertical="center" textRotation="90"/>
    </xf>
    <xf numFmtId="169" fontId="59" fillId="0" borderId="10" xfId="118" applyFont="1" applyBorder="1" applyAlignment="1">
      <alignment horizontal="center" vertical="center" wrapText="1"/>
    </xf>
    <xf numFmtId="169" fontId="59" fillId="0" borderId="11" xfId="118" applyFont="1" applyBorder="1" applyAlignment="1">
      <alignment horizontal="center" vertical="center" wrapText="1"/>
    </xf>
    <xf numFmtId="169" fontId="59" fillId="0" borderId="12" xfId="118" applyFont="1" applyBorder="1" applyAlignment="1">
      <alignment horizontal="center" vertical="center" wrapText="1"/>
    </xf>
    <xf numFmtId="182" fontId="54" fillId="45" borderId="53" xfId="118" applyNumberFormat="1" applyFont="1" applyFill="1" applyBorder="1" applyAlignment="1">
      <alignment horizontal="center"/>
    </xf>
    <xf numFmtId="169" fontId="55" fillId="46" borderId="54" xfId="118" applyFont="1" applyFill="1" applyBorder="1"/>
    <xf numFmtId="182" fontId="57" fillId="29" borderId="10" xfId="118" applyNumberFormat="1" applyFont="1" applyFill="1" applyBorder="1" applyAlignment="1">
      <alignment horizontal="center" vertical="center"/>
    </xf>
    <xf numFmtId="182" fontId="57" fillId="29" borderId="11" xfId="118" applyNumberFormat="1" applyFont="1" applyFill="1" applyBorder="1" applyAlignment="1">
      <alignment horizontal="center" vertical="center"/>
    </xf>
    <xf numFmtId="182" fontId="57" fillId="29" borderId="12" xfId="118" applyNumberFormat="1" applyFont="1" applyFill="1" applyBorder="1" applyAlignment="1">
      <alignment horizontal="center" vertical="center"/>
    </xf>
    <xf numFmtId="164" fontId="9" fillId="0" borderId="9" xfId="118" applyNumberFormat="1" applyFont="1" applyBorder="1" applyAlignment="1">
      <alignment horizontal="center" vertical="center"/>
    </xf>
    <xf numFmtId="169" fontId="2" fillId="0" borderId="27" xfId="118" applyFont="1" applyBorder="1" applyAlignment="1">
      <alignment horizontal="center" vertical="center" wrapText="1"/>
    </xf>
    <xf numFmtId="49" fontId="9" fillId="0" borderId="9" xfId="118" applyNumberFormat="1" applyFont="1" applyBorder="1" applyAlignment="1">
      <alignment horizontal="center" vertical="center" wrapText="1"/>
    </xf>
    <xf numFmtId="164" fontId="9" fillId="0" borderId="9" xfId="118" applyNumberFormat="1" applyFont="1" applyBorder="1" applyAlignment="1">
      <alignment horizontal="center" vertical="center" wrapText="1"/>
    </xf>
    <xf numFmtId="49" fontId="58" fillId="0" borderId="9" xfId="118" applyNumberFormat="1" applyFont="1" applyBorder="1" applyAlignment="1">
      <alignment horizontal="left" vertical="center" wrapText="1"/>
    </xf>
    <xf numFmtId="49" fontId="78" fillId="9" borderId="10" xfId="123" applyNumberFormat="1" applyFont="1" applyFill="1" applyBorder="1" applyAlignment="1">
      <alignment horizontal="center" vertical="center" wrapText="1"/>
    </xf>
    <xf numFmtId="49" fontId="78" fillId="9" borderId="11" xfId="123" applyNumberFormat="1" applyFont="1" applyFill="1" applyBorder="1" applyAlignment="1">
      <alignment horizontal="center" vertical="center" wrapText="1"/>
    </xf>
    <xf numFmtId="49" fontId="78" fillId="9" borderId="12" xfId="123" applyNumberFormat="1" applyFont="1" applyFill="1" applyBorder="1" applyAlignment="1">
      <alignment horizontal="center" vertical="center" wrapText="1"/>
    </xf>
    <xf numFmtId="0" fontId="8" fillId="9" borderId="0" xfId="121" applyFont="1" applyFill="1" applyAlignment="1">
      <alignment horizontal="left"/>
    </xf>
    <xf numFmtId="0" fontId="8" fillId="9" borderId="0" xfId="121" applyFont="1" applyFill="1" applyAlignment="1">
      <alignment horizontal="left" wrapText="1"/>
    </xf>
    <xf numFmtId="0" fontId="8" fillId="0" borderId="10" xfId="121" applyFont="1" applyBorder="1" applyAlignment="1">
      <alignment horizontal="center"/>
    </xf>
    <xf numFmtId="0" fontId="8" fillId="0" borderId="11" xfId="121" applyFont="1" applyBorder="1" applyAlignment="1">
      <alignment horizontal="center"/>
    </xf>
    <xf numFmtId="0" fontId="8" fillId="0" borderId="12" xfId="121" applyFont="1" applyBorder="1" applyAlignment="1">
      <alignment horizontal="center"/>
    </xf>
    <xf numFmtId="49" fontId="8" fillId="9" borderId="78" xfId="121" applyNumberFormat="1" applyFont="1" applyFill="1" applyBorder="1" applyProtection="1">
      <protection locked="0"/>
    </xf>
    <xf numFmtId="0" fontId="2" fillId="9" borderId="0" xfId="121" applyFill="1"/>
    <xf numFmtId="0" fontId="2" fillId="9" borderId="0" xfId="121" applyFill="1" applyAlignment="1">
      <alignment horizontal="left" vertical="top" wrapText="1"/>
    </xf>
    <xf numFmtId="49" fontId="73" fillId="9" borderId="67" xfId="122" applyNumberFormat="1" applyFont="1" applyFill="1" applyBorder="1" applyAlignment="1" applyProtection="1">
      <protection locked="0"/>
    </xf>
    <xf numFmtId="49" fontId="7" fillId="9" borderId="78" xfId="121" applyNumberFormat="1" applyFont="1" applyFill="1" applyBorder="1" applyProtection="1">
      <protection locked="0"/>
    </xf>
    <xf numFmtId="49" fontId="0" fillId="9" borderId="78" xfId="121" applyNumberFormat="1" applyFont="1" applyFill="1" applyBorder="1" applyProtection="1">
      <protection locked="0"/>
    </xf>
    <xf numFmtId="0" fontId="46" fillId="46" borderId="10" xfId="121" applyFont="1" applyFill="1" applyBorder="1" applyAlignment="1">
      <alignment horizontal="center" vertical="center"/>
    </xf>
    <xf numFmtId="0" fontId="46" fillId="46" borderId="11" xfId="121" applyFont="1" applyFill="1" applyBorder="1" applyAlignment="1">
      <alignment horizontal="center" vertical="center"/>
    </xf>
    <xf numFmtId="0" fontId="46" fillId="46" borderId="12" xfId="121" applyFont="1" applyFill="1" applyBorder="1" applyAlignment="1">
      <alignment horizontal="center" vertical="center"/>
    </xf>
    <xf numFmtId="0" fontId="10" fillId="52" borderId="10" xfId="121" applyFont="1" applyFill="1" applyBorder="1" applyAlignment="1">
      <alignment horizontal="center" vertical="center"/>
    </xf>
    <xf numFmtId="0" fontId="10" fillId="52" borderId="11" xfId="121" applyFont="1" applyFill="1" applyBorder="1" applyAlignment="1">
      <alignment horizontal="center" vertical="center"/>
    </xf>
    <xf numFmtId="0" fontId="10" fillId="52" borderId="12" xfId="121" applyFont="1" applyFill="1" applyBorder="1" applyAlignment="1">
      <alignment horizontal="center" vertical="center"/>
    </xf>
    <xf numFmtId="0" fontId="46" fillId="20" borderId="0" xfId="0" applyFont="1" applyFill="1" applyAlignment="1">
      <alignment horizontal="right" vertical="center"/>
    </xf>
    <xf numFmtId="49" fontId="64" fillId="19" borderId="1" xfId="0" applyNumberFormat="1" applyFont="1" applyFill="1" applyBorder="1" applyAlignment="1">
      <alignment horizontal="center" vertical="center" wrapText="1"/>
    </xf>
    <xf numFmtId="0" fontId="64" fillId="19" borderId="1" xfId="0" applyFont="1" applyFill="1" applyBorder="1" applyAlignment="1">
      <alignment horizontal="center" vertical="center" wrapText="1"/>
    </xf>
    <xf numFmtId="0" fontId="8" fillId="2" borderId="79" xfId="0" applyFont="1" applyFill="1" applyBorder="1" applyAlignment="1">
      <alignment horizontal="center" vertical="center"/>
    </xf>
    <xf numFmtId="0" fontId="39" fillId="47" borderId="26" xfId="119" applyFont="1" applyFill="1" applyBorder="1" applyAlignment="1">
      <alignment horizontal="center" vertical="center"/>
    </xf>
    <xf numFmtId="0" fontId="39" fillId="47" borderId="23" xfId="119" applyFont="1" applyFill="1" applyBorder="1" applyAlignment="1">
      <alignment horizontal="center" vertical="center"/>
    </xf>
    <xf numFmtId="0" fontId="65" fillId="48" borderId="10" xfId="119" applyFont="1" applyFill="1" applyBorder="1" applyAlignment="1">
      <alignment horizontal="center" vertical="center"/>
    </xf>
    <xf numFmtId="0" fontId="65" fillId="48" borderId="11" xfId="119" applyFont="1" applyFill="1" applyBorder="1" applyAlignment="1">
      <alignment horizontal="center" vertical="center"/>
    </xf>
    <xf numFmtId="0" fontId="65" fillId="48" borderId="12" xfId="119" applyFont="1" applyFill="1" applyBorder="1" applyAlignment="1">
      <alignment horizontal="center" vertical="center"/>
    </xf>
    <xf numFmtId="0" fontId="65" fillId="10" borderId="16" xfId="119" applyFont="1" applyFill="1" applyBorder="1" applyAlignment="1">
      <alignment horizontal="center" vertical="center"/>
    </xf>
    <xf numFmtId="0" fontId="65" fillId="10" borderId="15" xfId="119" applyFont="1" applyFill="1" applyBorder="1" applyAlignment="1">
      <alignment horizontal="center" vertical="center"/>
    </xf>
    <xf numFmtId="0" fontId="65" fillId="10" borderId="17" xfId="119" applyFont="1" applyFill="1" applyBorder="1" applyAlignment="1">
      <alignment horizontal="center" vertical="center"/>
    </xf>
    <xf numFmtId="0" fontId="48" fillId="31" borderId="5" xfId="119" applyFont="1" applyFill="1" applyBorder="1" applyAlignment="1">
      <alignment horizontal="center" vertical="center"/>
    </xf>
    <xf numFmtId="0" fontId="48" fillId="31" borderId="0" xfId="119" applyFont="1" applyFill="1" applyAlignment="1">
      <alignment horizontal="center" vertical="center"/>
    </xf>
    <xf numFmtId="0" fontId="39" fillId="0" borderId="10" xfId="119" applyFont="1" applyBorder="1" applyAlignment="1">
      <alignment horizontal="center"/>
    </xf>
    <xf numFmtId="0" fontId="39" fillId="0" borderId="12" xfId="119" applyFont="1" applyBorder="1" applyAlignment="1">
      <alignment horizontal="center"/>
    </xf>
    <xf numFmtId="0" fontId="39" fillId="47" borderId="9" xfId="119" applyFont="1" applyFill="1" applyBorder="1" applyAlignment="1">
      <alignment horizontal="center" vertical="center"/>
    </xf>
    <xf numFmtId="0" fontId="65" fillId="48" borderId="9" xfId="119" applyFont="1" applyFill="1" applyBorder="1" applyAlignment="1">
      <alignment horizontal="center" vertical="center"/>
    </xf>
    <xf numFmtId="0" fontId="65" fillId="10" borderId="9" xfId="119" applyFont="1" applyFill="1" applyBorder="1" applyAlignment="1">
      <alignment horizontal="center" vertical="center"/>
    </xf>
    <xf numFmtId="0" fontId="48" fillId="31" borderId="19" xfId="119" applyFont="1" applyFill="1" applyBorder="1" applyAlignment="1">
      <alignment horizontal="center" vertical="center"/>
    </xf>
    <xf numFmtId="0" fontId="48" fillId="31" borderId="15" xfId="119" applyFont="1" applyFill="1" applyBorder="1" applyAlignment="1">
      <alignment horizontal="center" vertical="center"/>
    </xf>
    <xf numFmtId="0" fontId="39" fillId="0" borderId="9" xfId="119" applyFont="1" applyBorder="1" applyAlignment="1">
      <alignment horizontal="center"/>
    </xf>
    <xf numFmtId="0" fontId="48" fillId="31" borderId="41" xfId="119" applyFont="1" applyFill="1" applyBorder="1" applyAlignment="1">
      <alignment horizontal="center" vertical="center"/>
    </xf>
    <xf numFmtId="0" fontId="67" fillId="0" borderId="63" xfId="119" applyFont="1" applyBorder="1" applyAlignment="1">
      <alignment horizontal="center"/>
    </xf>
    <xf numFmtId="169" fontId="5" fillId="19" borderId="0" xfId="71" applyFill="1" applyAlignment="1">
      <alignment horizontal="center" textRotation="255"/>
    </xf>
    <xf numFmtId="169" fontId="51" fillId="43" borderId="0" xfId="71" applyFont="1" applyFill="1" applyAlignment="1">
      <alignment horizontal="center"/>
    </xf>
    <xf numFmtId="169" fontId="51" fillId="19" borderId="0" xfId="71" applyFont="1" applyFill="1" applyAlignment="1">
      <alignment horizontal="center" vertical="center"/>
    </xf>
    <xf numFmtId="0" fontId="9" fillId="3" borderId="0" xfId="0" applyFont="1" applyFill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14" fillId="17" borderId="6" xfId="68" applyFont="1" applyFill="1" applyBorder="1" applyAlignment="1">
      <alignment horizontal="center" vertical="center" wrapText="1"/>
    </xf>
    <xf numFmtId="0" fontId="14" fillId="17" borderId="7" xfId="68" applyFont="1" applyFill="1" applyBorder="1" applyAlignment="1">
      <alignment horizontal="center" vertical="center" wrapText="1"/>
    </xf>
    <xf numFmtId="0" fontId="14" fillId="17" borderId="8" xfId="68" applyFont="1" applyFill="1" applyBorder="1" applyAlignment="1">
      <alignment horizontal="center" vertical="center" wrapText="1"/>
    </xf>
    <xf numFmtId="0" fontId="15" fillId="18" borderId="10" xfId="68" applyFont="1" applyFill="1" applyBorder="1" applyAlignment="1">
      <alignment horizontal="center" vertical="center"/>
    </xf>
    <xf numFmtId="0" fontId="15" fillId="18" borderId="11" xfId="68" applyFont="1" applyFill="1" applyBorder="1" applyAlignment="1">
      <alignment horizontal="center" vertical="center"/>
    </xf>
    <xf numFmtId="0" fontId="15" fillId="18" borderId="12" xfId="68" applyFont="1" applyFill="1" applyBorder="1" applyAlignment="1">
      <alignment horizontal="center" vertical="center"/>
    </xf>
    <xf numFmtId="0" fontId="16" fillId="15" borderId="10" xfId="4" applyFont="1" applyFill="1" applyBorder="1" applyAlignment="1">
      <alignment horizontal="center" vertical="center"/>
    </xf>
    <xf numFmtId="0" fontId="16" fillId="15" borderId="11" xfId="4" applyFont="1" applyFill="1" applyBorder="1" applyAlignment="1">
      <alignment horizontal="center" vertical="center"/>
    </xf>
    <xf numFmtId="0" fontId="16" fillId="15" borderId="12" xfId="4" applyFont="1" applyFill="1" applyBorder="1" applyAlignment="1">
      <alignment horizontal="center" vertical="center"/>
    </xf>
  </cellXfs>
  <cellStyles count="124">
    <cellStyle name="Comma 2" xfId="20" xr:uid="{00000000-0005-0000-0000-000000000000}"/>
    <cellStyle name="Comma 2 2" xfId="73" xr:uid="{3733361B-61F7-4007-AF93-8D779A2001B6}"/>
    <cellStyle name="Currency 2" xfId="21" xr:uid="{00000000-0005-0000-0000-000001000000}"/>
    <cellStyle name="Grid" xfId="15" xr:uid="{00000000-0005-0000-0000-000002000000}"/>
    <cellStyle name="Header0" xfId="8" xr:uid="{00000000-0005-0000-0000-000003000000}"/>
    <cellStyle name="Header1" xfId="9" xr:uid="{00000000-0005-0000-0000-000004000000}"/>
    <cellStyle name="Header2" xfId="13" xr:uid="{00000000-0005-0000-0000-000005000000}"/>
    <cellStyle name="Header3" xfId="14" xr:uid="{00000000-0005-0000-0000-000006000000}"/>
    <cellStyle name="Hipervínculo 2" xfId="122" xr:uid="{DF9404D6-01AE-41E0-AAF4-2734E281DCCB}"/>
    <cellStyle name="Millares" xfId="70" builtinId="3"/>
    <cellStyle name="Millares 2" xfId="69" xr:uid="{E442F1C2-3D9C-4C9F-83A8-FB0BEB6ACE81}"/>
    <cellStyle name="Millares 2 2" xfId="117" xr:uid="{CE5474F4-002B-4EDA-90FE-98CDEAAE81B5}"/>
    <cellStyle name="Millares 3" xfId="16" xr:uid="{00000000-0005-0000-0000-000008000000}"/>
    <cellStyle name="Millares 4" xfId="10" xr:uid="{00000000-0005-0000-0000-000009000000}"/>
    <cellStyle name="Moneda" xfId="1" builtinId="4"/>
    <cellStyle name="Moneda 2" xfId="3" xr:uid="{00000000-0005-0000-0000-00000B000000}"/>
    <cellStyle name="Moneda 3" xfId="57" xr:uid="{00000000-0005-0000-0000-00000C000000}"/>
    <cellStyle name="Moneda 4" xfId="120" xr:uid="{2C317908-F7CB-49F0-8A7D-CC8B392056CB}"/>
    <cellStyle name="Moneda 5" xfId="123" xr:uid="{43A908F2-31A0-4744-9645-E7E7A4631E4C}"/>
    <cellStyle name="Normal" xfId="0" builtinId="0"/>
    <cellStyle name="Normal 10" xfId="72" xr:uid="{6E7297D4-9DD5-486A-8709-FD8DB0E2AE05}"/>
    <cellStyle name="Normal 10 2" xfId="24" xr:uid="{00000000-0005-0000-0000-00000E000000}"/>
    <cellStyle name="Normal 11" xfId="121" xr:uid="{6AC0E52E-C620-4ACF-B5F8-8A1BA79998E1}"/>
    <cellStyle name="Normal 2" xfId="19" xr:uid="{00000000-0005-0000-0000-00000F000000}"/>
    <cellStyle name="Normal 2 2" xfId="66" xr:uid="{00000000-0005-0000-0000-000010000000}"/>
    <cellStyle name="Normal 2 2 2 2" xfId="4" xr:uid="{00000000-0005-0000-0000-000011000000}"/>
    <cellStyle name="Normal 2 2 6" xfId="5" xr:uid="{00000000-0005-0000-0000-000012000000}"/>
    <cellStyle name="Normal 3" xfId="25" xr:uid="{00000000-0005-0000-0000-000013000000}"/>
    <cellStyle name="Normal 3 2" xfId="76" xr:uid="{BE3BBCE8-F090-447E-AB89-08B739690049}"/>
    <cellStyle name="Normal 4" xfId="40" xr:uid="{00000000-0005-0000-0000-000014000000}"/>
    <cellStyle name="Normal 4 2" xfId="7" xr:uid="{00000000-0005-0000-0000-000015000000}"/>
    <cellStyle name="Normal 4 2 2" xfId="67" xr:uid="{00000000-0005-0000-0000-000016000000}"/>
    <cellStyle name="Normal 4 2 2 2" xfId="115" xr:uid="{EC8B2C90-E1A7-4E37-8592-1EE01C41D9D6}"/>
    <cellStyle name="Normal 4 2 3" xfId="22" xr:uid="{00000000-0005-0000-0000-000017000000}"/>
    <cellStyle name="Normal 4 2 3 2" xfId="26" xr:uid="{00000000-0005-0000-0000-000018000000}"/>
    <cellStyle name="Normal 4 2 3 2 2" xfId="45" xr:uid="{00000000-0005-0000-0000-000019000000}"/>
    <cellStyle name="Normal 4 2 3 2 2 2" xfId="96" xr:uid="{559F9CAE-9DEF-4D53-8E0F-6771CBE00E28}"/>
    <cellStyle name="Normal 4 2 3 2 3" xfId="51" xr:uid="{00000000-0005-0000-0000-00001A000000}"/>
    <cellStyle name="Normal 4 2 3 2 3 2" xfId="63" xr:uid="{00000000-0005-0000-0000-00001B000000}"/>
    <cellStyle name="Normal 4 2 3 2 3 2 2" xfId="112" xr:uid="{918CDA3A-9114-40C7-897E-8513D16C14D8}"/>
    <cellStyle name="Normal 4 2 3 2 3 3" xfId="102" xr:uid="{ACB2F819-7D8D-4F00-89DF-4A5D99B9E530}"/>
    <cellStyle name="Normal 4 2 3 2 4" xfId="77" xr:uid="{D3881AAC-0C56-4BAA-B409-1EED6223A048}"/>
    <cellStyle name="Normal 4 2 3 3" xfId="74" xr:uid="{0F5B564D-BC44-46C0-B88F-6A6EC8EA0097}"/>
    <cellStyle name="Normal 4 3" xfId="91" xr:uid="{E76ABF5D-F96A-4325-A8A0-19786B319F4C}"/>
    <cellStyle name="Normal 4 4" xfId="119" xr:uid="{6FF7CE92-2E47-4F82-B721-ED0788A612D8}"/>
    <cellStyle name="Normal 5" xfId="65" xr:uid="{00000000-0005-0000-0000-00001C000000}"/>
    <cellStyle name="Normal 5 2" xfId="114" xr:uid="{651B8250-7887-4B1C-9A80-5D1329172332}"/>
    <cellStyle name="Normal 6" xfId="17" xr:uid="{00000000-0005-0000-0000-00001D000000}"/>
    <cellStyle name="Normal 7" xfId="18" xr:uid="{00000000-0005-0000-0000-00001E000000}"/>
    <cellStyle name="Normal 8" xfId="68" xr:uid="{00000000-0005-0000-0000-00001F000000}"/>
    <cellStyle name="Normal 8 2" xfId="116" xr:uid="{1F7C0F86-3051-4277-8EC5-4A5EF5AD95A3}"/>
    <cellStyle name="Normal 9" xfId="71" xr:uid="{FA7301D0-EE09-40A5-B055-DF271ABD5F7F}"/>
    <cellStyle name="Normal 9 2" xfId="118" xr:uid="{3221900F-C30B-415B-8CD7-8E1AE45783E8}"/>
    <cellStyle name="Percent 4 2 3" xfId="23" xr:uid="{00000000-0005-0000-0000-000020000000}"/>
    <cellStyle name="Percent 4 2 3 2" xfId="27" xr:uid="{00000000-0005-0000-0000-000021000000}"/>
    <cellStyle name="Percent 4 2 3 2 2" xfId="46" xr:uid="{00000000-0005-0000-0000-000022000000}"/>
    <cellStyle name="Percent 4 2 3 2 2 2" xfId="97" xr:uid="{90D74A41-262D-46AF-8F30-F713DAF9CF43}"/>
    <cellStyle name="Percent 4 2 3 2 3" xfId="52" xr:uid="{00000000-0005-0000-0000-000023000000}"/>
    <cellStyle name="Percent 4 2 3 2 3 2" xfId="64" xr:uid="{00000000-0005-0000-0000-000024000000}"/>
    <cellStyle name="Percent 4 2 3 2 3 2 2" xfId="113" xr:uid="{C8F93226-2904-4432-AE51-B234075A0AF9}"/>
    <cellStyle name="Percent 4 2 3 2 3 3" xfId="103" xr:uid="{BB5C9871-B47D-4658-B361-F7FE975BE61F}"/>
    <cellStyle name="Percent 4 2 3 2 4" xfId="78" xr:uid="{66B81F71-DAD8-4B38-8029-4AE8133363B4}"/>
    <cellStyle name="Percent 4 2 3 3" xfId="75" xr:uid="{2F75642F-8C33-4CDB-A0B5-3E73BC2937FC}"/>
    <cellStyle name="Porcentaje" xfId="2" builtinId="5"/>
    <cellStyle name="Porcentaje 2" xfId="58" xr:uid="{00000000-0005-0000-0000-000026000000}"/>
    <cellStyle name="Sheet_Header" xfId="6" xr:uid="{00000000-0005-0000-0000-000027000000}"/>
    <cellStyle name="Table_Heading" xfId="12" xr:uid="{00000000-0005-0000-0000-000028000000}"/>
    <cellStyle name="unit" xfId="11" xr:uid="{00000000-0005-0000-0000-000029000000}"/>
    <cellStyle name="통화 2" xfId="29" xr:uid="{00000000-0005-0000-0000-00002A000000}"/>
    <cellStyle name="통화 2 2" xfId="31" xr:uid="{00000000-0005-0000-0000-00002B000000}"/>
    <cellStyle name="통화 2 2 2" xfId="35" xr:uid="{00000000-0005-0000-0000-00002C000000}"/>
    <cellStyle name="통화 2 2 2 2" xfId="39" xr:uid="{00000000-0005-0000-0000-00002D000000}"/>
    <cellStyle name="통화 2 2 2 2 2" xfId="44" xr:uid="{00000000-0005-0000-0000-00002E000000}"/>
    <cellStyle name="통화 2 2 2 2 2 2" xfId="56" xr:uid="{00000000-0005-0000-0000-00002F000000}"/>
    <cellStyle name="통화 2 2 2 2 2 2 2" xfId="62" xr:uid="{00000000-0005-0000-0000-000030000000}"/>
    <cellStyle name="통화 2 2 2 2 2 2 2 2" xfId="111" xr:uid="{3A0ECA69-0B25-4CD1-AADE-10EFEEE03100}"/>
    <cellStyle name="통화 2 2 2 2 2 2 3" xfId="107" xr:uid="{F324D6FF-DE5F-425C-B223-0CAB0DDC2885}"/>
    <cellStyle name="통화 2 2 2 2 2 3" xfId="95" xr:uid="{87031157-1E0C-4176-B5FE-3280AD1022FA}"/>
    <cellStyle name="통화 2 2 2 2 3" xfId="50" xr:uid="{00000000-0005-0000-0000-000031000000}"/>
    <cellStyle name="통화 2 2 2 2 3 2" xfId="101" xr:uid="{60575317-E0D5-43A7-A0B3-CD0973A8A304}"/>
    <cellStyle name="통화 2 2 2 2 4" xfId="90" xr:uid="{81276E98-10B9-44FC-908C-FF3090A4DA2E}"/>
    <cellStyle name="통화 2 2 2 3" xfId="86" xr:uid="{14C0AEE3-A735-4B1A-88D5-BD97231211BA}"/>
    <cellStyle name="통화 2 2 3" xfId="82" xr:uid="{057FC8C4-744F-4B6D-BB25-2E74B1127C3D}"/>
    <cellStyle name="통화 2 3" xfId="33" xr:uid="{00000000-0005-0000-0000-000032000000}"/>
    <cellStyle name="통화 2 3 2" xfId="37" xr:uid="{00000000-0005-0000-0000-000033000000}"/>
    <cellStyle name="통화 2 3 2 2" xfId="42" xr:uid="{00000000-0005-0000-0000-000034000000}"/>
    <cellStyle name="통화 2 3 2 2 2" xfId="54" xr:uid="{00000000-0005-0000-0000-000035000000}"/>
    <cellStyle name="통화 2 3 2 2 2 2" xfId="60" xr:uid="{00000000-0005-0000-0000-000036000000}"/>
    <cellStyle name="통화 2 3 2 2 2 2 2" xfId="109" xr:uid="{F1615B12-4E6C-4935-A464-B9ADA0918F04}"/>
    <cellStyle name="통화 2 3 2 2 2 3" xfId="105" xr:uid="{D0C098F4-5562-488E-9BFA-F1EAAE6907B5}"/>
    <cellStyle name="통화 2 3 2 2 3" xfId="93" xr:uid="{DE0C2B6A-5585-419A-82BC-2350E2190AA1}"/>
    <cellStyle name="통화 2 3 2 3" xfId="48" xr:uid="{00000000-0005-0000-0000-000037000000}"/>
    <cellStyle name="통화 2 3 2 3 2" xfId="99" xr:uid="{E11B4892-BC1F-4238-9E1B-E20969B46897}"/>
    <cellStyle name="통화 2 3 2 4" xfId="88" xr:uid="{627D78FC-78B0-4D60-9E81-63F7BB5D472A}"/>
    <cellStyle name="통화 2 3 3" xfId="84" xr:uid="{E66ECA19-BAD6-4C60-8062-9AD04B7C240B}"/>
    <cellStyle name="통화 2 4" xfId="80" xr:uid="{751B9157-836A-4548-A4F4-3F3E15253B5B}"/>
    <cellStyle name="표준 2" xfId="28" xr:uid="{00000000-0005-0000-0000-000038000000}"/>
    <cellStyle name="표준 2 2" xfId="30" xr:uid="{00000000-0005-0000-0000-000039000000}"/>
    <cellStyle name="표준 2 2 2" xfId="34" xr:uid="{00000000-0005-0000-0000-00003A000000}"/>
    <cellStyle name="표준 2 2 2 2" xfId="38" xr:uid="{00000000-0005-0000-0000-00003B000000}"/>
    <cellStyle name="표준 2 2 2 2 2" xfId="43" xr:uid="{00000000-0005-0000-0000-00003C000000}"/>
    <cellStyle name="표준 2 2 2 2 2 2" xfId="55" xr:uid="{00000000-0005-0000-0000-00003D000000}"/>
    <cellStyle name="표준 2 2 2 2 2 2 2" xfId="61" xr:uid="{00000000-0005-0000-0000-00003E000000}"/>
    <cellStyle name="표준 2 2 2 2 2 2 2 2" xfId="110" xr:uid="{DEDF8871-6311-4E41-89AD-369D5572A411}"/>
    <cellStyle name="표준 2 2 2 2 2 2 3" xfId="106" xr:uid="{312E1B3B-8C45-4328-886B-64C14319C7E7}"/>
    <cellStyle name="표준 2 2 2 2 2 3" xfId="94" xr:uid="{7271B345-58AD-4193-B0EE-E484AD43DEFD}"/>
    <cellStyle name="표준 2 2 2 2 3" xfId="49" xr:uid="{00000000-0005-0000-0000-00003F000000}"/>
    <cellStyle name="표준 2 2 2 2 3 2" xfId="100" xr:uid="{5DD374F5-1308-45AE-A6C6-0545F6BDD173}"/>
    <cellStyle name="표준 2 2 2 2 4" xfId="89" xr:uid="{12B077E9-6CFE-44A3-88F1-506314813DFA}"/>
    <cellStyle name="표준 2 2 2 3" xfId="85" xr:uid="{F36B381D-BD25-4095-B809-1E0129743ECE}"/>
    <cellStyle name="표준 2 2 3" xfId="81" xr:uid="{1DF0CB25-30C8-4A8F-9F37-E69113AF986A}"/>
    <cellStyle name="표준 2 3" xfId="32" xr:uid="{00000000-0005-0000-0000-000040000000}"/>
    <cellStyle name="표준 2 3 2" xfId="36" xr:uid="{00000000-0005-0000-0000-000041000000}"/>
    <cellStyle name="표준 2 3 2 2" xfId="41" xr:uid="{00000000-0005-0000-0000-000042000000}"/>
    <cellStyle name="표준 2 3 2 2 2" xfId="53" xr:uid="{00000000-0005-0000-0000-000043000000}"/>
    <cellStyle name="표준 2 3 2 2 2 2" xfId="59" xr:uid="{00000000-0005-0000-0000-000044000000}"/>
    <cellStyle name="표준 2 3 2 2 2 2 2" xfId="108" xr:uid="{AB9BE009-7073-46CA-BFCC-5DF91E258573}"/>
    <cellStyle name="표준 2 3 2 2 2 3" xfId="104" xr:uid="{3CF421E6-E75A-4B7E-9FE6-CED77AA69B9E}"/>
    <cellStyle name="표준 2 3 2 2 3" xfId="92" xr:uid="{7AAF82A5-B43C-49FC-B54A-658D71077B22}"/>
    <cellStyle name="표준 2 3 2 3" xfId="47" xr:uid="{00000000-0005-0000-0000-000045000000}"/>
    <cellStyle name="표준 2 3 2 3 2" xfId="98" xr:uid="{F4749341-4BDC-4235-B071-4FAD298A089A}"/>
    <cellStyle name="표준 2 3 2 4" xfId="87" xr:uid="{91D079D5-432D-4FE1-8E1C-E02ECB65DD13}"/>
    <cellStyle name="표준 2 3 3" xfId="83" xr:uid="{C413F009-0964-43E3-93BC-727DCB01A9D6}"/>
    <cellStyle name="표준 2 4" xfId="79" xr:uid="{E2C3F81D-972A-428D-AC99-34F10A2626FE}"/>
  </cellStyles>
  <dxfs count="36">
    <dxf>
      <font>
        <sz val="11"/>
        <color rgb="FF006100"/>
        <name val="Calibri"/>
      </font>
      <numFmt numFmtId="171" formatCode="_-[$$-540A]* #,##0.00_ ;_-[$$-540A]* \-#,##0.00\ ;_-[$$-540A]* \-??_ ;_-@_ "/>
      <fill>
        <patternFill>
          <bgColor rgb="FFC6EFCE"/>
        </patternFill>
      </fill>
    </dxf>
    <dxf>
      <font>
        <sz val="11"/>
        <color rgb="FFFFFFFF"/>
        <name val="Calibri"/>
      </font>
      <numFmt numFmtId="171" formatCode="_-[$$-540A]* #,##0.00_ ;_-[$$-540A]* \-#,##0.00\ ;_-[$$-540A]* \-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indexed="64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alignment vertical="center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CC0099"/>
      <color rgb="FFEE3A3A"/>
      <color rgb="FF00CC00"/>
      <color rgb="FF00FFCC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6.xml"/><Relationship Id="rId47" Type="http://schemas.openxmlformats.org/officeDocument/2006/relationships/externalLink" Target="externalLinks/externalLink11.xml"/><Relationship Id="rId50" Type="http://schemas.openxmlformats.org/officeDocument/2006/relationships/externalLink" Target="externalLinks/externalLink14.xml"/><Relationship Id="rId55" Type="http://schemas.openxmlformats.org/officeDocument/2006/relationships/externalLink" Target="externalLinks/externalLink19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externalLink" Target="externalLinks/externalLink4.xml"/><Relationship Id="rId45" Type="http://schemas.openxmlformats.org/officeDocument/2006/relationships/externalLink" Target="externalLinks/externalLink9.xml"/><Relationship Id="rId53" Type="http://schemas.openxmlformats.org/officeDocument/2006/relationships/externalLink" Target="externalLinks/externalLink17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7.xml"/><Relationship Id="rId48" Type="http://schemas.openxmlformats.org/officeDocument/2006/relationships/externalLink" Target="externalLinks/externalLink12.xml"/><Relationship Id="rId56" Type="http://schemas.openxmlformats.org/officeDocument/2006/relationships/externalLink" Target="externalLinks/externalLink20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2.xml"/><Relationship Id="rId46" Type="http://schemas.openxmlformats.org/officeDocument/2006/relationships/externalLink" Target="externalLinks/externalLink10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5.xml"/><Relationship Id="rId54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13.xml"/><Relationship Id="rId57" Type="http://schemas.openxmlformats.org/officeDocument/2006/relationships/externalLink" Target="externalLinks/externalLink2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8.xml"/><Relationship Id="rId52" Type="http://schemas.openxmlformats.org/officeDocument/2006/relationships/externalLink" Target="externalLinks/externalLink16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518128</xdr:colOff>
      <xdr:row>57</xdr:row>
      <xdr:rowOff>59458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1F773F-C04C-43FA-ADEE-F30D6DBAB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9995647"/>
          <a:ext cx="7428571" cy="30476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74839</xdr:colOff>
      <xdr:row>26</xdr:row>
      <xdr:rowOff>60174</xdr:rowOff>
    </xdr:from>
    <xdr:to>
      <xdr:col>5</xdr:col>
      <xdr:colOff>942521</xdr:colOff>
      <xdr:row>30</xdr:row>
      <xdr:rowOff>196505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BF7AD2-1DAA-4ADA-B90E-65526075CC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839" y="5720745"/>
          <a:ext cx="1983468" cy="554070"/>
        </a:xfrm>
        <a:prstGeom prst="rect">
          <a:avLst/>
        </a:prstGeom>
      </xdr:spPr>
    </xdr:pic>
    <xdr:clientData/>
  </xdr:twoCellAnchor>
  <xdr:oneCellAnchor>
    <xdr:from>
      <xdr:col>1</xdr:col>
      <xdr:colOff>115660</xdr:colOff>
      <xdr:row>47</xdr:row>
      <xdr:rowOff>87388</xdr:rowOff>
    </xdr:from>
    <xdr:ext cx="1983468" cy="554070"/>
    <xdr:pic>
      <xdr:nvPicPr>
        <xdr:cNvPr id="3" name="Picture 1">
          <a:extLst>
            <a:ext uri="{FF2B5EF4-FFF2-40B4-BE49-F238E27FC236}">
              <a16:creationId xmlns:a16="http://schemas.microsoft.com/office/drawing/2014/main" id="{62C792A9-7139-4B69-9BCC-3809DD0F0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660" y="13626495"/>
          <a:ext cx="1983468" cy="554070"/>
        </a:xfrm>
        <a:prstGeom prst="rect">
          <a:avLst/>
        </a:prstGeom>
      </xdr:spPr>
    </xdr:pic>
    <xdr:clientData/>
  </xdr:oneCellAnchor>
  <xdr:twoCellAnchor editAs="oneCell">
    <xdr:from>
      <xdr:col>5</xdr:col>
      <xdr:colOff>707573</xdr:colOff>
      <xdr:row>45</xdr:row>
      <xdr:rowOff>108858</xdr:rowOff>
    </xdr:from>
    <xdr:to>
      <xdr:col>5</xdr:col>
      <xdr:colOff>1891393</xdr:colOff>
      <xdr:row>45</xdr:row>
      <xdr:rowOff>1937936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DF25121-0514-42CA-B9BB-2228612DF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3359" y="13579929"/>
          <a:ext cx="1183820" cy="18290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875129B9-3185-47E1-AFC8-A943F34B283B}"/>
            </a:ext>
          </a:extLst>
        </xdr:cNvPr>
        <xdr:cNvSpPr>
          <a:spLocks noChangeArrowheads="1"/>
        </xdr:cNvSpPr>
      </xdr:nvSpPr>
      <xdr:spPr bwMode="auto">
        <a:xfrm>
          <a:off x="174203" y="2109893"/>
          <a:ext cx="5764531" cy="1160357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DCFD8C16-5076-4F0D-A433-1E84D60605CA}"/>
            </a:ext>
          </a:extLst>
        </xdr:cNvPr>
        <xdr:cNvSpPr>
          <a:spLocks noChangeArrowheads="1"/>
        </xdr:cNvSpPr>
      </xdr:nvSpPr>
      <xdr:spPr bwMode="auto">
        <a:xfrm>
          <a:off x="6541770" y="1911064"/>
          <a:ext cx="2222281" cy="90982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827A1F57-4021-43E6-A932-CD28D992A652}"/>
            </a:ext>
          </a:extLst>
        </xdr:cNvPr>
        <xdr:cNvSpPr txBox="1">
          <a:spLocks noChangeArrowheads="1"/>
        </xdr:cNvSpPr>
      </xdr:nvSpPr>
      <xdr:spPr bwMode="auto">
        <a:xfrm>
          <a:off x="3550285" y="858520"/>
          <a:ext cx="2913380" cy="7893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26</xdr:row>
      <xdr:rowOff>0</xdr:rowOff>
    </xdr:from>
    <xdr:to>
      <xdr:col>2</xdr:col>
      <xdr:colOff>590550</xdr:colOff>
      <xdr:row>26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B7F3B61F-D5DD-4E13-BA0C-EFE976E628E9}"/>
            </a:ext>
          </a:extLst>
        </xdr:cNvPr>
        <xdr:cNvSpPr txBox="1">
          <a:spLocks noChangeArrowheads="1"/>
        </xdr:cNvSpPr>
      </xdr:nvSpPr>
      <xdr:spPr bwMode="auto">
        <a:xfrm>
          <a:off x="57150" y="3589020"/>
          <a:ext cx="146304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34</xdr:row>
      <xdr:rowOff>83633</xdr:rowOff>
    </xdr:from>
    <xdr:to>
      <xdr:col>10</xdr:col>
      <xdr:colOff>0</xdr:colOff>
      <xdr:row>38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F4A4D5E8-CAE5-438F-A8E4-5D05FACE071B}"/>
            </a:ext>
          </a:extLst>
        </xdr:cNvPr>
        <xdr:cNvSpPr txBox="1">
          <a:spLocks noChangeArrowheads="1"/>
        </xdr:cNvSpPr>
      </xdr:nvSpPr>
      <xdr:spPr bwMode="auto">
        <a:xfrm>
          <a:off x="239059" y="4762313"/>
          <a:ext cx="8523941" cy="93510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D71E0480-0AC1-47E1-BB7E-E882AF0DD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22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40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F90CE891-B1EC-4E42-A313-CCB4EADC578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4980376" y="9777436"/>
          <a:ext cx="1163671" cy="1114352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525748</xdr:colOff>
      <xdr:row>57</xdr:row>
      <xdr:rowOff>55648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C7A5D2-6EBE-4E4C-B6F2-8DB40BDEB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10270751"/>
          <a:ext cx="7417925" cy="314847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rmena\Mis%20documentos\Megatel\EF%20y%20trafico\marzo%2004\Financial%20statements%20analysis%20marzo04%20modif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lmer%20Constanza/Desktop/ESCRITORIO/2020/GV%202020/Regionales/Panama/Proyectos/ATLAS/MEF/MEF%20911%20Colon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oviedo/Desktop/09092019/Tecnisign%20proyeccion/MEF%20Tecnisign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y%20Documents\RHASBUN\Termicos\Nuevos%20210\210%20completos\Nuevo%20proceso\ENERSA%20105mw%20a%20precio%20de%20lufussa%20ver%20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rrueda\LOCALS~1\Temp\Analisis%20de%20Cogeneracion%20Kimberly%20Clark%20(v2.0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Cogeneracion%20Gildan%20v.3.d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%202003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jsanchez/Documents/Grupo%20Vision/Modelos%20Financieros%20GV/Cafe%20Maya/VALORACION%20CAFE%20Version%202%20060916%20JS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RMQ\Megatel%20de%20Honduras\Modelos\Modelo%20financiero%20English%20ver%2010%20Interese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inmobiliaria\Modelo%20Financiero%20FMO%2040M%20r.5%20(M)%2090_10%20scenario%20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Pr&#233;stamo%20para%20Inversi&#243;n.xls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microsoft.com/office/2019/04/relationships/externalLinkLongPath" Target="https://grupovisionorg-my.sharepoint.com/personal/jlezcano_grupovision_org/Documents/JAIRO/2020/Ofertas%20con%20una%20semana%20despues%20de%20entregadas/III%20Cuat/Condominio%20Bella%20Vista-2020/Oferta-Matriz/Matriz%20Condominio%20BV%20-Epcom.xlsx?8457B129" TargetMode="External"/><Relationship Id="rId1" Type="http://schemas.openxmlformats.org/officeDocument/2006/relationships/externalLinkPath" Target="file:///\\8457B129\Matriz%20Condominio%20BV%20-Epcom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toscano/AppData/Local/Microsoft/Windows/INetCache/Content.Outlook/FFG5AD9L/MCV_Actualizaci&#243;n%20Soporte%20Genetec%20DSA_v4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danis/Desktop/GV/ACB/CLIENTES/MERCADO%20VALORES/2020/Cambio%20de%20Control%20de%20Acceso%20y%20temperatura/oferta/Matriz%20CR%20Control%20Acceso%20y%20temperatura%20MValores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microsoft.com/office/2019/04/relationships/externalLinkLongPath" Target="https://grupovisionorg-my.sharepoint.com/personal/jlezcano_grupovision_org/Documents/JAIRO/2020/Ofertas%20con%20una%20semana%20despues%20de%20entregadas/III%20Cuat/Condominio%20Bella%20Vista-2020/CONDOMINIOBV/Matriz%20Condominio%20BV%20nueva%20visita.xlsx?6B3256B2" TargetMode="External"/><Relationship Id="rId1" Type="http://schemas.openxmlformats.org/officeDocument/2006/relationships/externalLinkPath" Target="file:///\\6B3256B2\Matriz%20Condominio%20BV%20nueva%20visit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003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EHERNA~1\LOCALS~1\Temp\Modelo%20valor%20de%20rescate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Marzo%202004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garcia\PUBLICO\Mis%20documentos\Rhasbun\Cogeneracion\Modelo%20de%20Cogeneraci&#243;n%20Gildan%20ver%2042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Febrero%202004%20Finales%20Promedio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Documents%20and%20Settings/Ronaldo/Mis%20documentos/Terra/Hidro%20XACLBAL%20v.9.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Supuestos"/>
      <sheetName val="Est Result"/>
      <sheetName val="B Gral"/>
      <sheetName val="Conciliación "/>
      <sheetName val="Flujo de Efectivo"/>
      <sheetName val="Análisis Porcentual"/>
      <sheetName val="Análisis de Crecimiento"/>
      <sheetName val="Razones Financieras"/>
      <sheetName val="Indices"/>
      <sheetName val="P.E."/>
      <sheetName val="Indicadores"/>
      <sheetName val="Comparativo Gts Lps"/>
      <sheetName val="Comparativo Gts US$"/>
      <sheetName val="E.R Dic."/>
      <sheetName val="E.R. Enero "/>
      <sheetName val="E.R. Febrero"/>
      <sheetName val="E.R. mes Marzo"/>
      <sheetName val="B$D"/>
      <sheetName val="B$E"/>
      <sheetName val="Balance U$ Feb."/>
      <sheetName val="Balance u$ Mar."/>
      <sheetName val="Integracion u$ Dic."/>
      <sheetName val="Integracion u$ Ene."/>
      <sheetName val="Integracion u$ Feb."/>
      <sheetName val="Integracion u$ Marz."/>
      <sheetName val="Diciembre"/>
      <sheetName val="Enero"/>
      <sheetName val="Febrero"/>
      <sheetName val="Marzo"/>
      <sheetName val="Activos"/>
      <sheetName val="Pasivos"/>
      <sheetName val="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TMO C"/>
      <sheetName val="Ptmo P"/>
      <sheetName val="Variables Escenarios"/>
      <sheetName val="Analisis"/>
      <sheetName val="BAL GRAL"/>
      <sheetName val="ESTADO DE RESULTADOS"/>
      <sheetName val="Hoja1"/>
      <sheetName val="ESTADO DE RESULTADOS (2)"/>
      <sheetName val="GUNSHOTS"/>
      <sheetName val="OPEX"/>
      <sheetName val="Planilla"/>
      <sheetName val="COMPUTADOR Y MOVILES"/>
      <sheetName val="UB y POSTES"/>
      <sheetName val="HW IT"/>
      <sheetName val="BIOMETRICOS"/>
      <sheetName val="HW FACE RECOGN"/>
      <sheetName val="DATA CENTER"/>
      <sheetName val="SW RED"/>
      <sheetName val="VIDEOWALL"/>
      <sheetName val="AUDIO - MEGAFONOS"/>
      <sheetName val="BOTONES"/>
      <sheetName val="Genetec SW VMS"/>
      <sheetName val="HEXAGON CAD SW"/>
      <sheetName val="Partes y Repuestos"/>
      <sheetName val="ACTIVOS"/>
      <sheetName val="RESUMEN"/>
      <sheetName val="CAPEX R"/>
      <sheetName val="GPS VEHICULOS"/>
      <sheetName val="VARIOS"/>
      <sheetName val="MANTENIMIENTO"/>
      <sheetName val="Riesgo No. 3"/>
      <sheetName val="Riesgo N.4"/>
      <sheetName val="PRUEBA"/>
      <sheetName val="BOM"/>
      <sheetName val="MAP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"/>
      <sheetName val="Premisas"/>
      <sheetName val="Graficos"/>
      <sheetName val="EF"/>
      <sheetName val="OPEX"/>
      <sheetName val="OPEX (G)"/>
      <sheetName val="Data OPEX"/>
      <sheetName val="Capex CECO"/>
      <sheetName val="Capex CECO (2)"/>
      <sheetName val="Data por centro"/>
      <sheetName val="Tax data"/>
      <sheetName val="depreciaciones"/>
      <sheetName val="Ingresos-Costos"/>
      <sheetName val="Ptmo P (2)"/>
      <sheetName val="PTMO C"/>
      <sheetName val="MEF Tecnisign v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S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Pricing2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ifas"/>
      <sheetName val="Ofertas"/>
      <sheetName val="Resultados"/>
      <sheetName val="Resumen"/>
      <sheetName val="Flujo de Caja"/>
      <sheetName val="Simulacion"/>
      <sheetName val="Plan de Inversion"/>
      <sheetName val="Labor O&amp;M"/>
      <sheetName val="O&amp;M"/>
      <sheetName val="Precios kWh"/>
      <sheetName val="Variables"/>
      <sheetName val="Combustibles"/>
      <sheetName val="Financiamiento"/>
      <sheetName val="Intereses Construcción"/>
      <sheetName val="EP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&amp;M"/>
      <sheetName val="CF"/>
    </sheetNames>
    <sheetDataSet>
      <sheetData sheetId="0" refreshError="1"/>
      <sheetData sheetId="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aque"/>
      <sheetName val="base"/>
      <sheetName val="IS Mensual"/>
      <sheetName val="Representaciones"/>
      <sheetName val="Hoja1"/>
      <sheetName val="IS CF GV"/>
      <sheetName val="IS"/>
      <sheetName val="ER CAFE MAYA JULIO 2016 0808201"/>
      <sheetName val="BG JULIO 2016 08082016"/>
      <sheetName val="BG"/>
      <sheetName val="Debt Actual"/>
      <sheetName val="Debt WC"/>
      <sheetName val="Depr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 costos de red"/>
      <sheetName val="Expenses (2)"/>
      <sheetName val="Portada"/>
      <sheetName val="Price"/>
      <sheetName val="Executive Summary"/>
      <sheetName val="Dev. Exp."/>
      <sheetName val="Op. Cash Flow"/>
      <sheetName val="Disponibilidad"/>
      <sheetName val="Fin stat"/>
      <sheetName val="Finan.-Oper."/>
      <sheetName val="IDC"/>
      <sheetName val="Loan"/>
      <sheetName val="Traffic"/>
      <sheetName val="Rev&amp;COGS"/>
      <sheetName val="Forecast"/>
      <sheetName val="Descto"/>
      <sheetName val="Handsets"/>
      <sheetName val="Market size"/>
      <sheetName val="Subs"/>
      <sheetName val="SubsBrut"/>
      <sheetName val="SubsBrut2 "/>
      <sheetName val="Subsbrut3"/>
      <sheetName val="Staffing"/>
      <sheetName val="CAPEX"/>
      <sheetName val="Sitios 1"/>
      <sheetName val="Notas"/>
      <sheetName val="Edificio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rtada"/>
      <sheetName val="Executive Summary"/>
      <sheetName val="DCF"/>
      <sheetName val="Mark. Share"/>
      <sheetName val="IS"/>
      <sheetName val="Balance"/>
      <sheetName val="CF"/>
      <sheetName val="Fees"/>
      <sheetName val="Debt FMO"/>
      <sheetName val="WC"/>
      <sheetName val="CAPEX"/>
      <sheetName val="Subsidies"/>
      <sheetName val="WACC"/>
      <sheetName val="Rev&amp;COGS"/>
      <sheetName val="Op. Cash Flow"/>
      <sheetName val="Price"/>
      <sheetName val="betas"/>
      <sheetName val="Finan.-Oper."/>
      <sheetName val="Subs"/>
      <sheetName val="Staffing"/>
      <sheetName val="IS (2)"/>
      <sheetName val="Fibra Optica"/>
      <sheetName val=" Ing."/>
      <sheetName val="Dev. Exp."/>
      <sheetName val="Com. TC"/>
      <sheetName val="Edificios"/>
      <sheetName val="IT compra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dora de préstamos"/>
    </sheetNames>
    <sheetDataSet>
      <sheetData sheetId="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Hoja1"/>
      <sheetName val="Hoja2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Evaluacion"/>
      <sheetName val="MCV_1 año"/>
      <sheetName val="MCV_2 años"/>
      <sheetName val="MCV_3 años"/>
      <sheetName val="MCV_5 años"/>
      <sheetName val="Gira"/>
      <sheetName val="Resumen"/>
      <sheetName val="Costos Instalación"/>
      <sheetName val="Amo_Prtmo"/>
      <sheetName val="Referencias"/>
    </sheetNames>
    <sheetDataSet>
      <sheetData sheetId="0"/>
      <sheetData sheetId="1"/>
      <sheetData sheetId="2"/>
      <sheetData sheetId="3">
        <row r="226">
          <cell r="E226">
            <v>0</v>
          </cell>
        </row>
      </sheetData>
      <sheetData sheetId="4"/>
      <sheetData sheetId="5"/>
      <sheetData sheetId="6"/>
      <sheetData sheetId="7"/>
      <sheetData sheetId="8"/>
      <sheetData sheetId="9">
        <row r="1">
          <cell r="A1" t="str">
            <v>Programación de la amortización para Financiamiento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A3">
            <v>0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</row>
        <row r="4">
          <cell r="A4">
            <v>0</v>
          </cell>
          <cell r="B4" t="str">
            <v>Especificar valores</v>
          </cell>
          <cell r="C4">
            <v>0</v>
          </cell>
          <cell r="D4">
            <v>0</v>
          </cell>
          <cell r="E4">
            <v>0</v>
          </cell>
          <cell r="H4" t="str">
            <v>Resumen del préstamo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 t="str">
            <v>Importe del préstamo</v>
          </cell>
          <cell r="D5">
            <v>49999.990168850592</v>
          </cell>
          <cell r="E5">
            <v>0</v>
          </cell>
          <cell r="H5">
            <v>0</v>
          </cell>
          <cell r="I5" t="str">
            <v>Pago programado</v>
          </cell>
          <cell r="J5" t="e">
            <v>#REF!</v>
          </cell>
        </row>
        <row r="6">
          <cell r="A6">
            <v>0</v>
          </cell>
          <cell r="B6">
            <v>0</v>
          </cell>
          <cell r="C6" t="str">
            <v>Tasa de interés anual</v>
          </cell>
          <cell r="D6">
            <v>0.12</v>
          </cell>
          <cell r="E6">
            <v>0</v>
          </cell>
          <cell r="H6">
            <v>0</v>
          </cell>
          <cell r="I6" t="str">
            <v>Número de pagos programado</v>
          </cell>
          <cell r="J6" t="e">
            <v>#REF!</v>
          </cell>
        </row>
        <row r="7">
          <cell r="A7">
            <v>0</v>
          </cell>
          <cell r="B7">
            <v>0</v>
          </cell>
          <cell r="C7" t="str">
            <v>Plazo del préstamo en años</v>
          </cell>
          <cell r="D7">
            <v>1</v>
          </cell>
          <cell r="E7">
            <v>0</v>
          </cell>
          <cell r="H7">
            <v>0</v>
          </cell>
          <cell r="I7" t="str">
            <v>Número de pagos real</v>
          </cell>
          <cell r="J7" t="e">
            <v>#REF!</v>
          </cell>
        </row>
        <row r="8">
          <cell r="A8">
            <v>0</v>
          </cell>
          <cell r="B8">
            <v>0</v>
          </cell>
          <cell r="C8" t="str">
            <v>Número de pagos al año</v>
          </cell>
          <cell r="D8">
            <v>12</v>
          </cell>
          <cell r="E8">
            <v>0</v>
          </cell>
          <cell r="H8">
            <v>0</v>
          </cell>
          <cell r="I8" t="str">
            <v>Total de pagos anticipados</v>
          </cell>
          <cell r="J8" t="e">
            <v>#REF!</v>
          </cell>
        </row>
        <row r="9">
          <cell r="A9">
            <v>0</v>
          </cell>
          <cell r="B9">
            <v>0</v>
          </cell>
          <cell r="C9" t="str">
            <v>Fecha inicial del préstamo</v>
          </cell>
          <cell r="D9">
            <v>43191</v>
          </cell>
          <cell r="E9">
            <v>0</v>
          </cell>
          <cell r="H9">
            <v>0</v>
          </cell>
          <cell r="I9" t="str">
            <v>Interés total</v>
          </cell>
          <cell r="J9" t="e">
            <v>#REF!</v>
          </cell>
        </row>
        <row r="10">
          <cell r="A10">
            <v>0</v>
          </cell>
          <cell r="B10">
            <v>0</v>
          </cell>
          <cell r="C10" t="str">
            <v>Pagos adicionales opcionales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 t="str">
            <v>Total valor requerido ya con financiamiento</v>
          </cell>
          <cell r="I11">
            <v>0</v>
          </cell>
          <cell r="J11" t="e">
            <v>#REF!</v>
          </cell>
        </row>
        <row r="12">
          <cell r="A12">
            <v>0</v>
          </cell>
          <cell r="B12" t="str">
            <v>Nombre de entidad de crédito: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>
            <v>0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A18" t="e">
            <v>#REF!</v>
          </cell>
          <cell r="B18" t="e">
            <v>#REF!</v>
          </cell>
          <cell r="C18" t="e">
            <v>#REF!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</row>
        <row r="19">
          <cell r="A19" t="e">
            <v>#REF!</v>
          </cell>
          <cell r="B19" t="e">
            <v>#REF!</v>
          </cell>
          <cell r="C19" t="e">
            <v>#REF!</v>
          </cell>
          <cell r="D19" t="e">
            <v>#REF!</v>
          </cell>
          <cell r="E19" t="e">
            <v>#REF!</v>
          </cell>
          <cell r="F19" t="e">
            <v>#REF!</v>
          </cell>
          <cell r="G19" t="e">
            <v>#REF!</v>
          </cell>
          <cell r="H19" t="e">
            <v>#REF!</v>
          </cell>
          <cell r="I19" t="e">
            <v>#REF!</v>
          </cell>
          <cell r="J19" t="e">
            <v>#REF!</v>
          </cell>
        </row>
        <row r="20">
          <cell r="A20" t="e">
            <v>#REF!</v>
          </cell>
          <cell r="B20" t="e">
            <v>#REF!</v>
          </cell>
          <cell r="C20" t="e">
            <v>#REF!</v>
          </cell>
          <cell r="D20" t="e">
            <v>#REF!</v>
          </cell>
          <cell r="E20" t="e">
            <v>#REF!</v>
          </cell>
          <cell r="F20" t="e">
            <v>#REF!</v>
          </cell>
          <cell r="G20" t="e">
            <v>#REF!</v>
          </cell>
          <cell r="H20" t="e">
            <v>#REF!</v>
          </cell>
          <cell r="I20" t="e">
            <v>#REF!</v>
          </cell>
          <cell r="J20" t="e">
            <v>#REF!</v>
          </cell>
        </row>
        <row r="21">
          <cell r="A21" t="e">
            <v>#REF!</v>
          </cell>
          <cell r="B21" t="e">
            <v>#REF!</v>
          </cell>
          <cell r="C21" t="e">
            <v>#REF!</v>
          </cell>
          <cell r="D21" t="e">
            <v>#REF!</v>
          </cell>
          <cell r="E21" t="e">
            <v>#REF!</v>
          </cell>
          <cell r="F21" t="e">
            <v>#REF!</v>
          </cell>
          <cell r="G21" t="e">
            <v>#REF!</v>
          </cell>
          <cell r="H21" t="e">
            <v>#REF!</v>
          </cell>
          <cell r="I21" t="e">
            <v>#REF!</v>
          </cell>
          <cell r="J21" t="e">
            <v>#REF!</v>
          </cell>
        </row>
        <row r="22">
          <cell r="A22" t="e">
            <v>#REF!</v>
          </cell>
          <cell r="B22" t="e">
            <v>#REF!</v>
          </cell>
          <cell r="C22" t="e">
            <v>#REF!</v>
          </cell>
          <cell r="D22" t="e">
            <v>#REF!</v>
          </cell>
          <cell r="E22" t="e">
            <v>#REF!</v>
          </cell>
          <cell r="F22" t="e">
            <v>#REF!</v>
          </cell>
          <cell r="G22" t="e">
            <v>#REF!</v>
          </cell>
          <cell r="H22" t="e">
            <v>#REF!</v>
          </cell>
          <cell r="I22" t="e">
            <v>#REF!</v>
          </cell>
          <cell r="J22" t="e">
            <v>#REF!</v>
          </cell>
        </row>
        <row r="23">
          <cell r="A23" t="e">
            <v>#REF!</v>
          </cell>
          <cell r="B23" t="e">
            <v>#REF!</v>
          </cell>
          <cell r="C23" t="e">
            <v>#REF!</v>
          </cell>
          <cell r="D23" t="e">
            <v>#REF!</v>
          </cell>
          <cell r="E23" t="e">
            <v>#REF!</v>
          </cell>
          <cell r="F23" t="e">
            <v>#REF!</v>
          </cell>
          <cell r="G23" t="e">
            <v>#REF!</v>
          </cell>
          <cell r="H23" t="e">
            <v>#REF!</v>
          </cell>
          <cell r="I23" t="e">
            <v>#REF!</v>
          </cell>
          <cell r="J23" t="e">
            <v>#REF!</v>
          </cell>
        </row>
        <row r="24">
          <cell r="A24" t="e">
            <v>#REF!</v>
          </cell>
          <cell r="B24" t="e">
            <v>#REF!</v>
          </cell>
          <cell r="C24" t="e">
            <v>#REF!</v>
          </cell>
          <cell r="D24" t="e">
            <v>#REF!</v>
          </cell>
          <cell r="E24" t="e">
            <v>#REF!</v>
          </cell>
          <cell r="F24" t="e">
            <v>#REF!</v>
          </cell>
          <cell r="G24" t="e">
            <v>#REF!</v>
          </cell>
          <cell r="H24" t="e">
            <v>#REF!</v>
          </cell>
          <cell r="I24" t="e">
            <v>#REF!</v>
          </cell>
          <cell r="J24" t="e">
            <v>#REF!</v>
          </cell>
        </row>
        <row r="25">
          <cell r="A25" t="e">
            <v>#REF!</v>
          </cell>
          <cell r="B25" t="e">
            <v>#REF!</v>
          </cell>
          <cell r="C25" t="e">
            <v>#REF!</v>
          </cell>
          <cell r="D25" t="e">
            <v>#REF!</v>
          </cell>
          <cell r="E25" t="e">
            <v>#REF!</v>
          </cell>
          <cell r="F25" t="e">
            <v>#REF!</v>
          </cell>
          <cell r="G25" t="e">
            <v>#REF!</v>
          </cell>
          <cell r="H25" t="e">
            <v>#REF!</v>
          </cell>
          <cell r="I25" t="e">
            <v>#REF!</v>
          </cell>
          <cell r="J25" t="e">
            <v>#REF!</v>
          </cell>
        </row>
        <row r="26">
          <cell r="A26" t="e">
            <v>#REF!</v>
          </cell>
          <cell r="B26" t="e">
            <v>#REF!</v>
          </cell>
          <cell r="C26" t="e">
            <v>#REF!</v>
          </cell>
          <cell r="D26" t="e">
            <v>#REF!</v>
          </cell>
          <cell r="E26" t="e">
            <v>#REF!</v>
          </cell>
          <cell r="F26" t="e">
            <v>#REF!</v>
          </cell>
          <cell r="G26" t="e">
            <v>#REF!</v>
          </cell>
          <cell r="H26" t="e">
            <v>#REF!</v>
          </cell>
          <cell r="I26" t="e">
            <v>#REF!</v>
          </cell>
          <cell r="J26" t="e">
            <v>#REF!</v>
          </cell>
        </row>
        <row r="27">
          <cell r="A27" t="e">
            <v>#REF!</v>
          </cell>
          <cell r="B27" t="e">
            <v>#REF!</v>
          </cell>
          <cell r="C27" t="e">
            <v>#REF!</v>
          </cell>
          <cell r="D27" t="e">
            <v>#REF!</v>
          </cell>
          <cell r="E27" t="e">
            <v>#REF!</v>
          </cell>
          <cell r="F27" t="e">
            <v>#REF!</v>
          </cell>
          <cell r="G27" t="e">
            <v>#REF!</v>
          </cell>
          <cell r="H27" t="e">
            <v>#REF!</v>
          </cell>
          <cell r="I27" t="e">
            <v>#REF!</v>
          </cell>
          <cell r="J27" t="e">
            <v>#REF!</v>
          </cell>
        </row>
        <row r="28">
          <cell r="A28" t="e">
            <v>#REF!</v>
          </cell>
          <cell r="B28" t="e">
            <v>#REF!</v>
          </cell>
          <cell r="C28" t="e">
            <v>#REF!</v>
          </cell>
          <cell r="D28" t="e">
            <v>#REF!</v>
          </cell>
          <cell r="E28" t="e">
            <v>#REF!</v>
          </cell>
          <cell r="F28" t="e">
            <v>#REF!</v>
          </cell>
          <cell r="G28" t="e">
            <v>#REF!</v>
          </cell>
          <cell r="H28" t="e">
            <v>#REF!</v>
          </cell>
          <cell r="I28" t="e">
            <v>#REF!</v>
          </cell>
          <cell r="J28" t="e">
            <v>#REF!</v>
          </cell>
        </row>
        <row r="29">
          <cell r="A29" t="e">
            <v>#REF!</v>
          </cell>
          <cell r="B29" t="e">
            <v>#REF!</v>
          </cell>
          <cell r="C29" t="e">
            <v>#REF!</v>
          </cell>
          <cell r="D29" t="e">
            <v>#REF!</v>
          </cell>
          <cell r="E29" t="e">
            <v>#REF!</v>
          </cell>
          <cell r="F29" t="e">
            <v>#REF!</v>
          </cell>
          <cell r="G29" t="e">
            <v>#REF!</v>
          </cell>
          <cell r="H29" t="e">
            <v>#REF!</v>
          </cell>
          <cell r="I29" t="e">
            <v>#REF!</v>
          </cell>
          <cell r="J29" t="e">
            <v>#REF!</v>
          </cell>
        </row>
        <row r="30">
          <cell r="A30" t="e">
            <v>#REF!</v>
          </cell>
          <cell r="B30" t="e">
            <v>#REF!</v>
          </cell>
          <cell r="C30" t="e">
            <v>#REF!</v>
          </cell>
          <cell r="D30" t="e">
            <v>#REF!</v>
          </cell>
          <cell r="E30" t="e">
            <v>#REF!</v>
          </cell>
          <cell r="F30" t="e">
            <v>#REF!</v>
          </cell>
          <cell r="G30" t="e">
            <v>#REF!</v>
          </cell>
          <cell r="H30" t="e">
            <v>#REF!</v>
          </cell>
          <cell r="I30" t="e">
            <v>#REF!</v>
          </cell>
          <cell r="J30" t="e">
            <v>#REF!</v>
          </cell>
        </row>
        <row r="31">
          <cell r="A31" t="e">
            <v>#REF!</v>
          </cell>
          <cell r="B31" t="e">
            <v>#REF!</v>
          </cell>
          <cell r="C31" t="e">
            <v>#REF!</v>
          </cell>
          <cell r="D31" t="e">
            <v>#REF!</v>
          </cell>
          <cell r="E31" t="e">
            <v>#REF!</v>
          </cell>
          <cell r="F31" t="e">
            <v>#REF!</v>
          </cell>
          <cell r="G31" t="e">
            <v>#REF!</v>
          </cell>
          <cell r="H31" t="e">
            <v>#REF!</v>
          </cell>
          <cell r="I31" t="e">
            <v>#REF!</v>
          </cell>
          <cell r="J31" t="e">
            <v>#REF!</v>
          </cell>
        </row>
        <row r="32">
          <cell r="A32" t="e">
            <v>#REF!</v>
          </cell>
          <cell r="B32" t="e">
            <v>#REF!</v>
          </cell>
          <cell r="C32" t="e">
            <v>#REF!</v>
          </cell>
          <cell r="D32" t="e">
            <v>#REF!</v>
          </cell>
          <cell r="E32" t="e">
            <v>#REF!</v>
          </cell>
          <cell r="F32" t="e">
            <v>#REF!</v>
          </cell>
          <cell r="G32" t="e">
            <v>#REF!</v>
          </cell>
          <cell r="H32" t="e">
            <v>#REF!</v>
          </cell>
          <cell r="I32" t="e">
            <v>#REF!</v>
          </cell>
          <cell r="J32" t="e">
            <v>#REF!</v>
          </cell>
        </row>
        <row r="33">
          <cell r="A33" t="e">
            <v>#REF!</v>
          </cell>
          <cell r="B33" t="e">
            <v>#REF!</v>
          </cell>
          <cell r="C33" t="e">
            <v>#REF!</v>
          </cell>
          <cell r="D33" t="e">
            <v>#REF!</v>
          </cell>
          <cell r="E33" t="e">
            <v>#REF!</v>
          </cell>
          <cell r="F33" t="e">
            <v>#REF!</v>
          </cell>
          <cell r="G33" t="e">
            <v>#REF!</v>
          </cell>
          <cell r="H33" t="e">
            <v>#REF!</v>
          </cell>
          <cell r="I33" t="e">
            <v>#REF!</v>
          </cell>
          <cell r="J33" t="e">
            <v>#REF!</v>
          </cell>
        </row>
        <row r="34">
          <cell r="A34" t="e">
            <v>#REF!</v>
          </cell>
          <cell r="B34" t="e">
            <v>#REF!</v>
          </cell>
          <cell r="C34" t="e">
            <v>#REF!</v>
          </cell>
          <cell r="D34" t="e">
            <v>#REF!</v>
          </cell>
          <cell r="E34" t="e">
            <v>#REF!</v>
          </cell>
          <cell r="F34" t="e">
            <v>#REF!</v>
          </cell>
          <cell r="G34" t="e">
            <v>#REF!</v>
          </cell>
          <cell r="H34" t="e">
            <v>#REF!</v>
          </cell>
          <cell r="I34" t="e">
            <v>#REF!</v>
          </cell>
          <cell r="J34" t="e">
            <v>#REF!</v>
          </cell>
        </row>
        <row r="35">
          <cell r="A35" t="e">
            <v>#REF!</v>
          </cell>
          <cell r="B35" t="e">
            <v>#REF!</v>
          </cell>
          <cell r="C35" t="e">
            <v>#REF!</v>
          </cell>
          <cell r="D35" t="e">
            <v>#REF!</v>
          </cell>
          <cell r="E35" t="e">
            <v>#REF!</v>
          </cell>
          <cell r="F35" t="e">
            <v>#REF!</v>
          </cell>
          <cell r="G35" t="e">
            <v>#REF!</v>
          </cell>
          <cell r="H35" t="e">
            <v>#REF!</v>
          </cell>
          <cell r="I35" t="e">
            <v>#REF!</v>
          </cell>
          <cell r="J35" t="e">
            <v>#REF!</v>
          </cell>
        </row>
        <row r="36">
          <cell r="A36" t="e">
            <v>#REF!</v>
          </cell>
          <cell r="B36" t="e">
            <v>#REF!</v>
          </cell>
          <cell r="C36" t="e">
            <v>#REF!</v>
          </cell>
          <cell r="D36" t="e">
            <v>#REF!</v>
          </cell>
          <cell r="E36" t="e">
            <v>#REF!</v>
          </cell>
          <cell r="F36" t="e">
            <v>#REF!</v>
          </cell>
          <cell r="G36" t="e">
            <v>#REF!</v>
          </cell>
          <cell r="H36" t="e">
            <v>#REF!</v>
          </cell>
          <cell r="I36" t="e">
            <v>#REF!</v>
          </cell>
          <cell r="J36" t="e">
            <v>#REF!</v>
          </cell>
        </row>
        <row r="37">
          <cell r="A37" t="e">
            <v>#REF!</v>
          </cell>
          <cell r="B37" t="e">
            <v>#REF!</v>
          </cell>
          <cell r="C37" t="e">
            <v>#REF!</v>
          </cell>
          <cell r="D37" t="e">
            <v>#REF!</v>
          </cell>
          <cell r="E37" t="e">
            <v>#REF!</v>
          </cell>
          <cell r="F37" t="e">
            <v>#REF!</v>
          </cell>
          <cell r="G37" t="e">
            <v>#REF!</v>
          </cell>
          <cell r="H37" t="e">
            <v>#REF!</v>
          </cell>
          <cell r="I37" t="e">
            <v>#REF!</v>
          </cell>
          <cell r="J37" t="e">
            <v>#REF!</v>
          </cell>
        </row>
        <row r="38">
          <cell r="A38" t="e">
            <v>#REF!</v>
          </cell>
          <cell r="B38" t="e">
            <v>#REF!</v>
          </cell>
          <cell r="C38" t="e">
            <v>#REF!</v>
          </cell>
          <cell r="D38" t="e">
            <v>#REF!</v>
          </cell>
          <cell r="E38" t="e">
            <v>#REF!</v>
          </cell>
          <cell r="F38" t="e">
            <v>#REF!</v>
          </cell>
          <cell r="G38" t="e">
            <v>#REF!</v>
          </cell>
          <cell r="H38" t="e">
            <v>#REF!</v>
          </cell>
          <cell r="I38" t="e">
            <v>#REF!</v>
          </cell>
          <cell r="J38" t="e">
            <v>#REF!</v>
          </cell>
        </row>
        <row r="39">
          <cell r="A39" t="e">
            <v>#REF!</v>
          </cell>
          <cell r="B39" t="e">
            <v>#REF!</v>
          </cell>
          <cell r="C39" t="e">
            <v>#REF!</v>
          </cell>
          <cell r="D39" t="e">
            <v>#REF!</v>
          </cell>
          <cell r="E39" t="e">
            <v>#REF!</v>
          </cell>
          <cell r="F39" t="e">
            <v>#REF!</v>
          </cell>
          <cell r="G39" t="e">
            <v>#REF!</v>
          </cell>
          <cell r="H39" t="e">
            <v>#REF!</v>
          </cell>
          <cell r="I39" t="e">
            <v>#REF!</v>
          </cell>
          <cell r="J39" t="e">
            <v>#REF!</v>
          </cell>
        </row>
        <row r="40">
          <cell r="A40" t="e">
            <v>#REF!</v>
          </cell>
          <cell r="B40" t="e">
            <v>#REF!</v>
          </cell>
          <cell r="C40" t="e">
            <v>#REF!</v>
          </cell>
          <cell r="D40" t="e">
            <v>#REF!</v>
          </cell>
          <cell r="E40" t="e">
            <v>#REF!</v>
          </cell>
          <cell r="F40" t="e">
            <v>#REF!</v>
          </cell>
          <cell r="G40" t="e">
            <v>#REF!</v>
          </cell>
          <cell r="H40" t="e">
            <v>#REF!</v>
          </cell>
          <cell r="I40" t="e">
            <v>#REF!</v>
          </cell>
          <cell r="J40" t="e">
            <v>#REF!</v>
          </cell>
        </row>
        <row r="41">
          <cell r="A41" t="e">
            <v>#REF!</v>
          </cell>
          <cell r="B41" t="e">
            <v>#REF!</v>
          </cell>
          <cell r="C41" t="e">
            <v>#REF!</v>
          </cell>
          <cell r="D41" t="e">
            <v>#REF!</v>
          </cell>
          <cell r="E41" t="e">
            <v>#REF!</v>
          </cell>
          <cell r="F41" t="e">
            <v>#REF!</v>
          </cell>
          <cell r="G41" t="e">
            <v>#REF!</v>
          </cell>
          <cell r="H41" t="e">
            <v>#REF!</v>
          </cell>
          <cell r="I41" t="e">
            <v>#REF!</v>
          </cell>
          <cell r="J41" t="e">
            <v>#REF!</v>
          </cell>
        </row>
        <row r="42">
          <cell r="A42" t="e">
            <v>#REF!</v>
          </cell>
          <cell r="B42" t="e">
            <v>#REF!</v>
          </cell>
          <cell r="C42" t="e">
            <v>#REF!</v>
          </cell>
          <cell r="D42" t="e">
            <v>#REF!</v>
          </cell>
          <cell r="E42" t="e">
            <v>#REF!</v>
          </cell>
          <cell r="F42" t="e">
            <v>#REF!</v>
          </cell>
          <cell r="G42" t="e">
            <v>#REF!</v>
          </cell>
          <cell r="H42" t="e">
            <v>#REF!</v>
          </cell>
          <cell r="I42" t="e">
            <v>#REF!</v>
          </cell>
          <cell r="J42" t="e">
            <v>#REF!</v>
          </cell>
        </row>
        <row r="43">
          <cell r="A43" t="e">
            <v>#REF!</v>
          </cell>
          <cell r="B43" t="e">
            <v>#REF!</v>
          </cell>
          <cell r="C43" t="e">
            <v>#REF!</v>
          </cell>
          <cell r="D43" t="e">
            <v>#REF!</v>
          </cell>
          <cell r="E43" t="e">
            <v>#REF!</v>
          </cell>
          <cell r="F43" t="e">
            <v>#REF!</v>
          </cell>
          <cell r="G43" t="e">
            <v>#REF!</v>
          </cell>
          <cell r="H43" t="e">
            <v>#REF!</v>
          </cell>
          <cell r="I43" t="e">
            <v>#REF!</v>
          </cell>
          <cell r="J43" t="e">
            <v>#REF!</v>
          </cell>
        </row>
        <row r="44">
          <cell r="A44" t="e">
            <v>#REF!</v>
          </cell>
          <cell r="B44" t="e">
            <v>#REF!</v>
          </cell>
          <cell r="C44" t="e">
            <v>#REF!</v>
          </cell>
          <cell r="D44" t="e">
            <v>#REF!</v>
          </cell>
          <cell r="E44" t="e">
            <v>#REF!</v>
          </cell>
          <cell r="F44" t="e">
            <v>#REF!</v>
          </cell>
          <cell r="G44" t="e">
            <v>#REF!</v>
          </cell>
          <cell r="H44" t="e">
            <v>#REF!</v>
          </cell>
          <cell r="I44" t="e">
            <v>#REF!</v>
          </cell>
          <cell r="J44" t="e">
            <v>#REF!</v>
          </cell>
        </row>
        <row r="45">
          <cell r="A45" t="e">
            <v>#REF!</v>
          </cell>
          <cell r="B45" t="e">
            <v>#REF!</v>
          </cell>
          <cell r="C45" t="e">
            <v>#REF!</v>
          </cell>
          <cell r="D45" t="e">
            <v>#REF!</v>
          </cell>
          <cell r="E45" t="e">
            <v>#REF!</v>
          </cell>
          <cell r="F45" t="e">
            <v>#REF!</v>
          </cell>
          <cell r="G45" t="e">
            <v>#REF!</v>
          </cell>
          <cell r="H45" t="e">
            <v>#REF!</v>
          </cell>
          <cell r="I45" t="e">
            <v>#REF!</v>
          </cell>
          <cell r="J45" t="e">
            <v>#REF!</v>
          </cell>
        </row>
        <row r="46">
          <cell r="A46" t="e">
            <v>#REF!</v>
          </cell>
          <cell r="B46" t="e">
            <v>#REF!</v>
          </cell>
          <cell r="C46" t="e">
            <v>#REF!</v>
          </cell>
          <cell r="D46" t="e">
            <v>#REF!</v>
          </cell>
          <cell r="E46" t="e">
            <v>#REF!</v>
          </cell>
          <cell r="F46" t="e">
            <v>#REF!</v>
          </cell>
          <cell r="G46" t="e">
            <v>#REF!</v>
          </cell>
          <cell r="H46" t="e">
            <v>#REF!</v>
          </cell>
          <cell r="I46" t="e">
            <v>#REF!</v>
          </cell>
          <cell r="J46" t="e">
            <v>#REF!</v>
          </cell>
        </row>
        <row r="47">
          <cell r="A47" t="e">
            <v>#REF!</v>
          </cell>
          <cell r="B47" t="e">
            <v>#REF!</v>
          </cell>
          <cell r="C47" t="e">
            <v>#REF!</v>
          </cell>
          <cell r="D47" t="e">
            <v>#REF!</v>
          </cell>
          <cell r="E47" t="e">
            <v>#REF!</v>
          </cell>
          <cell r="F47" t="e">
            <v>#REF!</v>
          </cell>
          <cell r="G47" t="e">
            <v>#REF!</v>
          </cell>
          <cell r="H47" t="e">
            <v>#REF!</v>
          </cell>
          <cell r="I47" t="e">
            <v>#REF!</v>
          </cell>
          <cell r="J47" t="e">
            <v>#REF!</v>
          </cell>
        </row>
        <row r="48">
          <cell r="A48" t="e">
            <v>#REF!</v>
          </cell>
          <cell r="B48" t="e">
            <v>#REF!</v>
          </cell>
          <cell r="C48" t="e">
            <v>#REF!</v>
          </cell>
          <cell r="D48" t="e">
            <v>#REF!</v>
          </cell>
          <cell r="E48" t="e">
            <v>#REF!</v>
          </cell>
          <cell r="F48" t="e">
            <v>#REF!</v>
          </cell>
          <cell r="G48" t="e">
            <v>#REF!</v>
          </cell>
          <cell r="H48" t="e">
            <v>#REF!</v>
          </cell>
          <cell r="I48" t="e">
            <v>#REF!</v>
          </cell>
          <cell r="J48" t="e">
            <v>#REF!</v>
          </cell>
        </row>
        <row r="49">
          <cell r="A49" t="e">
            <v>#REF!</v>
          </cell>
          <cell r="B49" t="e">
            <v>#REF!</v>
          </cell>
          <cell r="C49" t="e">
            <v>#REF!</v>
          </cell>
          <cell r="D49" t="e">
            <v>#REF!</v>
          </cell>
          <cell r="E49" t="e">
            <v>#REF!</v>
          </cell>
          <cell r="F49" t="e">
            <v>#REF!</v>
          </cell>
          <cell r="G49" t="e">
            <v>#REF!</v>
          </cell>
          <cell r="H49" t="e">
            <v>#REF!</v>
          </cell>
          <cell r="I49" t="e">
            <v>#REF!</v>
          </cell>
          <cell r="J49" t="e">
            <v>#REF!</v>
          </cell>
        </row>
        <row r="50">
          <cell r="A50" t="e">
            <v>#REF!</v>
          </cell>
          <cell r="B50" t="e">
            <v>#REF!</v>
          </cell>
          <cell r="C50" t="e">
            <v>#REF!</v>
          </cell>
          <cell r="D50" t="e">
            <v>#REF!</v>
          </cell>
          <cell r="E50" t="e">
            <v>#REF!</v>
          </cell>
          <cell r="F50" t="e">
            <v>#REF!</v>
          </cell>
          <cell r="G50" t="e">
            <v>#REF!</v>
          </cell>
          <cell r="H50" t="e">
            <v>#REF!</v>
          </cell>
          <cell r="I50" t="e">
            <v>#REF!</v>
          </cell>
          <cell r="J50" t="e">
            <v>#REF!</v>
          </cell>
        </row>
        <row r="51">
          <cell r="A51" t="e">
            <v>#REF!</v>
          </cell>
          <cell r="B51" t="e">
            <v>#REF!</v>
          </cell>
          <cell r="C51" t="e">
            <v>#REF!</v>
          </cell>
          <cell r="D51" t="e">
            <v>#REF!</v>
          </cell>
          <cell r="E51" t="e">
            <v>#REF!</v>
          </cell>
          <cell r="F51" t="e">
            <v>#REF!</v>
          </cell>
          <cell r="G51" t="e">
            <v>#REF!</v>
          </cell>
          <cell r="H51" t="e">
            <v>#REF!</v>
          </cell>
          <cell r="I51" t="e">
            <v>#REF!</v>
          </cell>
          <cell r="J51" t="e">
            <v>#REF!</v>
          </cell>
        </row>
        <row r="52">
          <cell r="A52" t="e">
            <v>#REF!</v>
          </cell>
          <cell r="B52" t="e">
            <v>#REF!</v>
          </cell>
          <cell r="C52" t="e">
            <v>#REF!</v>
          </cell>
          <cell r="D52" t="e">
            <v>#REF!</v>
          </cell>
          <cell r="E52" t="e">
            <v>#REF!</v>
          </cell>
          <cell r="F52" t="e">
            <v>#REF!</v>
          </cell>
          <cell r="G52" t="e">
            <v>#REF!</v>
          </cell>
          <cell r="H52" t="e">
            <v>#REF!</v>
          </cell>
          <cell r="I52" t="e">
            <v>#REF!</v>
          </cell>
          <cell r="J52" t="e">
            <v>#REF!</v>
          </cell>
        </row>
        <row r="53">
          <cell r="A53" t="e">
            <v>#REF!</v>
          </cell>
          <cell r="B53" t="e">
            <v>#REF!</v>
          </cell>
          <cell r="C53" t="e">
            <v>#REF!</v>
          </cell>
          <cell r="D53" t="e">
            <v>#REF!</v>
          </cell>
          <cell r="E53" t="e">
            <v>#REF!</v>
          </cell>
          <cell r="F53" t="e">
            <v>#REF!</v>
          </cell>
          <cell r="G53" t="e">
            <v>#REF!</v>
          </cell>
          <cell r="H53" t="e">
            <v>#REF!</v>
          </cell>
          <cell r="I53" t="e">
            <v>#REF!</v>
          </cell>
          <cell r="J53" t="e">
            <v>#REF!</v>
          </cell>
        </row>
        <row r="54">
          <cell r="A54" t="e">
            <v>#REF!</v>
          </cell>
          <cell r="B54" t="e">
            <v>#REF!</v>
          </cell>
          <cell r="C54" t="e">
            <v>#REF!</v>
          </cell>
          <cell r="D54" t="e">
            <v>#REF!</v>
          </cell>
          <cell r="E54" t="e">
            <v>#REF!</v>
          </cell>
          <cell r="F54" t="e">
            <v>#REF!</v>
          </cell>
          <cell r="G54" t="e">
            <v>#REF!</v>
          </cell>
          <cell r="H54" t="e">
            <v>#REF!</v>
          </cell>
          <cell r="I54" t="e">
            <v>#REF!</v>
          </cell>
          <cell r="J54" t="e">
            <v>#REF!</v>
          </cell>
        </row>
        <row r="55">
          <cell r="A55" t="e">
            <v>#REF!</v>
          </cell>
          <cell r="B55" t="e">
            <v>#REF!</v>
          </cell>
          <cell r="C55" t="e">
            <v>#REF!</v>
          </cell>
          <cell r="D55" t="e">
            <v>#REF!</v>
          </cell>
          <cell r="E55" t="e">
            <v>#REF!</v>
          </cell>
          <cell r="F55" t="e">
            <v>#REF!</v>
          </cell>
          <cell r="G55" t="e">
            <v>#REF!</v>
          </cell>
          <cell r="H55" t="e">
            <v>#REF!</v>
          </cell>
          <cell r="I55" t="e">
            <v>#REF!</v>
          </cell>
          <cell r="J55" t="e">
            <v>#REF!</v>
          </cell>
        </row>
        <row r="56">
          <cell r="A56" t="e">
            <v>#REF!</v>
          </cell>
          <cell r="B56" t="e">
            <v>#REF!</v>
          </cell>
          <cell r="C56" t="e">
            <v>#REF!</v>
          </cell>
          <cell r="D56" t="e">
            <v>#REF!</v>
          </cell>
          <cell r="E56" t="e">
            <v>#REF!</v>
          </cell>
          <cell r="F56" t="e">
            <v>#REF!</v>
          </cell>
          <cell r="G56" t="e">
            <v>#REF!</v>
          </cell>
          <cell r="H56" t="e">
            <v>#REF!</v>
          </cell>
          <cell r="I56" t="e">
            <v>#REF!</v>
          </cell>
          <cell r="J56" t="e">
            <v>#REF!</v>
          </cell>
        </row>
        <row r="57">
          <cell r="A57" t="e">
            <v>#REF!</v>
          </cell>
          <cell r="B57" t="e">
            <v>#REF!</v>
          </cell>
          <cell r="C57" t="e">
            <v>#REF!</v>
          </cell>
          <cell r="D57" t="e">
            <v>#REF!</v>
          </cell>
          <cell r="E57" t="e">
            <v>#REF!</v>
          </cell>
          <cell r="F57" t="e">
            <v>#REF!</v>
          </cell>
          <cell r="G57" t="e">
            <v>#REF!</v>
          </cell>
          <cell r="H57" t="e">
            <v>#REF!</v>
          </cell>
          <cell r="I57" t="e">
            <v>#REF!</v>
          </cell>
          <cell r="J57" t="e">
            <v>#REF!</v>
          </cell>
        </row>
        <row r="58">
          <cell r="A58" t="e">
            <v>#REF!</v>
          </cell>
          <cell r="B58" t="e">
            <v>#REF!</v>
          </cell>
          <cell r="C58" t="e">
            <v>#REF!</v>
          </cell>
          <cell r="D58" t="e">
            <v>#REF!</v>
          </cell>
          <cell r="E58" t="e">
            <v>#REF!</v>
          </cell>
          <cell r="F58" t="e">
            <v>#REF!</v>
          </cell>
          <cell r="G58" t="e">
            <v>#REF!</v>
          </cell>
          <cell r="H58" t="e">
            <v>#REF!</v>
          </cell>
          <cell r="I58" t="e">
            <v>#REF!</v>
          </cell>
          <cell r="J58" t="e">
            <v>#REF!</v>
          </cell>
        </row>
        <row r="59">
          <cell r="A59" t="e">
            <v>#REF!</v>
          </cell>
          <cell r="B59" t="e">
            <v>#REF!</v>
          </cell>
          <cell r="C59" t="e">
            <v>#REF!</v>
          </cell>
          <cell r="D59" t="e">
            <v>#REF!</v>
          </cell>
          <cell r="E59" t="e">
            <v>#REF!</v>
          </cell>
          <cell r="F59" t="e">
            <v>#REF!</v>
          </cell>
          <cell r="G59" t="e">
            <v>#REF!</v>
          </cell>
          <cell r="H59" t="e">
            <v>#REF!</v>
          </cell>
          <cell r="I59" t="e">
            <v>#REF!</v>
          </cell>
          <cell r="J59" t="e">
            <v>#REF!</v>
          </cell>
        </row>
        <row r="60">
          <cell r="A60" t="e">
            <v>#REF!</v>
          </cell>
          <cell r="B60" t="e">
            <v>#REF!</v>
          </cell>
          <cell r="C60" t="e">
            <v>#REF!</v>
          </cell>
          <cell r="D60" t="e">
            <v>#REF!</v>
          </cell>
          <cell r="E60" t="e">
            <v>#REF!</v>
          </cell>
          <cell r="F60" t="e">
            <v>#REF!</v>
          </cell>
          <cell r="G60" t="e">
            <v>#REF!</v>
          </cell>
          <cell r="H60" t="e">
            <v>#REF!</v>
          </cell>
          <cell r="I60" t="e">
            <v>#REF!</v>
          </cell>
          <cell r="J60" t="e">
            <v>#REF!</v>
          </cell>
        </row>
        <row r="61">
          <cell r="A61" t="e">
            <v>#REF!</v>
          </cell>
          <cell r="B61" t="e">
            <v>#REF!</v>
          </cell>
          <cell r="C61" t="e">
            <v>#REF!</v>
          </cell>
          <cell r="D61" t="e">
            <v>#REF!</v>
          </cell>
          <cell r="E61" t="e">
            <v>#REF!</v>
          </cell>
          <cell r="F61" t="e">
            <v>#REF!</v>
          </cell>
          <cell r="G61" t="e">
            <v>#REF!</v>
          </cell>
          <cell r="H61" t="e">
            <v>#REF!</v>
          </cell>
          <cell r="I61" t="e">
            <v>#REF!</v>
          </cell>
          <cell r="J61" t="e">
            <v>#REF!</v>
          </cell>
        </row>
        <row r="62">
          <cell r="A62" t="e">
            <v>#REF!</v>
          </cell>
          <cell r="B62" t="e">
            <v>#REF!</v>
          </cell>
          <cell r="C62" t="e">
            <v>#REF!</v>
          </cell>
          <cell r="D62" t="e">
            <v>#REF!</v>
          </cell>
          <cell r="E62" t="e">
            <v>#REF!</v>
          </cell>
          <cell r="F62" t="e">
            <v>#REF!</v>
          </cell>
          <cell r="G62" t="e">
            <v>#REF!</v>
          </cell>
          <cell r="H62" t="e">
            <v>#REF!</v>
          </cell>
          <cell r="I62" t="e">
            <v>#REF!</v>
          </cell>
          <cell r="J62" t="e">
            <v>#REF!</v>
          </cell>
        </row>
        <row r="63">
          <cell r="A63" t="e">
            <v>#REF!</v>
          </cell>
          <cell r="B63" t="e">
            <v>#REF!</v>
          </cell>
          <cell r="C63" t="e">
            <v>#REF!</v>
          </cell>
          <cell r="D63" t="e">
            <v>#REF!</v>
          </cell>
          <cell r="E63" t="e">
            <v>#REF!</v>
          </cell>
          <cell r="F63" t="e">
            <v>#REF!</v>
          </cell>
          <cell r="G63" t="e">
            <v>#REF!</v>
          </cell>
          <cell r="H63" t="e">
            <v>#REF!</v>
          </cell>
          <cell r="I63" t="e">
            <v>#REF!</v>
          </cell>
          <cell r="J63" t="e">
            <v>#REF!</v>
          </cell>
        </row>
        <row r="64">
          <cell r="A64" t="e">
            <v>#REF!</v>
          </cell>
          <cell r="B64" t="e">
            <v>#REF!</v>
          </cell>
          <cell r="C64" t="e">
            <v>#REF!</v>
          </cell>
          <cell r="D64" t="e">
            <v>#REF!</v>
          </cell>
          <cell r="E64" t="e">
            <v>#REF!</v>
          </cell>
          <cell r="F64" t="e">
            <v>#REF!</v>
          </cell>
          <cell r="G64" t="e">
            <v>#REF!</v>
          </cell>
          <cell r="H64" t="e">
            <v>#REF!</v>
          </cell>
          <cell r="I64" t="e">
            <v>#REF!</v>
          </cell>
          <cell r="J64" t="e">
            <v>#REF!</v>
          </cell>
        </row>
        <row r="65">
          <cell r="A65" t="e">
            <v>#REF!</v>
          </cell>
          <cell r="B65" t="e">
            <v>#REF!</v>
          </cell>
          <cell r="C65" t="e">
            <v>#REF!</v>
          </cell>
          <cell r="D65" t="e">
            <v>#REF!</v>
          </cell>
          <cell r="E65" t="e">
            <v>#REF!</v>
          </cell>
          <cell r="F65" t="e">
            <v>#REF!</v>
          </cell>
          <cell r="G65" t="e">
            <v>#REF!</v>
          </cell>
          <cell r="H65" t="e">
            <v>#REF!</v>
          </cell>
          <cell r="I65" t="e">
            <v>#REF!</v>
          </cell>
          <cell r="J65" t="e">
            <v>#REF!</v>
          </cell>
        </row>
        <row r="66">
          <cell r="A66" t="e">
            <v>#REF!</v>
          </cell>
          <cell r="B66" t="e">
            <v>#REF!</v>
          </cell>
          <cell r="C66" t="e">
            <v>#REF!</v>
          </cell>
          <cell r="D66" t="e">
            <v>#REF!</v>
          </cell>
          <cell r="E66" t="e">
            <v>#REF!</v>
          </cell>
          <cell r="F66" t="e">
            <v>#REF!</v>
          </cell>
          <cell r="G66" t="e">
            <v>#REF!</v>
          </cell>
          <cell r="H66" t="e">
            <v>#REF!</v>
          </cell>
          <cell r="I66" t="e">
            <v>#REF!</v>
          </cell>
          <cell r="J66" t="e">
            <v>#REF!</v>
          </cell>
        </row>
        <row r="67">
          <cell r="A67" t="e">
            <v>#REF!</v>
          </cell>
          <cell r="B67" t="e">
            <v>#REF!</v>
          </cell>
          <cell r="C67" t="e">
            <v>#REF!</v>
          </cell>
          <cell r="D67" t="e">
            <v>#REF!</v>
          </cell>
          <cell r="E67" t="e">
            <v>#REF!</v>
          </cell>
          <cell r="F67" t="e">
            <v>#REF!</v>
          </cell>
          <cell r="G67" t="e">
            <v>#REF!</v>
          </cell>
          <cell r="H67" t="e">
            <v>#REF!</v>
          </cell>
          <cell r="I67" t="e">
            <v>#REF!</v>
          </cell>
          <cell r="J67" t="e">
            <v>#REF!</v>
          </cell>
        </row>
        <row r="68">
          <cell r="A68" t="e">
            <v>#REF!</v>
          </cell>
          <cell r="B68" t="e">
            <v>#REF!</v>
          </cell>
          <cell r="C68" t="e">
            <v>#REF!</v>
          </cell>
          <cell r="D68" t="e">
            <v>#REF!</v>
          </cell>
          <cell r="E68" t="e">
            <v>#REF!</v>
          </cell>
          <cell r="F68" t="e">
            <v>#REF!</v>
          </cell>
          <cell r="G68" t="e">
            <v>#REF!</v>
          </cell>
          <cell r="H68" t="e">
            <v>#REF!</v>
          </cell>
          <cell r="I68" t="e">
            <v>#REF!</v>
          </cell>
          <cell r="J68" t="e">
            <v>#REF!</v>
          </cell>
        </row>
        <row r="69">
          <cell r="A69" t="e">
            <v>#REF!</v>
          </cell>
          <cell r="B69" t="e">
            <v>#REF!</v>
          </cell>
          <cell r="C69" t="e">
            <v>#REF!</v>
          </cell>
          <cell r="D69" t="e">
            <v>#REF!</v>
          </cell>
          <cell r="E69" t="e">
            <v>#REF!</v>
          </cell>
          <cell r="F69" t="e">
            <v>#REF!</v>
          </cell>
          <cell r="G69" t="e">
            <v>#REF!</v>
          </cell>
          <cell r="H69" t="e">
            <v>#REF!</v>
          </cell>
          <cell r="I69" t="e">
            <v>#REF!</v>
          </cell>
          <cell r="J69" t="e">
            <v>#REF!</v>
          </cell>
        </row>
        <row r="70">
          <cell r="A70" t="e">
            <v>#REF!</v>
          </cell>
          <cell r="B70" t="e">
            <v>#REF!</v>
          </cell>
          <cell r="C70" t="e">
            <v>#REF!</v>
          </cell>
          <cell r="D70" t="e">
            <v>#REF!</v>
          </cell>
          <cell r="E70" t="e">
            <v>#REF!</v>
          </cell>
          <cell r="F70" t="e">
            <v>#REF!</v>
          </cell>
          <cell r="G70" t="e">
            <v>#REF!</v>
          </cell>
          <cell r="H70" t="e">
            <v>#REF!</v>
          </cell>
          <cell r="I70" t="e">
            <v>#REF!</v>
          </cell>
          <cell r="J70" t="e">
            <v>#REF!</v>
          </cell>
        </row>
        <row r="71">
          <cell r="A71" t="e">
            <v>#REF!</v>
          </cell>
          <cell r="B71" t="e">
            <v>#REF!</v>
          </cell>
          <cell r="C71" t="e">
            <v>#REF!</v>
          </cell>
          <cell r="D71" t="e">
            <v>#REF!</v>
          </cell>
          <cell r="E71" t="e">
            <v>#REF!</v>
          </cell>
          <cell r="F71" t="e">
            <v>#REF!</v>
          </cell>
          <cell r="G71" t="e">
            <v>#REF!</v>
          </cell>
          <cell r="H71" t="e">
            <v>#REF!</v>
          </cell>
          <cell r="I71" t="e">
            <v>#REF!</v>
          </cell>
          <cell r="J71" t="e">
            <v>#REF!</v>
          </cell>
        </row>
        <row r="72">
          <cell r="A72" t="e">
            <v>#REF!</v>
          </cell>
          <cell r="B72" t="e">
            <v>#REF!</v>
          </cell>
          <cell r="C72" t="e">
            <v>#REF!</v>
          </cell>
          <cell r="D72" t="e">
            <v>#REF!</v>
          </cell>
          <cell r="E72" t="e">
            <v>#REF!</v>
          </cell>
          <cell r="F72" t="e">
            <v>#REF!</v>
          </cell>
          <cell r="G72" t="e">
            <v>#REF!</v>
          </cell>
          <cell r="H72" t="e">
            <v>#REF!</v>
          </cell>
          <cell r="I72" t="e">
            <v>#REF!</v>
          </cell>
          <cell r="J72" t="e">
            <v>#REF!</v>
          </cell>
        </row>
        <row r="73">
          <cell r="A73" t="e">
            <v>#REF!</v>
          </cell>
          <cell r="B73" t="e">
            <v>#REF!</v>
          </cell>
          <cell r="C73" t="e">
            <v>#REF!</v>
          </cell>
          <cell r="D73" t="e">
            <v>#REF!</v>
          </cell>
          <cell r="E73" t="e">
            <v>#REF!</v>
          </cell>
          <cell r="F73" t="e">
            <v>#REF!</v>
          </cell>
          <cell r="G73" t="e">
            <v>#REF!</v>
          </cell>
          <cell r="H73" t="e">
            <v>#REF!</v>
          </cell>
          <cell r="I73" t="e">
            <v>#REF!</v>
          </cell>
          <cell r="J73" t="e">
            <v>#REF!</v>
          </cell>
        </row>
        <row r="74">
          <cell r="A74" t="e">
            <v>#REF!</v>
          </cell>
          <cell r="B74" t="e">
            <v>#REF!</v>
          </cell>
          <cell r="C74" t="e">
            <v>#REF!</v>
          </cell>
          <cell r="D74" t="e">
            <v>#REF!</v>
          </cell>
          <cell r="E74" t="e">
            <v>#REF!</v>
          </cell>
          <cell r="F74" t="e">
            <v>#REF!</v>
          </cell>
          <cell r="G74" t="e">
            <v>#REF!</v>
          </cell>
          <cell r="H74" t="e">
            <v>#REF!</v>
          </cell>
          <cell r="I74" t="e">
            <v>#REF!</v>
          </cell>
          <cell r="J74" t="e">
            <v>#REF!</v>
          </cell>
        </row>
        <row r="75">
          <cell r="A75" t="e">
            <v>#REF!</v>
          </cell>
          <cell r="B75" t="e">
            <v>#REF!</v>
          </cell>
          <cell r="C75" t="e">
            <v>#REF!</v>
          </cell>
          <cell r="D75" t="e">
            <v>#REF!</v>
          </cell>
          <cell r="E75" t="e">
            <v>#REF!</v>
          </cell>
          <cell r="F75" t="e">
            <v>#REF!</v>
          </cell>
          <cell r="G75" t="e">
            <v>#REF!</v>
          </cell>
          <cell r="H75" t="e">
            <v>#REF!</v>
          </cell>
          <cell r="I75" t="e">
            <v>#REF!</v>
          </cell>
          <cell r="J75" t="e">
            <v>#REF!</v>
          </cell>
        </row>
        <row r="76">
          <cell r="A76" t="e">
            <v>#REF!</v>
          </cell>
          <cell r="B76" t="e">
            <v>#REF!</v>
          </cell>
          <cell r="C76" t="e">
            <v>#REF!</v>
          </cell>
          <cell r="D76" t="e">
            <v>#REF!</v>
          </cell>
          <cell r="E76" t="e">
            <v>#REF!</v>
          </cell>
          <cell r="F76" t="e">
            <v>#REF!</v>
          </cell>
          <cell r="G76" t="e">
            <v>#REF!</v>
          </cell>
          <cell r="H76" t="e">
            <v>#REF!</v>
          </cell>
          <cell r="I76" t="e">
            <v>#REF!</v>
          </cell>
          <cell r="J76" t="e">
            <v>#REF!</v>
          </cell>
        </row>
        <row r="77">
          <cell r="A77" t="e">
            <v>#REF!</v>
          </cell>
          <cell r="B77" t="e">
            <v>#REF!</v>
          </cell>
          <cell r="C77" t="e">
            <v>#REF!</v>
          </cell>
          <cell r="D77" t="e">
            <v>#REF!</v>
          </cell>
          <cell r="E77" t="e">
            <v>#REF!</v>
          </cell>
          <cell r="F77" t="e">
            <v>#REF!</v>
          </cell>
          <cell r="G77" t="e">
            <v>#REF!</v>
          </cell>
          <cell r="H77" t="e">
            <v>#REF!</v>
          </cell>
          <cell r="I77" t="e">
            <v>#REF!</v>
          </cell>
          <cell r="J77" t="e">
            <v>#REF!</v>
          </cell>
        </row>
        <row r="78">
          <cell r="A78" t="e">
            <v>#REF!</v>
          </cell>
          <cell r="B78" t="e">
            <v>#REF!</v>
          </cell>
          <cell r="C78" t="e">
            <v>#REF!</v>
          </cell>
          <cell r="D78" t="e">
            <v>#REF!</v>
          </cell>
          <cell r="E78" t="e">
            <v>#REF!</v>
          </cell>
          <cell r="F78" t="e">
            <v>#REF!</v>
          </cell>
          <cell r="G78" t="e">
            <v>#REF!</v>
          </cell>
          <cell r="H78" t="e">
            <v>#REF!</v>
          </cell>
          <cell r="I78" t="e">
            <v>#REF!</v>
          </cell>
          <cell r="J78" t="e">
            <v>#REF!</v>
          </cell>
        </row>
        <row r="79">
          <cell r="A79" t="e">
            <v>#REF!</v>
          </cell>
          <cell r="B79" t="e">
            <v>#REF!</v>
          </cell>
          <cell r="C79" t="e">
            <v>#REF!</v>
          </cell>
          <cell r="D79" t="e">
            <v>#REF!</v>
          </cell>
          <cell r="E79" t="e">
            <v>#REF!</v>
          </cell>
          <cell r="F79" t="e">
            <v>#REF!</v>
          </cell>
          <cell r="G79" t="e">
            <v>#REF!</v>
          </cell>
          <cell r="H79" t="e">
            <v>#REF!</v>
          </cell>
          <cell r="I79" t="e">
            <v>#REF!</v>
          </cell>
          <cell r="J79" t="e">
            <v>#REF!</v>
          </cell>
        </row>
        <row r="80">
          <cell r="A80" t="e">
            <v>#REF!</v>
          </cell>
          <cell r="B80" t="e">
            <v>#REF!</v>
          </cell>
          <cell r="C80" t="e">
            <v>#REF!</v>
          </cell>
          <cell r="D80" t="e">
            <v>#REF!</v>
          </cell>
          <cell r="E80" t="e">
            <v>#REF!</v>
          </cell>
          <cell r="F80" t="e">
            <v>#REF!</v>
          </cell>
          <cell r="G80" t="e">
            <v>#REF!</v>
          </cell>
          <cell r="H80" t="e">
            <v>#REF!</v>
          </cell>
          <cell r="I80" t="e">
            <v>#REF!</v>
          </cell>
          <cell r="J80" t="e">
            <v>#REF!</v>
          </cell>
        </row>
        <row r="81">
          <cell r="A81" t="e">
            <v>#REF!</v>
          </cell>
          <cell r="B81" t="e">
            <v>#REF!</v>
          </cell>
          <cell r="C81" t="e">
            <v>#REF!</v>
          </cell>
          <cell r="D81" t="e">
            <v>#REF!</v>
          </cell>
          <cell r="E81" t="e">
            <v>#REF!</v>
          </cell>
          <cell r="F81" t="e">
            <v>#REF!</v>
          </cell>
          <cell r="G81" t="e">
            <v>#REF!</v>
          </cell>
          <cell r="H81" t="e">
            <v>#REF!</v>
          </cell>
          <cell r="I81" t="e">
            <v>#REF!</v>
          </cell>
          <cell r="J81" t="e">
            <v>#REF!</v>
          </cell>
        </row>
        <row r="82">
          <cell r="A82" t="e">
            <v>#REF!</v>
          </cell>
          <cell r="B82" t="e">
            <v>#REF!</v>
          </cell>
          <cell r="C82" t="e">
            <v>#REF!</v>
          </cell>
          <cell r="D82" t="e">
            <v>#REF!</v>
          </cell>
          <cell r="E82" t="e">
            <v>#REF!</v>
          </cell>
          <cell r="F82" t="e">
            <v>#REF!</v>
          </cell>
          <cell r="G82" t="e">
            <v>#REF!</v>
          </cell>
          <cell r="H82" t="e">
            <v>#REF!</v>
          </cell>
          <cell r="I82" t="e">
            <v>#REF!</v>
          </cell>
          <cell r="J82" t="e">
            <v>#REF!</v>
          </cell>
        </row>
        <row r="83">
          <cell r="A83" t="e">
            <v>#REF!</v>
          </cell>
          <cell r="B83" t="e">
            <v>#REF!</v>
          </cell>
          <cell r="C83" t="e">
            <v>#REF!</v>
          </cell>
          <cell r="D83" t="e">
            <v>#REF!</v>
          </cell>
          <cell r="E83" t="e">
            <v>#REF!</v>
          </cell>
          <cell r="F83" t="e">
            <v>#REF!</v>
          </cell>
          <cell r="G83" t="e">
            <v>#REF!</v>
          </cell>
          <cell r="H83" t="e">
            <v>#REF!</v>
          </cell>
          <cell r="I83" t="e">
            <v>#REF!</v>
          </cell>
          <cell r="J83" t="e">
            <v>#REF!</v>
          </cell>
        </row>
        <row r="84">
          <cell r="A84" t="e">
            <v>#REF!</v>
          </cell>
          <cell r="B84" t="e">
            <v>#REF!</v>
          </cell>
          <cell r="C84" t="e">
            <v>#REF!</v>
          </cell>
          <cell r="D84" t="e">
            <v>#REF!</v>
          </cell>
          <cell r="E84" t="e">
            <v>#REF!</v>
          </cell>
          <cell r="F84" t="e">
            <v>#REF!</v>
          </cell>
          <cell r="G84" t="e">
            <v>#REF!</v>
          </cell>
          <cell r="H84" t="e">
            <v>#REF!</v>
          </cell>
          <cell r="I84" t="e">
            <v>#REF!</v>
          </cell>
          <cell r="J84" t="e">
            <v>#REF!</v>
          </cell>
        </row>
        <row r="85">
          <cell r="A85" t="e">
            <v>#REF!</v>
          </cell>
          <cell r="B85" t="e">
            <v>#REF!</v>
          </cell>
          <cell r="C85" t="e">
            <v>#REF!</v>
          </cell>
          <cell r="D85" t="e">
            <v>#REF!</v>
          </cell>
          <cell r="E85" t="e">
            <v>#REF!</v>
          </cell>
          <cell r="F85" t="e">
            <v>#REF!</v>
          </cell>
          <cell r="G85" t="e">
            <v>#REF!</v>
          </cell>
          <cell r="H85" t="e">
            <v>#REF!</v>
          </cell>
          <cell r="I85" t="e">
            <v>#REF!</v>
          </cell>
          <cell r="J85" t="e">
            <v>#REF!</v>
          </cell>
        </row>
        <row r="86">
          <cell r="A86" t="e">
            <v>#REF!</v>
          </cell>
          <cell r="B86" t="e">
            <v>#REF!</v>
          </cell>
          <cell r="C86" t="e">
            <v>#REF!</v>
          </cell>
          <cell r="D86" t="e">
            <v>#REF!</v>
          </cell>
          <cell r="E86" t="e">
            <v>#REF!</v>
          </cell>
          <cell r="F86" t="e">
            <v>#REF!</v>
          </cell>
          <cell r="G86" t="e">
            <v>#REF!</v>
          </cell>
          <cell r="H86" t="e">
            <v>#REF!</v>
          </cell>
          <cell r="I86" t="e">
            <v>#REF!</v>
          </cell>
          <cell r="J86" t="e">
            <v>#REF!</v>
          </cell>
        </row>
        <row r="87">
          <cell r="A87" t="e">
            <v>#REF!</v>
          </cell>
          <cell r="B87" t="e">
            <v>#REF!</v>
          </cell>
          <cell r="C87" t="e">
            <v>#REF!</v>
          </cell>
          <cell r="D87" t="e">
            <v>#REF!</v>
          </cell>
          <cell r="E87" t="e">
            <v>#REF!</v>
          </cell>
          <cell r="F87" t="e">
            <v>#REF!</v>
          </cell>
          <cell r="G87" t="e">
            <v>#REF!</v>
          </cell>
          <cell r="H87" t="e">
            <v>#REF!</v>
          </cell>
          <cell r="I87" t="e">
            <v>#REF!</v>
          </cell>
          <cell r="J87" t="e">
            <v>#REF!</v>
          </cell>
        </row>
        <row r="88">
          <cell r="A88" t="e">
            <v>#REF!</v>
          </cell>
          <cell r="B88" t="e">
            <v>#REF!</v>
          </cell>
          <cell r="C88" t="e">
            <v>#REF!</v>
          </cell>
          <cell r="D88" t="e">
            <v>#REF!</v>
          </cell>
          <cell r="E88" t="e">
            <v>#REF!</v>
          </cell>
          <cell r="F88" t="e">
            <v>#REF!</v>
          </cell>
          <cell r="G88" t="e">
            <v>#REF!</v>
          </cell>
          <cell r="H88" t="e">
            <v>#REF!</v>
          </cell>
          <cell r="I88" t="e">
            <v>#REF!</v>
          </cell>
          <cell r="J88" t="e">
            <v>#REF!</v>
          </cell>
        </row>
        <row r="89">
          <cell r="A89" t="e">
            <v>#REF!</v>
          </cell>
          <cell r="B89" t="e">
            <v>#REF!</v>
          </cell>
          <cell r="C89" t="e">
            <v>#REF!</v>
          </cell>
          <cell r="D89" t="e">
            <v>#REF!</v>
          </cell>
          <cell r="E89" t="e">
            <v>#REF!</v>
          </cell>
          <cell r="F89" t="e">
            <v>#REF!</v>
          </cell>
          <cell r="G89" t="e">
            <v>#REF!</v>
          </cell>
          <cell r="H89" t="e">
            <v>#REF!</v>
          </cell>
          <cell r="I89" t="e">
            <v>#REF!</v>
          </cell>
          <cell r="J89" t="e">
            <v>#REF!</v>
          </cell>
        </row>
        <row r="90">
          <cell r="A90" t="e">
            <v>#REF!</v>
          </cell>
          <cell r="B90" t="e">
            <v>#REF!</v>
          </cell>
          <cell r="C90" t="e">
            <v>#REF!</v>
          </cell>
          <cell r="D90" t="e">
            <v>#REF!</v>
          </cell>
          <cell r="E90" t="e">
            <v>#REF!</v>
          </cell>
          <cell r="F90" t="e">
            <v>#REF!</v>
          </cell>
          <cell r="G90" t="e">
            <v>#REF!</v>
          </cell>
          <cell r="H90" t="e">
            <v>#REF!</v>
          </cell>
          <cell r="I90" t="e">
            <v>#REF!</v>
          </cell>
          <cell r="J90" t="e">
            <v>#REF!</v>
          </cell>
        </row>
        <row r="91">
          <cell r="A91" t="e">
            <v>#REF!</v>
          </cell>
          <cell r="B91" t="e">
            <v>#REF!</v>
          </cell>
          <cell r="C91" t="e">
            <v>#REF!</v>
          </cell>
          <cell r="D91" t="e">
            <v>#REF!</v>
          </cell>
          <cell r="E91" t="e">
            <v>#REF!</v>
          </cell>
          <cell r="F91" t="e">
            <v>#REF!</v>
          </cell>
          <cell r="G91" t="e">
            <v>#REF!</v>
          </cell>
          <cell r="H91" t="e">
            <v>#REF!</v>
          </cell>
          <cell r="I91" t="e">
            <v>#REF!</v>
          </cell>
          <cell r="J91" t="e">
            <v>#REF!</v>
          </cell>
        </row>
        <row r="92">
          <cell r="A92" t="e">
            <v>#REF!</v>
          </cell>
          <cell r="B92" t="e">
            <v>#REF!</v>
          </cell>
          <cell r="C92" t="e">
            <v>#REF!</v>
          </cell>
          <cell r="D92" t="e">
            <v>#REF!</v>
          </cell>
          <cell r="E92" t="e">
            <v>#REF!</v>
          </cell>
          <cell r="F92" t="e">
            <v>#REF!</v>
          </cell>
          <cell r="G92" t="e">
            <v>#REF!</v>
          </cell>
          <cell r="H92" t="e">
            <v>#REF!</v>
          </cell>
          <cell r="I92" t="e">
            <v>#REF!</v>
          </cell>
          <cell r="J92" t="e">
            <v>#REF!</v>
          </cell>
        </row>
        <row r="93">
          <cell r="A93" t="e">
            <v>#REF!</v>
          </cell>
          <cell r="B93" t="e">
            <v>#REF!</v>
          </cell>
          <cell r="C93" t="e">
            <v>#REF!</v>
          </cell>
          <cell r="D93" t="e">
            <v>#REF!</v>
          </cell>
          <cell r="E93" t="e">
            <v>#REF!</v>
          </cell>
          <cell r="F93" t="e">
            <v>#REF!</v>
          </cell>
          <cell r="G93" t="e">
            <v>#REF!</v>
          </cell>
          <cell r="H93" t="e">
            <v>#REF!</v>
          </cell>
          <cell r="I93" t="e">
            <v>#REF!</v>
          </cell>
          <cell r="J93" t="e">
            <v>#REF!</v>
          </cell>
        </row>
        <row r="94">
          <cell r="A94" t="e">
            <v>#REF!</v>
          </cell>
          <cell r="B94" t="e">
            <v>#REF!</v>
          </cell>
          <cell r="C94" t="e">
            <v>#REF!</v>
          </cell>
          <cell r="D94" t="e">
            <v>#REF!</v>
          </cell>
          <cell r="E94" t="e">
            <v>#REF!</v>
          </cell>
          <cell r="F94" t="e">
            <v>#REF!</v>
          </cell>
          <cell r="G94" t="e">
            <v>#REF!</v>
          </cell>
          <cell r="H94" t="e">
            <v>#REF!</v>
          </cell>
          <cell r="I94" t="e">
            <v>#REF!</v>
          </cell>
          <cell r="J94" t="e">
            <v>#REF!</v>
          </cell>
        </row>
        <row r="95">
          <cell r="A95" t="e">
            <v>#REF!</v>
          </cell>
          <cell r="B95" t="e">
            <v>#REF!</v>
          </cell>
          <cell r="C95" t="e">
            <v>#REF!</v>
          </cell>
          <cell r="D95" t="e">
            <v>#REF!</v>
          </cell>
          <cell r="E95" t="e">
            <v>#REF!</v>
          </cell>
          <cell r="F95" t="e">
            <v>#REF!</v>
          </cell>
          <cell r="G95" t="e">
            <v>#REF!</v>
          </cell>
          <cell r="H95" t="e">
            <v>#REF!</v>
          </cell>
          <cell r="I95" t="e">
            <v>#REF!</v>
          </cell>
          <cell r="J95" t="e">
            <v>#REF!</v>
          </cell>
        </row>
        <row r="96">
          <cell r="A96" t="e">
            <v>#REF!</v>
          </cell>
          <cell r="B96" t="e">
            <v>#REF!</v>
          </cell>
          <cell r="C96" t="e">
            <v>#REF!</v>
          </cell>
          <cell r="D96" t="e">
            <v>#REF!</v>
          </cell>
          <cell r="E96" t="e">
            <v>#REF!</v>
          </cell>
          <cell r="F96" t="e">
            <v>#REF!</v>
          </cell>
          <cell r="G96" t="e">
            <v>#REF!</v>
          </cell>
          <cell r="H96" t="e">
            <v>#REF!</v>
          </cell>
          <cell r="I96" t="e">
            <v>#REF!</v>
          </cell>
          <cell r="J96" t="e">
            <v>#REF!</v>
          </cell>
        </row>
        <row r="97">
          <cell r="A97" t="e">
            <v>#REF!</v>
          </cell>
          <cell r="B97" t="e">
            <v>#REF!</v>
          </cell>
          <cell r="C97" t="e">
            <v>#REF!</v>
          </cell>
          <cell r="D97" t="e">
            <v>#REF!</v>
          </cell>
          <cell r="E97" t="e">
            <v>#REF!</v>
          </cell>
          <cell r="F97" t="e">
            <v>#REF!</v>
          </cell>
          <cell r="G97" t="e">
            <v>#REF!</v>
          </cell>
          <cell r="H97" t="e">
            <v>#REF!</v>
          </cell>
          <cell r="I97" t="e">
            <v>#REF!</v>
          </cell>
          <cell r="J97" t="e">
            <v>#REF!</v>
          </cell>
        </row>
        <row r="98">
          <cell r="A98" t="e">
            <v>#REF!</v>
          </cell>
          <cell r="B98" t="e">
            <v>#REF!</v>
          </cell>
          <cell r="C98" t="e">
            <v>#REF!</v>
          </cell>
          <cell r="D98" t="e">
            <v>#REF!</v>
          </cell>
          <cell r="E98" t="e">
            <v>#REF!</v>
          </cell>
          <cell r="F98" t="e">
            <v>#REF!</v>
          </cell>
          <cell r="G98" t="e">
            <v>#REF!</v>
          </cell>
          <cell r="H98" t="e">
            <v>#REF!</v>
          </cell>
          <cell r="I98" t="e">
            <v>#REF!</v>
          </cell>
          <cell r="J98" t="e">
            <v>#REF!</v>
          </cell>
        </row>
        <row r="99">
          <cell r="A99" t="e">
            <v>#REF!</v>
          </cell>
          <cell r="B99" t="e">
            <v>#REF!</v>
          </cell>
          <cell r="C99" t="e">
            <v>#REF!</v>
          </cell>
          <cell r="D99" t="e">
            <v>#REF!</v>
          </cell>
          <cell r="E99" t="e">
            <v>#REF!</v>
          </cell>
          <cell r="F99" t="e">
            <v>#REF!</v>
          </cell>
          <cell r="G99" t="e">
            <v>#REF!</v>
          </cell>
          <cell r="H99" t="e">
            <v>#REF!</v>
          </cell>
          <cell r="I99" t="e">
            <v>#REF!</v>
          </cell>
          <cell r="J99" t="e">
            <v>#REF!</v>
          </cell>
        </row>
        <row r="100">
          <cell r="A100" t="e">
            <v>#REF!</v>
          </cell>
          <cell r="B100" t="e">
            <v>#REF!</v>
          </cell>
          <cell r="C100" t="e">
            <v>#REF!</v>
          </cell>
          <cell r="D100" t="e">
            <v>#REF!</v>
          </cell>
          <cell r="E100" t="e">
            <v>#REF!</v>
          </cell>
          <cell r="F100" t="e">
            <v>#REF!</v>
          </cell>
          <cell r="G100" t="e">
            <v>#REF!</v>
          </cell>
          <cell r="H100" t="e">
            <v>#REF!</v>
          </cell>
          <cell r="I100" t="e">
            <v>#REF!</v>
          </cell>
          <cell r="J100" t="e">
            <v>#REF!</v>
          </cell>
        </row>
        <row r="101">
          <cell r="A101" t="e">
            <v>#REF!</v>
          </cell>
          <cell r="B101" t="e">
            <v>#REF!</v>
          </cell>
          <cell r="C101" t="e">
            <v>#REF!</v>
          </cell>
          <cell r="D101" t="e">
            <v>#REF!</v>
          </cell>
          <cell r="E101" t="e">
            <v>#REF!</v>
          </cell>
          <cell r="F101" t="e">
            <v>#REF!</v>
          </cell>
          <cell r="G101" t="e">
            <v>#REF!</v>
          </cell>
          <cell r="H101" t="e">
            <v>#REF!</v>
          </cell>
          <cell r="I101" t="e">
            <v>#REF!</v>
          </cell>
          <cell r="J101" t="e">
            <v>#REF!</v>
          </cell>
        </row>
        <row r="102">
          <cell r="A102" t="e">
            <v>#REF!</v>
          </cell>
          <cell r="B102" t="e">
            <v>#REF!</v>
          </cell>
          <cell r="C102" t="e">
            <v>#REF!</v>
          </cell>
          <cell r="D102" t="e">
            <v>#REF!</v>
          </cell>
          <cell r="E102" t="e">
            <v>#REF!</v>
          </cell>
          <cell r="F102" t="e">
            <v>#REF!</v>
          </cell>
          <cell r="G102" t="e">
            <v>#REF!</v>
          </cell>
          <cell r="H102" t="e">
            <v>#REF!</v>
          </cell>
          <cell r="I102" t="e">
            <v>#REF!</v>
          </cell>
          <cell r="J102" t="e">
            <v>#REF!</v>
          </cell>
        </row>
        <row r="103">
          <cell r="A103" t="e">
            <v>#REF!</v>
          </cell>
          <cell r="B103" t="e">
            <v>#REF!</v>
          </cell>
          <cell r="C103" t="e">
            <v>#REF!</v>
          </cell>
          <cell r="D103" t="e">
            <v>#REF!</v>
          </cell>
          <cell r="E103" t="e">
            <v>#REF!</v>
          </cell>
          <cell r="F103" t="e">
            <v>#REF!</v>
          </cell>
          <cell r="G103" t="e">
            <v>#REF!</v>
          </cell>
          <cell r="H103" t="e">
            <v>#REF!</v>
          </cell>
          <cell r="I103" t="e">
            <v>#REF!</v>
          </cell>
          <cell r="J103" t="e">
            <v>#REF!</v>
          </cell>
        </row>
        <row r="104">
          <cell r="A104" t="e">
            <v>#REF!</v>
          </cell>
          <cell r="B104" t="e">
            <v>#REF!</v>
          </cell>
          <cell r="C104" t="e">
            <v>#REF!</v>
          </cell>
          <cell r="D104" t="e">
            <v>#REF!</v>
          </cell>
          <cell r="E104" t="e">
            <v>#REF!</v>
          </cell>
          <cell r="F104" t="e">
            <v>#REF!</v>
          </cell>
          <cell r="G104" t="e">
            <v>#REF!</v>
          </cell>
          <cell r="H104" t="e">
            <v>#REF!</v>
          </cell>
          <cell r="I104" t="e">
            <v>#REF!</v>
          </cell>
          <cell r="J104" t="e">
            <v>#REF!</v>
          </cell>
        </row>
        <row r="105">
          <cell r="A105" t="e">
            <v>#REF!</v>
          </cell>
          <cell r="B105" t="e">
            <v>#REF!</v>
          </cell>
          <cell r="C105" t="e">
            <v>#REF!</v>
          </cell>
          <cell r="D105" t="e">
            <v>#REF!</v>
          </cell>
          <cell r="E105" t="e">
            <v>#REF!</v>
          </cell>
          <cell r="F105" t="e">
            <v>#REF!</v>
          </cell>
          <cell r="G105" t="e">
            <v>#REF!</v>
          </cell>
          <cell r="H105" t="e">
            <v>#REF!</v>
          </cell>
          <cell r="I105" t="e">
            <v>#REF!</v>
          </cell>
          <cell r="J105" t="e">
            <v>#REF!</v>
          </cell>
        </row>
        <row r="106">
          <cell r="A106" t="e">
            <v>#REF!</v>
          </cell>
          <cell r="B106" t="e">
            <v>#REF!</v>
          </cell>
          <cell r="C106" t="e">
            <v>#REF!</v>
          </cell>
          <cell r="D106" t="e">
            <v>#REF!</v>
          </cell>
          <cell r="E106" t="e">
            <v>#REF!</v>
          </cell>
          <cell r="F106" t="e">
            <v>#REF!</v>
          </cell>
          <cell r="G106" t="e">
            <v>#REF!</v>
          </cell>
          <cell r="H106" t="e">
            <v>#REF!</v>
          </cell>
          <cell r="I106" t="e">
            <v>#REF!</v>
          </cell>
          <cell r="J106" t="e">
            <v>#REF!</v>
          </cell>
        </row>
        <row r="107">
          <cell r="A107" t="e">
            <v>#REF!</v>
          </cell>
          <cell r="B107" t="e">
            <v>#REF!</v>
          </cell>
          <cell r="C107" t="e">
            <v>#REF!</v>
          </cell>
          <cell r="D107" t="e">
            <v>#REF!</v>
          </cell>
          <cell r="E107" t="e">
            <v>#REF!</v>
          </cell>
          <cell r="F107" t="e">
            <v>#REF!</v>
          </cell>
          <cell r="G107" t="e">
            <v>#REF!</v>
          </cell>
          <cell r="H107" t="e">
            <v>#REF!</v>
          </cell>
          <cell r="I107" t="e">
            <v>#REF!</v>
          </cell>
          <cell r="J107" t="e">
            <v>#REF!</v>
          </cell>
        </row>
        <row r="108">
          <cell r="A108" t="e">
            <v>#REF!</v>
          </cell>
          <cell r="B108" t="e">
            <v>#REF!</v>
          </cell>
          <cell r="C108" t="e">
            <v>#REF!</v>
          </cell>
          <cell r="D108" t="e">
            <v>#REF!</v>
          </cell>
          <cell r="E108" t="e">
            <v>#REF!</v>
          </cell>
          <cell r="F108" t="e">
            <v>#REF!</v>
          </cell>
          <cell r="G108" t="e">
            <v>#REF!</v>
          </cell>
          <cell r="H108" t="e">
            <v>#REF!</v>
          </cell>
          <cell r="I108" t="e">
            <v>#REF!</v>
          </cell>
          <cell r="J108" t="e">
            <v>#REF!</v>
          </cell>
        </row>
        <row r="109">
          <cell r="A109" t="e">
            <v>#REF!</v>
          </cell>
          <cell r="B109" t="e">
            <v>#REF!</v>
          </cell>
          <cell r="C109" t="e">
            <v>#REF!</v>
          </cell>
          <cell r="D109" t="e">
            <v>#REF!</v>
          </cell>
          <cell r="E109" t="e">
            <v>#REF!</v>
          </cell>
          <cell r="F109" t="e">
            <v>#REF!</v>
          </cell>
          <cell r="G109" t="e">
            <v>#REF!</v>
          </cell>
          <cell r="H109" t="e">
            <v>#REF!</v>
          </cell>
          <cell r="I109" t="e">
            <v>#REF!</v>
          </cell>
          <cell r="J109" t="e">
            <v>#REF!</v>
          </cell>
        </row>
        <row r="110">
          <cell r="A110" t="e">
            <v>#REF!</v>
          </cell>
          <cell r="B110" t="e">
            <v>#REF!</v>
          </cell>
          <cell r="C110" t="e">
            <v>#REF!</v>
          </cell>
          <cell r="D110" t="e">
            <v>#REF!</v>
          </cell>
          <cell r="E110" t="e">
            <v>#REF!</v>
          </cell>
          <cell r="F110" t="e">
            <v>#REF!</v>
          </cell>
          <cell r="G110" t="e">
            <v>#REF!</v>
          </cell>
          <cell r="H110" t="e">
            <v>#REF!</v>
          </cell>
          <cell r="I110" t="e">
            <v>#REF!</v>
          </cell>
          <cell r="J110" t="e">
            <v>#REF!</v>
          </cell>
        </row>
        <row r="111">
          <cell r="A111" t="e">
            <v>#REF!</v>
          </cell>
          <cell r="B111" t="e">
            <v>#REF!</v>
          </cell>
          <cell r="C111" t="e">
            <v>#REF!</v>
          </cell>
          <cell r="D111" t="e">
            <v>#REF!</v>
          </cell>
          <cell r="E111" t="e">
            <v>#REF!</v>
          </cell>
          <cell r="F111" t="e">
            <v>#REF!</v>
          </cell>
          <cell r="G111" t="e">
            <v>#REF!</v>
          </cell>
          <cell r="H111" t="e">
            <v>#REF!</v>
          </cell>
          <cell r="I111" t="e">
            <v>#REF!</v>
          </cell>
          <cell r="J111" t="e">
            <v>#REF!</v>
          </cell>
        </row>
        <row r="112">
          <cell r="A112" t="e">
            <v>#REF!</v>
          </cell>
          <cell r="B112" t="e">
            <v>#REF!</v>
          </cell>
          <cell r="C112" t="e">
            <v>#REF!</v>
          </cell>
          <cell r="D112" t="e">
            <v>#REF!</v>
          </cell>
          <cell r="E112" t="e">
            <v>#REF!</v>
          </cell>
          <cell r="F112" t="e">
            <v>#REF!</v>
          </cell>
          <cell r="G112" t="e">
            <v>#REF!</v>
          </cell>
          <cell r="H112" t="e">
            <v>#REF!</v>
          </cell>
          <cell r="I112" t="e">
            <v>#REF!</v>
          </cell>
          <cell r="J112" t="e">
            <v>#REF!</v>
          </cell>
        </row>
        <row r="113">
          <cell r="A113" t="e">
            <v>#REF!</v>
          </cell>
          <cell r="B113" t="e">
            <v>#REF!</v>
          </cell>
          <cell r="C113" t="e">
            <v>#REF!</v>
          </cell>
          <cell r="D113" t="e">
            <v>#REF!</v>
          </cell>
          <cell r="E113" t="e">
            <v>#REF!</v>
          </cell>
          <cell r="F113" t="e">
            <v>#REF!</v>
          </cell>
          <cell r="G113" t="e">
            <v>#REF!</v>
          </cell>
          <cell r="H113" t="e">
            <v>#REF!</v>
          </cell>
          <cell r="I113" t="e">
            <v>#REF!</v>
          </cell>
          <cell r="J113" t="e">
            <v>#REF!</v>
          </cell>
        </row>
        <row r="114">
          <cell r="A114" t="e">
            <v>#REF!</v>
          </cell>
          <cell r="B114" t="e">
            <v>#REF!</v>
          </cell>
          <cell r="C114" t="e">
            <v>#REF!</v>
          </cell>
          <cell r="D114" t="e">
            <v>#REF!</v>
          </cell>
          <cell r="E114" t="e">
            <v>#REF!</v>
          </cell>
          <cell r="F114" t="e">
            <v>#REF!</v>
          </cell>
          <cell r="G114" t="e">
            <v>#REF!</v>
          </cell>
          <cell r="H114" t="e">
            <v>#REF!</v>
          </cell>
          <cell r="I114" t="e">
            <v>#REF!</v>
          </cell>
          <cell r="J114" t="e">
            <v>#REF!</v>
          </cell>
        </row>
        <row r="115">
          <cell r="A115" t="e">
            <v>#REF!</v>
          </cell>
          <cell r="B115" t="e">
            <v>#REF!</v>
          </cell>
          <cell r="C115" t="e">
            <v>#REF!</v>
          </cell>
          <cell r="D115" t="e">
            <v>#REF!</v>
          </cell>
          <cell r="E115" t="e">
            <v>#REF!</v>
          </cell>
          <cell r="F115" t="e">
            <v>#REF!</v>
          </cell>
          <cell r="G115" t="e">
            <v>#REF!</v>
          </cell>
          <cell r="H115" t="e">
            <v>#REF!</v>
          </cell>
          <cell r="I115" t="e">
            <v>#REF!</v>
          </cell>
          <cell r="J115" t="e">
            <v>#REF!</v>
          </cell>
        </row>
        <row r="116">
          <cell r="A116" t="e">
            <v>#REF!</v>
          </cell>
          <cell r="B116" t="e">
            <v>#REF!</v>
          </cell>
          <cell r="C116" t="e">
            <v>#REF!</v>
          </cell>
          <cell r="D116" t="e">
            <v>#REF!</v>
          </cell>
          <cell r="E116" t="e">
            <v>#REF!</v>
          </cell>
          <cell r="F116" t="e">
            <v>#REF!</v>
          </cell>
          <cell r="G116" t="e">
            <v>#REF!</v>
          </cell>
          <cell r="H116" t="e">
            <v>#REF!</v>
          </cell>
          <cell r="I116" t="e">
            <v>#REF!</v>
          </cell>
          <cell r="J116" t="e">
            <v>#REF!</v>
          </cell>
        </row>
        <row r="117">
          <cell r="A117" t="e">
            <v>#REF!</v>
          </cell>
          <cell r="B117" t="e">
            <v>#REF!</v>
          </cell>
          <cell r="C117" t="e">
            <v>#REF!</v>
          </cell>
          <cell r="D117" t="e">
            <v>#REF!</v>
          </cell>
          <cell r="E117" t="e">
            <v>#REF!</v>
          </cell>
          <cell r="F117" t="e">
            <v>#REF!</v>
          </cell>
          <cell r="G117" t="e">
            <v>#REF!</v>
          </cell>
          <cell r="H117" t="e">
            <v>#REF!</v>
          </cell>
          <cell r="I117" t="e">
            <v>#REF!</v>
          </cell>
          <cell r="J117" t="e">
            <v>#REF!</v>
          </cell>
        </row>
        <row r="118">
          <cell r="A118" t="e">
            <v>#REF!</v>
          </cell>
          <cell r="B118" t="e">
            <v>#REF!</v>
          </cell>
          <cell r="C118" t="e">
            <v>#REF!</v>
          </cell>
          <cell r="D118" t="e">
            <v>#REF!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</row>
        <row r="119">
          <cell r="A119" t="e">
            <v>#REF!</v>
          </cell>
          <cell r="B119" t="e">
            <v>#REF!</v>
          </cell>
          <cell r="C119" t="e">
            <v>#REF!</v>
          </cell>
          <cell r="D119" t="e">
            <v>#REF!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</row>
        <row r="120">
          <cell r="A120" t="e">
            <v>#REF!</v>
          </cell>
          <cell r="B120" t="e">
            <v>#REF!</v>
          </cell>
          <cell r="C120" t="e">
            <v>#REF!</v>
          </cell>
          <cell r="D120" t="e">
            <v>#REF!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</row>
        <row r="121">
          <cell r="A121" t="e">
            <v>#REF!</v>
          </cell>
          <cell r="B121" t="e">
            <v>#REF!</v>
          </cell>
          <cell r="C121" t="e">
            <v>#REF!</v>
          </cell>
          <cell r="D121" t="e">
            <v>#REF!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</row>
        <row r="122">
          <cell r="A122" t="e">
            <v>#REF!</v>
          </cell>
          <cell r="B122" t="e">
            <v>#REF!</v>
          </cell>
          <cell r="C122" t="e">
            <v>#REF!</v>
          </cell>
          <cell r="D122" t="e">
            <v>#REF!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</row>
        <row r="123">
          <cell r="A123" t="e">
            <v>#REF!</v>
          </cell>
          <cell r="B123" t="e">
            <v>#REF!</v>
          </cell>
          <cell r="C123" t="e">
            <v>#REF!</v>
          </cell>
          <cell r="D123" t="e">
            <v>#REF!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</row>
        <row r="124">
          <cell r="A124" t="e">
            <v>#REF!</v>
          </cell>
          <cell r="B124" t="e">
            <v>#REF!</v>
          </cell>
          <cell r="C124" t="e">
            <v>#REF!</v>
          </cell>
          <cell r="D124" t="e">
            <v>#REF!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</row>
        <row r="125">
          <cell r="A125" t="e">
            <v>#REF!</v>
          </cell>
          <cell r="B125" t="e">
            <v>#REF!</v>
          </cell>
          <cell r="C125" t="e">
            <v>#REF!</v>
          </cell>
          <cell r="D125" t="e">
            <v>#REF!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</row>
        <row r="126">
          <cell r="A126" t="e">
            <v>#REF!</v>
          </cell>
          <cell r="B126" t="e">
            <v>#REF!</v>
          </cell>
          <cell r="C126" t="e">
            <v>#REF!</v>
          </cell>
          <cell r="D126" t="e">
            <v>#REF!</v>
          </cell>
          <cell r="E126" t="e">
            <v>#REF!</v>
          </cell>
          <cell r="F126" t="e">
            <v>#REF!</v>
          </cell>
          <cell r="G126" t="e">
            <v>#REF!</v>
          </cell>
          <cell r="H126" t="e">
            <v>#REF!</v>
          </cell>
          <cell r="I126" t="e">
            <v>#REF!</v>
          </cell>
          <cell r="J126" t="e">
            <v>#REF!</v>
          </cell>
        </row>
        <row r="127">
          <cell r="A127" t="e">
            <v>#REF!</v>
          </cell>
          <cell r="B127" t="e">
            <v>#REF!</v>
          </cell>
          <cell r="C127" t="e">
            <v>#REF!</v>
          </cell>
          <cell r="D127" t="e">
            <v>#REF!</v>
          </cell>
          <cell r="E127" t="e">
            <v>#REF!</v>
          </cell>
          <cell r="F127" t="e">
            <v>#REF!</v>
          </cell>
          <cell r="G127" t="e">
            <v>#REF!</v>
          </cell>
          <cell r="H127" t="e">
            <v>#REF!</v>
          </cell>
          <cell r="I127" t="e">
            <v>#REF!</v>
          </cell>
          <cell r="J127" t="e">
            <v>#REF!</v>
          </cell>
        </row>
        <row r="128">
          <cell r="A128" t="e">
            <v>#REF!</v>
          </cell>
          <cell r="B128" t="e">
            <v>#REF!</v>
          </cell>
          <cell r="C128" t="e">
            <v>#REF!</v>
          </cell>
          <cell r="D128" t="e">
            <v>#REF!</v>
          </cell>
          <cell r="E128" t="e">
            <v>#REF!</v>
          </cell>
          <cell r="F128" t="e">
            <v>#REF!</v>
          </cell>
          <cell r="G128" t="e">
            <v>#REF!</v>
          </cell>
          <cell r="H128" t="e">
            <v>#REF!</v>
          </cell>
          <cell r="I128" t="e">
            <v>#REF!</v>
          </cell>
          <cell r="J128" t="e">
            <v>#REF!</v>
          </cell>
        </row>
        <row r="129">
          <cell r="A129" t="e">
            <v>#REF!</v>
          </cell>
          <cell r="B129" t="e">
            <v>#REF!</v>
          </cell>
          <cell r="C129" t="e">
            <v>#REF!</v>
          </cell>
          <cell r="D129" t="e">
            <v>#REF!</v>
          </cell>
          <cell r="E129" t="e">
            <v>#REF!</v>
          </cell>
          <cell r="F129" t="e">
            <v>#REF!</v>
          </cell>
          <cell r="G129" t="e">
            <v>#REF!</v>
          </cell>
          <cell r="H129" t="e">
            <v>#REF!</v>
          </cell>
          <cell r="I129" t="e">
            <v>#REF!</v>
          </cell>
          <cell r="J129" t="e">
            <v>#REF!</v>
          </cell>
        </row>
        <row r="130">
          <cell r="A130" t="e">
            <v>#REF!</v>
          </cell>
          <cell r="B130" t="e">
            <v>#REF!</v>
          </cell>
          <cell r="C130" t="e">
            <v>#REF!</v>
          </cell>
          <cell r="D130" t="e">
            <v>#REF!</v>
          </cell>
          <cell r="E130" t="e">
            <v>#REF!</v>
          </cell>
          <cell r="F130" t="e">
            <v>#REF!</v>
          </cell>
          <cell r="G130" t="e">
            <v>#REF!</v>
          </cell>
          <cell r="H130" t="e">
            <v>#REF!</v>
          </cell>
          <cell r="I130" t="e">
            <v>#REF!</v>
          </cell>
          <cell r="J130" t="e">
            <v>#REF!</v>
          </cell>
        </row>
        <row r="131">
          <cell r="A131" t="e">
            <v>#REF!</v>
          </cell>
          <cell r="B131" t="e">
            <v>#REF!</v>
          </cell>
          <cell r="C131" t="e">
            <v>#REF!</v>
          </cell>
          <cell r="D131" t="e">
            <v>#REF!</v>
          </cell>
          <cell r="E131" t="e">
            <v>#REF!</v>
          </cell>
          <cell r="F131" t="e">
            <v>#REF!</v>
          </cell>
          <cell r="G131" t="e">
            <v>#REF!</v>
          </cell>
          <cell r="H131" t="e">
            <v>#REF!</v>
          </cell>
          <cell r="I131" t="e">
            <v>#REF!</v>
          </cell>
          <cell r="J131" t="e">
            <v>#REF!</v>
          </cell>
        </row>
        <row r="132">
          <cell r="A132" t="e">
            <v>#REF!</v>
          </cell>
          <cell r="B132" t="e">
            <v>#REF!</v>
          </cell>
          <cell r="C132" t="e">
            <v>#REF!</v>
          </cell>
          <cell r="D132" t="e">
            <v>#REF!</v>
          </cell>
          <cell r="E132" t="e">
            <v>#REF!</v>
          </cell>
          <cell r="F132" t="e">
            <v>#REF!</v>
          </cell>
          <cell r="G132" t="e">
            <v>#REF!</v>
          </cell>
          <cell r="H132" t="e">
            <v>#REF!</v>
          </cell>
          <cell r="I132" t="e">
            <v>#REF!</v>
          </cell>
          <cell r="J132" t="e">
            <v>#REF!</v>
          </cell>
        </row>
        <row r="133">
          <cell r="A133" t="e">
            <v>#REF!</v>
          </cell>
          <cell r="B133" t="e">
            <v>#REF!</v>
          </cell>
          <cell r="C133" t="e">
            <v>#REF!</v>
          </cell>
          <cell r="D133" t="e">
            <v>#REF!</v>
          </cell>
          <cell r="E133" t="e">
            <v>#REF!</v>
          </cell>
          <cell r="F133" t="e">
            <v>#REF!</v>
          </cell>
          <cell r="G133" t="e">
            <v>#REF!</v>
          </cell>
          <cell r="H133" t="e">
            <v>#REF!</v>
          </cell>
          <cell r="I133" t="e">
            <v>#REF!</v>
          </cell>
          <cell r="J133" t="e">
            <v>#REF!</v>
          </cell>
        </row>
        <row r="134">
          <cell r="A134" t="e">
            <v>#REF!</v>
          </cell>
          <cell r="B134" t="e">
            <v>#REF!</v>
          </cell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  <cell r="G134" t="e">
            <v>#REF!</v>
          </cell>
          <cell r="H134" t="e">
            <v>#REF!</v>
          </cell>
          <cell r="I134" t="e">
            <v>#REF!</v>
          </cell>
          <cell r="J134" t="e">
            <v>#REF!</v>
          </cell>
        </row>
        <row r="135">
          <cell r="A135" t="e">
            <v>#REF!</v>
          </cell>
          <cell r="B135" t="e">
            <v>#REF!</v>
          </cell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  <cell r="G135" t="e">
            <v>#REF!</v>
          </cell>
          <cell r="H135" t="e">
            <v>#REF!</v>
          </cell>
          <cell r="I135" t="e">
            <v>#REF!</v>
          </cell>
          <cell r="J135" t="e">
            <v>#REF!</v>
          </cell>
        </row>
        <row r="136">
          <cell r="A136" t="e">
            <v>#REF!</v>
          </cell>
          <cell r="B136" t="e">
            <v>#REF!</v>
          </cell>
          <cell r="C136" t="e">
            <v>#REF!</v>
          </cell>
          <cell r="D136" t="e">
            <v>#REF!</v>
          </cell>
          <cell r="E136" t="e">
            <v>#REF!</v>
          </cell>
          <cell r="F136" t="e">
            <v>#REF!</v>
          </cell>
          <cell r="G136" t="e">
            <v>#REF!</v>
          </cell>
          <cell r="H136" t="e">
            <v>#REF!</v>
          </cell>
          <cell r="I136" t="e">
            <v>#REF!</v>
          </cell>
          <cell r="J136" t="e">
            <v>#REF!</v>
          </cell>
        </row>
        <row r="137">
          <cell r="A137" t="e">
            <v>#REF!</v>
          </cell>
          <cell r="B137" t="e">
            <v>#REF!</v>
          </cell>
          <cell r="C137" t="e">
            <v>#REF!</v>
          </cell>
          <cell r="D137" t="e">
            <v>#REF!</v>
          </cell>
          <cell r="E137" t="e">
            <v>#REF!</v>
          </cell>
          <cell r="F137" t="e">
            <v>#REF!</v>
          </cell>
          <cell r="G137" t="e">
            <v>#REF!</v>
          </cell>
          <cell r="H137" t="e">
            <v>#REF!</v>
          </cell>
          <cell r="I137" t="e">
            <v>#REF!</v>
          </cell>
          <cell r="J137" t="e">
            <v>#REF!</v>
          </cell>
        </row>
        <row r="138">
          <cell r="A138" t="e">
            <v>#REF!</v>
          </cell>
          <cell r="B138" t="e">
            <v>#REF!</v>
          </cell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  <cell r="G138" t="e">
            <v>#REF!</v>
          </cell>
          <cell r="H138" t="e">
            <v>#REF!</v>
          </cell>
          <cell r="I138" t="e">
            <v>#REF!</v>
          </cell>
          <cell r="J138" t="e">
            <v>#REF!</v>
          </cell>
        </row>
        <row r="139">
          <cell r="A139" t="e">
            <v>#REF!</v>
          </cell>
          <cell r="B139" t="e">
            <v>#REF!</v>
          </cell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  <cell r="G139" t="e">
            <v>#REF!</v>
          </cell>
          <cell r="H139" t="e">
            <v>#REF!</v>
          </cell>
          <cell r="I139" t="e">
            <v>#REF!</v>
          </cell>
          <cell r="J139" t="e">
            <v>#REF!</v>
          </cell>
        </row>
        <row r="140">
          <cell r="A140" t="e">
            <v>#REF!</v>
          </cell>
          <cell r="B140" t="e">
            <v>#REF!</v>
          </cell>
          <cell r="C140" t="e">
            <v>#REF!</v>
          </cell>
          <cell r="D140" t="e">
            <v>#REF!</v>
          </cell>
          <cell r="E140" t="e">
            <v>#REF!</v>
          </cell>
          <cell r="F140" t="e">
            <v>#REF!</v>
          </cell>
          <cell r="G140" t="e">
            <v>#REF!</v>
          </cell>
          <cell r="H140" t="e">
            <v>#REF!</v>
          </cell>
          <cell r="I140" t="e">
            <v>#REF!</v>
          </cell>
          <cell r="J140" t="e">
            <v>#REF!</v>
          </cell>
        </row>
        <row r="141">
          <cell r="A141" t="e">
            <v>#REF!</v>
          </cell>
          <cell r="B141" t="e">
            <v>#REF!</v>
          </cell>
          <cell r="C141" t="e">
            <v>#REF!</v>
          </cell>
          <cell r="D141" t="e">
            <v>#REF!</v>
          </cell>
          <cell r="E141" t="e">
            <v>#REF!</v>
          </cell>
          <cell r="F141" t="e">
            <v>#REF!</v>
          </cell>
          <cell r="G141" t="e">
            <v>#REF!</v>
          </cell>
          <cell r="H141" t="e">
            <v>#REF!</v>
          </cell>
          <cell r="I141" t="e">
            <v>#REF!</v>
          </cell>
          <cell r="J141" t="e">
            <v>#REF!</v>
          </cell>
        </row>
        <row r="142">
          <cell r="A142" t="e">
            <v>#REF!</v>
          </cell>
          <cell r="B142" t="e">
            <v>#REF!</v>
          </cell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  <cell r="G142" t="e">
            <v>#REF!</v>
          </cell>
          <cell r="H142" t="e">
            <v>#REF!</v>
          </cell>
          <cell r="I142" t="e">
            <v>#REF!</v>
          </cell>
          <cell r="J142" t="e">
            <v>#REF!</v>
          </cell>
        </row>
        <row r="143">
          <cell r="A143" t="e">
            <v>#REF!</v>
          </cell>
          <cell r="B143" t="e">
            <v>#REF!</v>
          </cell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  <cell r="G143" t="e">
            <v>#REF!</v>
          </cell>
          <cell r="H143" t="e">
            <v>#REF!</v>
          </cell>
          <cell r="I143" t="e">
            <v>#REF!</v>
          </cell>
          <cell r="J143" t="e">
            <v>#REF!</v>
          </cell>
        </row>
        <row r="144">
          <cell r="A144" t="e">
            <v>#REF!</v>
          </cell>
          <cell r="B144" t="e">
            <v>#REF!</v>
          </cell>
          <cell r="C144" t="e">
            <v>#REF!</v>
          </cell>
          <cell r="D144" t="e">
            <v>#REF!</v>
          </cell>
          <cell r="E144" t="e">
            <v>#REF!</v>
          </cell>
          <cell r="F144" t="e">
            <v>#REF!</v>
          </cell>
          <cell r="G144" t="e">
            <v>#REF!</v>
          </cell>
          <cell r="H144" t="e">
            <v>#REF!</v>
          </cell>
          <cell r="I144" t="e">
            <v>#REF!</v>
          </cell>
          <cell r="J144" t="e">
            <v>#REF!</v>
          </cell>
        </row>
        <row r="145">
          <cell r="A145" t="e">
            <v>#REF!</v>
          </cell>
          <cell r="B145" t="e">
            <v>#REF!</v>
          </cell>
          <cell r="C145" t="e">
            <v>#REF!</v>
          </cell>
          <cell r="D145" t="e">
            <v>#REF!</v>
          </cell>
          <cell r="E145" t="e">
            <v>#REF!</v>
          </cell>
          <cell r="F145" t="e">
            <v>#REF!</v>
          </cell>
          <cell r="G145" t="e">
            <v>#REF!</v>
          </cell>
          <cell r="H145" t="e">
            <v>#REF!</v>
          </cell>
          <cell r="I145" t="e">
            <v>#REF!</v>
          </cell>
          <cell r="J145" t="e">
            <v>#REF!</v>
          </cell>
        </row>
        <row r="146">
          <cell r="A146" t="e">
            <v>#REF!</v>
          </cell>
          <cell r="B146" t="e">
            <v>#REF!</v>
          </cell>
          <cell r="C146" t="e">
            <v>#REF!</v>
          </cell>
          <cell r="D146" t="e">
            <v>#REF!</v>
          </cell>
          <cell r="E146" t="e">
            <v>#REF!</v>
          </cell>
          <cell r="F146" t="e">
            <v>#REF!</v>
          </cell>
          <cell r="G146" t="e">
            <v>#REF!</v>
          </cell>
          <cell r="H146" t="e">
            <v>#REF!</v>
          </cell>
          <cell r="I146" t="e">
            <v>#REF!</v>
          </cell>
          <cell r="J146" t="e">
            <v>#REF!</v>
          </cell>
        </row>
        <row r="147">
          <cell r="A147" t="e">
            <v>#REF!</v>
          </cell>
          <cell r="B147" t="e">
            <v>#REF!</v>
          </cell>
          <cell r="C147" t="e">
            <v>#REF!</v>
          </cell>
          <cell r="D147" t="e">
            <v>#REF!</v>
          </cell>
          <cell r="E147" t="e">
            <v>#REF!</v>
          </cell>
          <cell r="F147" t="e">
            <v>#REF!</v>
          </cell>
          <cell r="G147" t="e">
            <v>#REF!</v>
          </cell>
          <cell r="H147" t="e">
            <v>#REF!</v>
          </cell>
          <cell r="I147" t="e">
            <v>#REF!</v>
          </cell>
          <cell r="J147" t="e">
            <v>#REF!</v>
          </cell>
        </row>
        <row r="148">
          <cell r="A148" t="e">
            <v>#REF!</v>
          </cell>
          <cell r="B148" t="e">
            <v>#REF!</v>
          </cell>
          <cell r="C148" t="e">
            <v>#REF!</v>
          </cell>
          <cell r="D148" t="e">
            <v>#REF!</v>
          </cell>
          <cell r="E148" t="e">
            <v>#REF!</v>
          </cell>
          <cell r="F148" t="e">
            <v>#REF!</v>
          </cell>
          <cell r="G148" t="e">
            <v>#REF!</v>
          </cell>
          <cell r="H148" t="e">
            <v>#REF!</v>
          </cell>
          <cell r="I148" t="e">
            <v>#REF!</v>
          </cell>
          <cell r="J148" t="e">
            <v>#REF!</v>
          </cell>
        </row>
        <row r="149">
          <cell r="A149" t="e">
            <v>#REF!</v>
          </cell>
          <cell r="B149" t="e">
            <v>#REF!</v>
          </cell>
          <cell r="C149" t="e">
            <v>#REF!</v>
          </cell>
          <cell r="D149" t="e">
            <v>#REF!</v>
          </cell>
          <cell r="E149" t="e">
            <v>#REF!</v>
          </cell>
          <cell r="F149" t="e">
            <v>#REF!</v>
          </cell>
          <cell r="G149" t="e">
            <v>#REF!</v>
          </cell>
          <cell r="H149" t="e">
            <v>#REF!</v>
          </cell>
          <cell r="I149" t="e">
            <v>#REF!</v>
          </cell>
          <cell r="J149" t="e">
            <v>#REF!</v>
          </cell>
        </row>
        <row r="150">
          <cell r="A150" t="e">
            <v>#REF!</v>
          </cell>
          <cell r="B150" t="e">
            <v>#REF!</v>
          </cell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  <cell r="G150" t="e">
            <v>#REF!</v>
          </cell>
          <cell r="H150" t="e">
            <v>#REF!</v>
          </cell>
          <cell r="I150" t="e">
            <v>#REF!</v>
          </cell>
          <cell r="J150" t="e">
            <v>#REF!</v>
          </cell>
        </row>
        <row r="151">
          <cell r="A151" t="e">
            <v>#REF!</v>
          </cell>
          <cell r="B151" t="e">
            <v>#REF!</v>
          </cell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  <cell r="G151" t="e">
            <v>#REF!</v>
          </cell>
          <cell r="H151" t="e">
            <v>#REF!</v>
          </cell>
          <cell r="I151" t="e">
            <v>#REF!</v>
          </cell>
          <cell r="J151" t="e">
            <v>#REF!</v>
          </cell>
        </row>
        <row r="152">
          <cell r="A152" t="e">
            <v>#REF!</v>
          </cell>
          <cell r="B152" t="e">
            <v>#REF!</v>
          </cell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  <cell r="G152" t="e">
            <v>#REF!</v>
          </cell>
          <cell r="H152" t="e">
            <v>#REF!</v>
          </cell>
          <cell r="I152" t="e">
            <v>#REF!</v>
          </cell>
          <cell r="J152" t="e">
            <v>#REF!</v>
          </cell>
        </row>
        <row r="153">
          <cell r="A153" t="e">
            <v>#REF!</v>
          </cell>
          <cell r="B153" t="e">
            <v>#REF!</v>
          </cell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  <cell r="G153" t="e">
            <v>#REF!</v>
          </cell>
          <cell r="H153" t="e">
            <v>#REF!</v>
          </cell>
          <cell r="I153" t="e">
            <v>#REF!</v>
          </cell>
          <cell r="J153" t="e">
            <v>#REF!</v>
          </cell>
        </row>
        <row r="154">
          <cell r="A154" t="e">
            <v>#REF!</v>
          </cell>
          <cell r="B154" t="e">
            <v>#REF!</v>
          </cell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  <cell r="G154" t="e">
            <v>#REF!</v>
          </cell>
          <cell r="H154" t="e">
            <v>#REF!</v>
          </cell>
          <cell r="I154" t="e">
            <v>#REF!</v>
          </cell>
          <cell r="J154" t="e">
            <v>#REF!</v>
          </cell>
        </row>
        <row r="155">
          <cell r="A155" t="e">
            <v>#REF!</v>
          </cell>
          <cell r="B155" t="e">
            <v>#REF!</v>
          </cell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  <cell r="G155" t="e">
            <v>#REF!</v>
          </cell>
          <cell r="H155" t="e">
            <v>#REF!</v>
          </cell>
          <cell r="I155" t="e">
            <v>#REF!</v>
          </cell>
          <cell r="J155" t="e">
            <v>#REF!</v>
          </cell>
        </row>
        <row r="156">
          <cell r="A156" t="e">
            <v>#REF!</v>
          </cell>
          <cell r="B156" t="e">
            <v>#REF!</v>
          </cell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  <cell r="G156" t="e">
            <v>#REF!</v>
          </cell>
          <cell r="H156" t="e">
            <v>#REF!</v>
          </cell>
          <cell r="I156" t="e">
            <v>#REF!</v>
          </cell>
          <cell r="J156" t="e">
            <v>#REF!</v>
          </cell>
        </row>
        <row r="157">
          <cell r="A157" t="e">
            <v>#REF!</v>
          </cell>
          <cell r="B157" t="e">
            <v>#REF!</v>
          </cell>
          <cell r="C157" t="e">
            <v>#REF!</v>
          </cell>
          <cell r="D157" t="e">
            <v>#REF!</v>
          </cell>
          <cell r="E157" t="e">
            <v>#REF!</v>
          </cell>
          <cell r="F157" t="e">
            <v>#REF!</v>
          </cell>
          <cell r="G157" t="e">
            <v>#REF!</v>
          </cell>
          <cell r="H157" t="e">
            <v>#REF!</v>
          </cell>
          <cell r="I157" t="e">
            <v>#REF!</v>
          </cell>
          <cell r="J157" t="e">
            <v>#REF!</v>
          </cell>
        </row>
        <row r="158">
          <cell r="A158" t="e">
            <v>#REF!</v>
          </cell>
          <cell r="B158" t="e">
            <v>#REF!</v>
          </cell>
          <cell r="C158" t="e">
            <v>#REF!</v>
          </cell>
          <cell r="D158" t="e">
            <v>#REF!</v>
          </cell>
          <cell r="E158" t="e">
            <v>#REF!</v>
          </cell>
          <cell r="F158" t="e">
            <v>#REF!</v>
          </cell>
          <cell r="G158" t="e">
            <v>#REF!</v>
          </cell>
          <cell r="H158" t="e">
            <v>#REF!</v>
          </cell>
          <cell r="I158" t="e">
            <v>#REF!</v>
          </cell>
          <cell r="J158" t="e">
            <v>#REF!</v>
          </cell>
        </row>
        <row r="159">
          <cell r="A159" t="e">
            <v>#REF!</v>
          </cell>
          <cell r="B159" t="e">
            <v>#REF!</v>
          </cell>
          <cell r="C159" t="e">
            <v>#REF!</v>
          </cell>
          <cell r="D159" t="e">
            <v>#REF!</v>
          </cell>
          <cell r="E159" t="e">
            <v>#REF!</v>
          </cell>
          <cell r="F159" t="e">
            <v>#REF!</v>
          </cell>
          <cell r="G159" t="e">
            <v>#REF!</v>
          </cell>
          <cell r="H159" t="e">
            <v>#REF!</v>
          </cell>
          <cell r="I159" t="e">
            <v>#REF!</v>
          </cell>
          <cell r="J159" t="e">
            <v>#REF!</v>
          </cell>
        </row>
        <row r="160">
          <cell r="A160" t="e">
            <v>#REF!</v>
          </cell>
          <cell r="B160" t="e">
            <v>#REF!</v>
          </cell>
          <cell r="C160" t="e">
            <v>#REF!</v>
          </cell>
          <cell r="D160" t="e">
            <v>#REF!</v>
          </cell>
          <cell r="E160" t="e">
            <v>#REF!</v>
          </cell>
          <cell r="F160" t="e">
            <v>#REF!</v>
          </cell>
          <cell r="G160" t="e">
            <v>#REF!</v>
          </cell>
          <cell r="H160" t="e">
            <v>#REF!</v>
          </cell>
          <cell r="I160" t="e">
            <v>#REF!</v>
          </cell>
          <cell r="J160" t="e">
            <v>#REF!</v>
          </cell>
        </row>
        <row r="161">
          <cell r="A161" t="e">
            <v>#REF!</v>
          </cell>
          <cell r="B161" t="e">
            <v>#REF!</v>
          </cell>
          <cell r="C161" t="e">
            <v>#REF!</v>
          </cell>
          <cell r="D161" t="e">
            <v>#REF!</v>
          </cell>
          <cell r="E161" t="e">
            <v>#REF!</v>
          </cell>
          <cell r="F161" t="e">
            <v>#REF!</v>
          </cell>
          <cell r="G161" t="e">
            <v>#REF!</v>
          </cell>
          <cell r="H161" t="e">
            <v>#REF!</v>
          </cell>
          <cell r="I161" t="e">
            <v>#REF!</v>
          </cell>
          <cell r="J161" t="e">
            <v>#REF!</v>
          </cell>
        </row>
        <row r="162">
          <cell r="A162" t="e">
            <v>#REF!</v>
          </cell>
          <cell r="B162" t="e">
            <v>#REF!</v>
          </cell>
          <cell r="C162" t="e">
            <v>#REF!</v>
          </cell>
          <cell r="D162" t="e">
            <v>#REF!</v>
          </cell>
          <cell r="E162" t="e">
            <v>#REF!</v>
          </cell>
          <cell r="F162" t="e">
            <v>#REF!</v>
          </cell>
          <cell r="G162" t="e">
            <v>#REF!</v>
          </cell>
          <cell r="H162" t="e">
            <v>#REF!</v>
          </cell>
          <cell r="I162" t="e">
            <v>#REF!</v>
          </cell>
          <cell r="J162" t="e">
            <v>#REF!</v>
          </cell>
        </row>
        <row r="163">
          <cell r="A163" t="e">
            <v>#REF!</v>
          </cell>
          <cell r="B163" t="e">
            <v>#REF!</v>
          </cell>
          <cell r="C163" t="e">
            <v>#REF!</v>
          </cell>
          <cell r="D163" t="e">
            <v>#REF!</v>
          </cell>
          <cell r="E163" t="e">
            <v>#REF!</v>
          </cell>
          <cell r="F163" t="e">
            <v>#REF!</v>
          </cell>
          <cell r="G163" t="e">
            <v>#REF!</v>
          </cell>
          <cell r="H163" t="e">
            <v>#REF!</v>
          </cell>
          <cell r="I163" t="e">
            <v>#REF!</v>
          </cell>
          <cell r="J163" t="e">
            <v>#REF!</v>
          </cell>
        </row>
        <row r="164">
          <cell r="A164" t="e">
            <v>#REF!</v>
          </cell>
          <cell r="B164" t="e">
            <v>#REF!</v>
          </cell>
          <cell r="C164" t="e">
            <v>#REF!</v>
          </cell>
          <cell r="D164" t="e">
            <v>#REF!</v>
          </cell>
          <cell r="E164" t="e">
            <v>#REF!</v>
          </cell>
          <cell r="F164" t="e">
            <v>#REF!</v>
          </cell>
          <cell r="G164" t="e">
            <v>#REF!</v>
          </cell>
          <cell r="H164" t="e">
            <v>#REF!</v>
          </cell>
          <cell r="I164" t="e">
            <v>#REF!</v>
          </cell>
          <cell r="J164" t="e">
            <v>#REF!</v>
          </cell>
        </row>
        <row r="165">
          <cell r="A165" t="e">
            <v>#REF!</v>
          </cell>
          <cell r="B165" t="e">
            <v>#REF!</v>
          </cell>
          <cell r="C165" t="e">
            <v>#REF!</v>
          </cell>
          <cell r="D165" t="e">
            <v>#REF!</v>
          </cell>
          <cell r="E165" t="e">
            <v>#REF!</v>
          </cell>
          <cell r="F165" t="e">
            <v>#REF!</v>
          </cell>
          <cell r="G165" t="e">
            <v>#REF!</v>
          </cell>
          <cell r="H165" t="e">
            <v>#REF!</v>
          </cell>
          <cell r="I165" t="e">
            <v>#REF!</v>
          </cell>
          <cell r="J165" t="e">
            <v>#REF!</v>
          </cell>
        </row>
        <row r="166">
          <cell r="A166" t="e">
            <v>#REF!</v>
          </cell>
          <cell r="B166" t="e">
            <v>#REF!</v>
          </cell>
          <cell r="C166" t="e">
            <v>#REF!</v>
          </cell>
          <cell r="D166" t="e">
            <v>#REF!</v>
          </cell>
          <cell r="E166" t="e">
            <v>#REF!</v>
          </cell>
          <cell r="F166" t="e">
            <v>#REF!</v>
          </cell>
          <cell r="G166" t="e">
            <v>#REF!</v>
          </cell>
          <cell r="H166" t="e">
            <v>#REF!</v>
          </cell>
          <cell r="I166" t="e">
            <v>#REF!</v>
          </cell>
          <cell r="J166" t="e">
            <v>#REF!</v>
          </cell>
        </row>
        <row r="167">
          <cell r="A167" t="e">
            <v>#REF!</v>
          </cell>
          <cell r="B167" t="e">
            <v>#REF!</v>
          </cell>
          <cell r="C167" t="e">
            <v>#REF!</v>
          </cell>
          <cell r="D167" t="e">
            <v>#REF!</v>
          </cell>
          <cell r="E167" t="e">
            <v>#REF!</v>
          </cell>
          <cell r="F167" t="e">
            <v>#REF!</v>
          </cell>
          <cell r="G167" t="e">
            <v>#REF!</v>
          </cell>
          <cell r="H167" t="e">
            <v>#REF!</v>
          </cell>
          <cell r="I167" t="e">
            <v>#REF!</v>
          </cell>
          <cell r="J167" t="e">
            <v>#REF!</v>
          </cell>
        </row>
        <row r="168">
          <cell r="A168" t="e">
            <v>#REF!</v>
          </cell>
          <cell r="B168" t="e">
            <v>#REF!</v>
          </cell>
          <cell r="C168" t="e">
            <v>#REF!</v>
          </cell>
          <cell r="D168" t="e">
            <v>#REF!</v>
          </cell>
          <cell r="E168" t="e">
            <v>#REF!</v>
          </cell>
          <cell r="F168" t="e">
            <v>#REF!</v>
          </cell>
          <cell r="G168" t="e">
            <v>#REF!</v>
          </cell>
          <cell r="H168" t="e">
            <v>#REF!</v>
          </cell>
          <cell r="I168" t="e">
            <v>#REF!</v>
          </cell>
          <cell r="J168" t="e">
            <v>#REF!</v>
          </cell>
        </row>
        <row r="169">
          <cell r="A169" t="e">
            <v>#REF!</v>
          </cell>
          <cell r="B169" t="e">
            <v>#REF!</v>
          </cell>
          <cell r="C169" t="e">
            <v>#REF!</v>
          </cell>
          <cell r="D169" t="e">
            <v>#REF!</v>
          </cell>
          <cell r="E169" t="e">
            <v>#REF!</v>
          </cell>
          <cell r="F169" t="e">
            <v>#REF!</v>
          </cell>
          <cell r="G169" t="e">
            <v>#REF!</v>
          </cell>
          <cell r="H169" t="e">
            <v>#REF!</v>
          </cell>
          <cell r="I169" t="e">
            <v>#REF!</v>
          </cell>
          <cell r="J169" t="e">
            <v>#REF!</v>
          </cell>
        </row>
        <row r="170">
          <cell r="A170" t="e">
            <v>#REF!</v>
          </cell>
          <cell r="B170" t="e">
            <v>#REF!</v>
          </cell>
          <cell r="C170" t="e">
            <v>#REF!</v>
          </cell>
          <cell r="D170" t="e">
            <v>#REF!</v>
          </cell>
          <cell r="E170" t="e">
            <v>#REF!</v>
          </cell>
          <cell r="F170" t="e">
            <v>#REF!</v>
          </cell>
          <cell r="G170" t="e">
            <v>#REF!</v>
          </cell>
          <cell r="H170" t="e">
            <v>#REF!</v>
          </cell>
          <cell r="I170" t="e">
            <v>#REF!</v>
          </cell>
          <cell r="J170" t="e">
            <v>#REF!</v>
          </cell>
        </row>
        <row r="171">
          <cell r="A171" t="e">
            <v>#REF!</v>
          </cell>
          <cell r="B171" t="e">
            <v>#REF!</v>
          </cell>
          <cell r="C171" t="e">
            <v>#REF!</v>
          </cell>
          <cell r="D171" t="e">
            <v>#REF!</v>
          </cell>
          <cell r="E171" t="e">
            <v>#REF!</v>
          </cell>
          <cell r="F171" t="e">
            <v>#REF!</v>
          </cell>
          <cell r="G171" t="e">
            <v>#REF!</v>
          </cell>
          <cell r="H171" t="e">
            <v>#REF!</v>
          </cell>
          <cell r="I171" t="e">
            <v>#REF!</v>
          </cell>
          <cell r="J171" t="e">
            <v>#REF!</v>
          </cell>
        </row>
        <row r="172">
          <cell r="A172" t="e">
            <v>#REF!</v>
          </cell>
          <cell r="B172" t="e">
            <v>#REF!</v>
          </cell>
          <cell r="C172" t="e">
            <v>#REF!</v>
          </cell>
          <cell r="D172" t="e">
            <v>#REF!</v>
          </cell>
          <cell r="E172" t="e">
            <v>#REF!</v>
          </cell>
          <cell r="F172" t="e">
            <v>#REF!</v>
          </cell>
          <cell r="G172" t="e">
            <v>#REF!</v>
          </cell>
          <cell r="H172" t="e">
            <v>#REF!</v>
          </cell>
          <cell r="I172" t="e">
            <v>#REF!</v>
          </cell>
          <cell r="J172" t="e">
            <v>#REF!</v>
          </cell>
        </row>
        <row r="173">
          <cell r="A173" t="e">
            <v>#REF!</v>
          </cell>
          <cell r="B173" t="e">
            <v>#REF!</v>
          </cell>
          <cell r="C173" t="e">
            <v>#REF!</v>
          </cell>
          <cell r="D173" t="e">
            <v>#REF!</v>
          </cell>
          <cell r="E173" t="e">
            <v>#REF!</v>
          </cell>
          <cell r="F173" t="e">
            <v>#REF!</v>
          </cell>
          <cell r="G173" t="e">
            <v>#REF!</v>
          </cell>
          <cell r="H173" t="e">
            <v>#REF!</v>
          </cell>
          <cell r="I173" t="e">
            <v>#REF!</v>
          </cell>
          <cell r="J173" t="e">
            <v>#REF!</v>
          </cell>
        </row>
        <row r="174">
          <cell r="A174" t="e">
            <v>#REF!</v>
          </cell>
          <cell r="B174" t="e">
            <v>#REF!</v>
          </cell>
          <cell r="C174" t="e">
            <v>#REF!</v>
          </cell>
          <cell r="D174" t="e">
            <v>#REF!</v>
          </cell>
          <cell r="E174" t="e">
            <v>#REF!</v>
          </cell>
          <cell r="F174" t="e">
            <v>#REF!</v>
          </cell>
          <cell r="G174" t="e">
            <v>#REF!</v>
          </cell>
          <cell r="H174" t="e">
            <v>#REF!</v>
          </cell>
          <cell r="I174" t="e">
            <v>#REF!</v>
          </cell>
          <cell r="J174" t="e">
            <v>#REF!</v>
          </cell>
        </row>
        <row r="175">
          <cell r="A175" t="e">
            <v>#REF!</v>
          </cell>
          <cell r="B175" t="e">
            <v>#REF!</v>
          </cell>
          <cell r="C175" t="e">
            <v>#REF!</v>
          </cell>
          <cell r="D175" t="e">
            <v>#REF!</v>
          </cell>
          <cell r="E175" t="e">
            <v>#REF!</v>
          </cell>
          <cell r="F175" t="e">
            <v>#REF!</v>
          </cell>
          <cell r="G175" t="e">
            <v>#REF!</v>
          </cell>
          <cell r="H175" t="e">
            <v>#REF!</v>
          </cell>
          <cell r="I175" t="e">
            <v>#REF!</v>
          </cell>
          <cell r="J175" t="e">
            <v>#REF!</v>
          </cell>
        </row>
        <row r="176">
          <cell r="A176" t="e">
            <v>#REF!</v>
          </cell>
          <cell r="B176" t="e">
            <v>#REF!</v>
          </cell>
          <cell r="C176" t="e">
            <v>#REF!</v>
          </cell>
          <cell r="D176" t="e">
            <v>#REF!</v>
          </cell>
          <cell r="E176" t="e">
            <v>#REF!</v>
          </cell>
          <cell r="F176" t="e">
            <v>#REF!</v>
          </cell>
          <cell r="G176" t="e">
            <v>#REF!</v>
          </cell>
          <cell r="H176" t="e">
            <v>#REF!</v>
          </cell>
          <cell r="I176" t="e">
            <v>#REF!</v>
          </cell>
          <cell r="J176" t="e">
            <v>#REF!</v>
          </cell>
        </row>
        <row r="177">
          <cell r="A177" t="e">
            <v>#REF!</v>
          </cell>
          <cell r="B177" t="e">
            <v>#REF!</v>
          </cell>
          <cell r="C177" t="e">
            <v>#REF!</v>
          </cell>
          <cell r="D177" t="e">
            <v>#REF!</v>
          </cell>
          <cell r="E177" t="e">
            <v>#REF!</v>
          </cell>
          <cell r="F177" t="e">
            <v>#REF!</v>
          </cell>
          <cell r="G177" t="e">
            <v>#REF!</v>
          </cell>
          <cell r="H177" t="e">
            <v>#REF!</v>
          </cell>
          <cell r="I177" t="e">
            <v>#REF!</v>
          </cell>
          <cell r="J177" t="e">
            <v>#REF!</v>
          </cell>
        </row>
        <row r="178">
          <cell r="A178" t="e">
            <v>#REF!</v>
          </cell>
          <cell r="B178" t="e">
            <v>#REF!</v>
          </cell>
          <cell r="C178" t="e">
            <v>#REF!</v>
          </cell>
          <cell r="D178" t="e">
            <v>#REF!</v>
          </cell>
          <cell r="E178" t="e">
            <v>#REF!</v>
          </cell>
          <cell r="F178" t="e">
            <v>#REF!</v>
          </cell>
          <cell r="G178" t="e">
            <v>#REF!</v>
          </cell>
          <cell r="H178" t="e">
            <v>#REF!</v>
          </cell>
          <cell r="I178" t="e">
            <v>#REF!</v>
          </cell>
          <cell r="J178" t="e">
            <v>#REF!</v>
          </cell>
        </row>
        <row r="179">
          <cell r="A179" t="e">
            <v>#REF!</v>
          </cell>
          <cell r="B179" t="e">
            <v>#REF!</v>
          </cell>
          <cell r="C179" t="e">
            <v>#REF!</v>
          </cell>
          <cell r="D179" t="e">
            <v>#REF!</v>
          </cell>
          <cell r="E179" t="e">
            <v>#REF!</v>
          </cell>
          <cell r="F179" t="e">
            <v>#REF!</v>
          </cell>
          <cell r="G179" t="e">
            <v>#REF!</v>
          </cell>
          <cell r="H179" t="e">
            <v>#REF!</v>
          </cell>
          <cell r="I179" t="e">
            <v>#REF!</v>
          </cell>
          <cell r="J179" t="e">
            <v>#REF!</v>
          </cell>
        </row>
        <row r="180">
          <cell r="A180" t="e">
            <v>#REF!</v>
          </cell>
          <cell r="B180" t="e">
            <v>#REF!</v>
          </cell>
          <cell r="C180" t="e">
            <v>#REF!</v>
          </cell>
          <cell r="D180" t="e">
            <v>#REF!</v>
          </cell>
          <cell r="E180" t="e">
            <v>#REF!</v>
          </cell>
          <cell r="F180" t="e">
            <v>#REF!</v>
          </cell>
          <cell r="G180" t="e">
            <v>#REF!</v>
          </cell>
          <cell r="H180" t="e">
            <v>#REF!</v>
          </cell>
          <cell r="I180" t="e">
            <v>#REF!</v>
          </cell>
          <cell r="J180" t="e">
            <v>#REF!</v>
          </cell>
        </row>
        <row r="181">
          <cell r="A181" t="e">
            <v>#REF!</v>
          </cell>
          <cell r="B181" t="e">
            <v>#REF!</v>
          </cell>
          <cell r="C181" t="e">
            <v>#REF!</v>
          </cell>
          <cell r="D181" t="e">
            <v>#REF!</v>
          </cell>
          <cell r="E181" t="e">
            <v>#REF!</v>
          </cell>
          <cell r="F181" t="e">
            <v>#REF!</v>
          </cell>
          <cell r="G181" t="e">
            <v>#REF!</v>
          </cell>
          <cell r="H181" t="e">
            <v>#REF!</v>
          </cell>
          <cell r="I181" t="e">
            <v>#REF!</v>
          </cell>
          <cell r="J181" t="e">
            <v>#REF!</v>
          </cell>
        </row>
        <row r="182">
          <cell r="A182" t="e">
            <v>#REF!</v>
          </cell>
          <cell r="B182" t="e">
            <v>#REF!</v>
          </cell>
          <cell r="C182" t="e">
            <v>#REF!</v>
          </cell>
          <cell r="D182" t="e">
            <v>#REF!</v>
          </cell>
          <cell r="E182" t="e">
            <v>#REF!</v>
          </cell>
          <cell r="F182" t="e">
            <v>#REF!</v>
          </cell>
          <cell r="G182" t="e">
            <v>#REF!</v>
          </cell>
          <cell r="H182" t="e">
            <v>#REF!</v>
          </cell>
          <cell r="I182" t="e">
            <v>#REF!</v>
          </cell>
          <cell r="J182" t="e">
            <v>#REF!</v>
          </cell>
        </row>
        <row r="183">
          <cell r="A183" t="e">
            <v>#REF!</v>
          </cell>
          <cell r="B183" t="e">
            <v>#REF!</v>
          </cell>
          <cell r="C183" t="e">
            <v>#REF!</v>
          </cell>
          <cell r="D183" t="e">
            <v>#REF!</v>
          </cell>
          <cell r="E183" t="e">
            <v>#REF!</v>
          </cell>
          <cell r="F183" t="e">
            <v>#REF!</v>
          </cell>
          <cell r="G183" t="e">
            <v>#REF!</v>
          </cell>
          <cell r="H183" t="e">
            <v>#REF!</v>
          </cell>
          <cell r="I183" t="e">
            <v>#REF!</v>
          </cell>
          <cell r="J183" t="e">
            <v>#REF!</v>
          </cell>
        </row>
        <row r="184">
          <cell r="A184" t="e">
            <v>#REF!</v>
          </cell>
          <cell r="B184" t="e">
            <v>#REF!</v>
          </cell>
          <cell r="C184" t="e">
            <v>#REF!</v>
          </cell>
          <cell r="D184" t="e">
            <v>#REF!</v>
          </cell>
          <cell r="E184" t="e">
            <v>#REF!</v>
          </cell>
          <cell r="F184" t="e">
            <v>#REF!</v>
          </cell>
          <cell r="G184" t="e">
            <v>#REF!</v>
          </cell>
          <cell r="H184" t="e">
            <v>#REF!</v>
          </cell>
          <cell r="I184" t="e">
            <v>#REF!</v>
          </cell>
          <cell r="J184" t="e">
            <v>#REF!</v>
          </cell>
        </row>
        <row r="185">
          <cell r="A185" t="e">
            <v>#REF!</v>
          </cell>
          <cell r="B185" t="e">
            <v>#REF!</v>
          </cell>
          <cell r="C185" t="e">
            <v>#REF!</v>
          </cell>
          <cell r="D185" t="e">
            <v>#REF!</v>
          </cell>
          <cell r="E185" t="e">
            <v>#REF!</v>
          </cell>
          <cell r="F185" t="e">
            <v>#REF!</v>
          </cell>
          <cell r="G185" t="e">
            <v>#REF!</v>
          </cell>
          <cell r="H185" t="e">
            <v>#REF!</v>
          </cell>
          <cell r="I185" t="e">
            <v>#REF!</v>
          </cell>
          <cell r="J185" t="e">
            <v>#REF!</v>
          </cell>
        </row>
        <row r="186">
          <cell r="A186" t="e">
            <v>#REF!</v>
          </cell>
          <cell r="B186" t="e">
            <v>#REF!</v>
          </cell>
          <cell r="C186" t="e">
            <v>#REF!</v>
          </cell>
          <cell r="D186" t="e">
            <v>#REF!</v>
          </cell>
          <cell r="E186" t="e">
            <v>#REF!</v>
          </cell>
          <cell r="F186" t="e">
            <v>#REF!</v>
          </cell>
          <cell r="G186" t="e">
            <v>#REF!</v>
          </cell>
          <cell r="H186" t="e">
            <v>#REF!</v>
          </cell>
          <cell r="I186" t="e">
            <v>#REF!</v>
          </cell>
          <cell r="J186" t="e">
            <v>#REF!</v>
          </cell>
        </row>
        <row r="187">
          <cell r="A187" t="e">
            <v>#REF!</v>
          </cell>
          <cell r="B187" t="e">
            <v>#REF!</v>
          </cell>
          <cell r="C187" t="e">
            <v>#REF!</v>
          </cell>
          <cell r="D187" t="e">
            <v>#REF!</v>
          </cell>
          <cell r="E187" t="e">
            <v>#REF!</v>
          </cell>
          <cell r="F187" t="e">
            <v>#REF!</v>
          </cell>
          <cell r="G187" t="e">
            <v>#REF!</v>
          </cell>
          <cell r="H187" t="e">
            <v>#REF!</v>
          </cell>
          <cell r="I187" t="e">
            <v>#REF!</v>
          </cell>
          <cell r="J187" t="e">
            <v>#REF!</v>
          </cell>
        </row>
        <row r="188">
          <cell r="A188" t="e">
            <v>#REF!</v>
          </cell>
          <cell r="B188" t="e">
            <v>#REF!</v>
          </cell>
          <cell r="C188" t="e">
            <v>#REF!</v>
          </cell>
          <cell r="D188" t="e">
            <v>#REF!</v>
          </cell>
          <cell r="E188" t="e">
            <v>#REF!</v>
          </cell>
          <cell r="F188" t="e">
            <v>#REF!</v>
          </cell>
          <cell r="G188" t="e">
            <v>#REF!</v>
          </cell>
          <cell r="H188" t="e">
            <v>#REF!</v>
          </cell>
          <cell r="I188" t="e">
            <v>#REF!</v>
          </cell>
          <cell r="J188" t="e">
            <v>#REF!</v>
          </cell>
        </row>
        <row r="189">
          <cell r="A189" t="e">
            <v>#REF!</v>
          </cell>
          <cell r="B189" t="e">
            <v>#REF!</v>
          </cell>
          <cell r="C189" t="e">
            <v>#REF!</v>
          </cell>
          <cell r="D189" t="e">
            <v>#REF!</v>
          </cell>
          <cell r="E189" t="e">
            <v>#REF!</v>
          </cell>
          <cell r="F189" t="e">
            <v>#REF!</v>
          </cell>
          <cell r="G189" t="e">
            <v>#REF!</v>
          </cell>
          <cell r="H189" t="e">
            <v>#REF!</v>
          </cell>
          <cell r="I189" t="e">
            <v>#REF!</v>
          </cell>
          <cell r="J189" t="e">
            <v>#REF!</v>
          </cell>
        </row>
        <row r="190">
          <cell r="A190" t="e">
            <v>#REF!</v>
          </cell>
          <cell r="B190" t="e">
            <v>#REF!</v>
          </cell>
          <cell r="C190" t="e">
            <v>#REF!</v>
          </cell>
          <cell r="D190" t="e">
            <v>#REF!</v>
          </cell>
          <cell r="E190" t="e">
            <v>#REF!</v>
          </cell>
          <cell r="F190" t="e">
            <v>#REF!</v>
          </cell>
          <cell r="G190" t="e">
            <v>#REF!</v>
          </cell>
          <cell r="H190" t="e">
            <v>#REF!</v>
          </cell>
          <cell r="I190" t="e">
            <v>#REF!</v>
          </cell>
          <cell r="J190" t="e">
            <v>#REF!</v>
          </cell>
        </row>
        <row r="191">
          <cell r="A191" t="e">
            <v>#REF!</v>
          </cell>
          <cell r="B191" t="e">
            <v>#REF!</v>
          </cell>
          <cell r="C191" t="e">
            <v>#REF!</v>
          </cell>
          <cell r="D191" t="e">
            <v>#REF!</v>
          </cell>
          <cell r="E191" t="e">
            <v>#REF!</v>
          </cell>
          <cell r="F191" t="e">
            <v>#REF!</v>
          </cell>
          <cell r="G191" t="e">
            <v>#REF!</v>
          </cell>
          <cell r="H191" t="e">
            <v>#REF!</v>
          </cell>
          <cell r="I191" t="e">
            <v>#REF!</v>
          </cell>
          <cell r="J191" t="e">
            <v>#REF!</v>
          </cell>
        </row>
        <row r="192">
          <cell r="A192" t="e">
            <v>#REF!</v>
          </cell>
          <cell r="B192" t="e">
            <v>#REF!</v>
          </cell>
          <cell r="C192" t="e">
            <v>#REF!</v>
          </cell>
          <cell r="D192" t="e">
            <v>#REF!</v>
          </cell>
          <cell r="E192" t="e">
            <v>#REF!</v>
          </cell>
          <cell r="F192" t="e">
            <v>#REF!</v>
          </cell>
          <cell r="G192" t="e">
            <v>#REF!</v>
          </cell>
          <cell r="H192" t="e">
            <v>#REF!</v>
          </cell>
          <cell r="I192" t="e">
            <v>#REF!</v>
          </cell>
          <cell r="J192" t="e">
            <v>#REF!</v>
          </cell>
        </row>
        <row r="193">
          <cell r="A193" t="e">
            <v>#REF!</v>
          </cell>
          <cell r="B193" t="e">
            <v>#REF!</v>
          </cell>
          <cell r="C193" t="e">
            <v>#REF!</v>
          </cell>
          <cell r="D193" t="e">
            <v>#REF!</v>
          </cell>
          <cell r="E193" t="e">
            <v>#REF!</v>
          </cell>
          <cell r="F193" t="e">
            <v>#REF!</v>
          </cell>
          <cell r="G193" t="e">
            <v>#REF!</v>
          </cell>
          <cell r="H193" t="e">
            <v>#REF!</v>
          </cell>
          <cell r="I193" t="e">
            <v>#REF!</v>
          </cell>
          <cell r="J193" t="e">
            <v>#REF!</v>
          </cell>
        </row>
        <row r="194">
          <cell r="A194" t="e">
            <v>#REF!</v>
          </cell>
          <cell r="B194" t="e">
            <v>#REF!</v>
          </cell>
          <cell r="C194" t="e">
            <v>#REF!</v>
          </cell>
          <cell r="D194" t="e">
            <v>#REF!</v>
          </cell>
          <cell r="E194" t="e">
            <v>#REF!</v>
          </cell>
          <cell r="F194" t="e">
            <v>#REF!</v>
          </cell>
          <cell r="G194" t="e">
            <v>#REF!</v>
          </cell>
          <cell r="H194" t="e">
            <v>#REF!</v>
          </cell>
          <cell r="I194" t="e">
            <v>#REF!</v>
          </cell>
          <cell r="J194" t="e">
            <v>#REF!</v>
          </cell>
        </row>
        <row r="195">
          <cell r="A195" t="e">
            <v>#REF!</v>
          </cell>
          <cell r="B195" t="e">
            <v>#REF!</v>
          </cell>
          <cell r="C195" t="e">
            <v>#REF!</v>
          </cell>
          <cell r="D195" t="e">
            <v>#REF!</v>
          </cell>
          <cell r="E195" t="e">
            <v>#REF!</v>
          </cell>
          <cell r="F195" t="e">
            <v>#REF!</v>
          </cell>
          <cell r="G195" t="e">
            <v>#REF!</v>
          </cell>
          <cell r="H195" t="e">
            <v>#REF!</v>
          </cell>
          <cell r="I195" t="e">
            <v>#REF!</v>
          </cell>
          <cell r="J195" t="e">
            <v>#REF!</v>
          </cell>
        </row>
        <row r="196">
          <cell r="A196" t="e">
            <v>#REF!</v>
          </cell>
          <cell r="B196" t="e">
            <v>#REF!</v>
          </cell>
          <cell r="C196" t="e">
            <v>#REF!</v>
          </cell>
          <cell r="D196" t="e">
            <v>#REF!</v>
          </cell>
          <cell r="E196" t="e">
            <v>#REF!</v>
          </cell>
          <cell r="F196" t="e">
            <v>#REF!</v>
          </cell>
          <cell r="G196" t="e">
            <v>#REF!</v>
          </cell>
          <cell r="H196" t="e">
            <v>#REF!</v>
          </cell>
          <cell r="I196" t="e">
            <v>#REF!</v>
          </cell>
          <cell r="J196" t="e">
            <v>#REF!</v>
          </cell>
        </row>
        <row r="197">
          <cell r="A197" t="e">
            <v>#REF!</v>
          </cell>
          <cell r="B197" t="e">
            <v>#REF!</v>
          </cell>
          <cell r="C197" t="e">
            <v>#REF!</v>
          </cell>
          <cell r="D197" t="e">
            <v>#REF!</v>
          </cell>
          <cell r="E197" t="e">
            <v>#REF!</v>
          </cell>
          <cell r="F197" t="e">
            <v>#REF!</v>
          </cell>
          <cell r="G197" t="e">
            <v>#REF!</v>
          </cell>
          <cell r="H197" t="e">
            <v>#REF!</v>
          </cell>
          <cell r="I197" t="e">
            <v>#REF!</v>
          </cell>
          <cell r="J197" t="e">
            <v>#REF!</v>
          </cell>
        </row>
        <row r="198">
          <cell r="A198" t="e">
            <v>#REF!</v>
          </cell>
          <cell r="B198" t="e">
            <v>#REF!</v>
          </cell>
          <cell r="C198" t="e">
            <v>#REF!</v>
          </cell>
          <cell r="D198" t="e">
            <v>#REF!</v>
          </cell>
          <cell r="E198" t="e">
            <v>#REF!</v>
          </cell>
          <cell r="F198" t="e">
            <v>#REF!</v>
          </cell>
          <cell r="G198" t="e">
            <v>#REF!</v>
          </cell>
          <cell r="H198" t="e">
            <v>#REF!</v>
          </cell>
          <cell r="I198" t="e">
            <v>#REF!</v>
          </cell>
          <cell r="J198" t="e">
            <v>#REF!</v>
          </cell>
        </row>
        <row r="199">
          <cell r="A199" t="e">
            <v>#REF!</v>
          </cell>
          <cell r="B199" t="e">
            <v>#REF!</v>
          </cell>
          <cell r="C199" t="e">
            <v>#REF!</v>
          </cell>
          <cell r="D199" t="e">
            <v>#REF!</v>
          </cell>
          <cell r="E199" t="e">
            <v>#REF!</v>
          </cell>
          <cell r="F199" t="e">
            <v>#REF!</v>
          </cell>
          <cell r="G199" t="e">
            <v>#REF!</v>
          </cell>
          <cell r="H199" t="e">
            <v>#REF!</v>
          </cell>
          <cell r="I199" t="e">
            <v>#REF!</v>
          </cell>
          <cell r="J199" t="e">
            <v>#REF!</v>
          </cell>
        </row>
        <row r="200">
          <cell r="A200" t="e">
            <v>#REF!</v>
          </cell>
          <cell r="B200" t="e">
            <v>#REF!</v>
          </cell>
          <cell r="C200" t="e">
            <v>#REF!</v>
          </cell>
          <cell r="D200" t="e">
            <v>#REF!</v>
          </cell>
          <cell r="E200" t="e">
            <v>#REF!</v>
          </cell>
          <cell r="F200" t="e">
            <v>#REF!</v>
          </cell>
          <cell r="G200" t="e">
            <v>#REF!</v>
          </cell>
          <cell r="H200" t="e">
            <v>#REF!</v>
          </cell>
          <cell r="I200" t="e">
            <v>#REF!</v>
          </cell>
          <cell r="J200" t="e">
            <v>#REF!</v>
          </cell>
        </row>
        <row r="201">
          <cell r="A201" t="e">
            <v>#REF!</v>
          </cell>
          <cell r="B201" t="e">
            <v>#REF!</v>
          </cell>
          <cell r="C201" t="e">
            <v>#REF!</v>
          </cell>
          <cell r="D201" t="e">
            <v>#REF!</v>
          </cell>
          <cell r="E201" t="e">
            <v>#REF!</v>
          </cell>
          <cell r="F201" t="e">
            <v>#REF!</v>
          </cell>
          <cell r="G201" t="e">
            <v>#REF!</v>
          </cell>
          <cell r="H201" t="e">
            <v>#REF!</v>
          </cell>
          <cell r="I201" t="e">
            <v>#REF!</v>
          </cell>
          <cell r="J201" t="e">
            <v>#REF!</v>
          </cell>
        </row>
        <row r="202">
          <cell r="A202" t="e">
            <v>#REF!</v>
          </cell>
          <cell r="B202" t="e">
            <v>#REF!</v>
          </cell>
          <cell r="C202" t="e">
            <v>#REF!</v>
          </cell>
          <cell r="D202" t="e">
            <v>#REF!</v>
          </cell>
          <cell r="E202" t="e">
            <v>#REF!</v>
          </cell>
          <cell r="F202" t="e">
            <v>#REF!</v>
          </cell>
          <cell r="G202" t="e">
            <v>#REF!</v>
          </cell>
          <cell r="H202" t="e">
            <v>#REF!</v>
          </cell>
          <cell r="I202" t="e">
            <v>#REF!</v>
          </cell>
          <cell r="J202" t="e">
            <v>#REF!</v>
          </cell>
        </row>
        <row r="203">
          <cell r="A203" t="e">
            <v>#REF!</v>
          </cell>
          <cell r="B203" t="e">
            <v>#REF!</v>
          </cell>
          <cell r="C203" t="e">
            <v>#REF!</v>
          </cell>
          <cell r="D203" t="e">
            <v>#REF!</v>
          </cell>
          <cell r="E203" t="e">
            <v>#REF!</v>
          </cell>
          <cell r="F203" t="e">
            <v>#REF!</v>
          </cell>
          <cell r="G203" t="e">
            <v>#REF!</v>
          </cell>
          <cell r="H203" t="e">
            <v>#REF!</v>
          </cell>
          <cell r="I203" t="e">
            <v>#REF!</v>
          </cell>
          <cell r="J203" t="e">
            <v>#REF!</v>
          </cell>
        </row>
        <row r="204">
          <cell r="A204" t="e">
            <v>#REF!</v>
          </cell>
          <cell r="B204" t="e">
            <v>#REF!</v>
          </cell>
          <cell r="C204" t="e">
            <v>#REF!</v>
          </cell>
          <cell r="D204" t="e">
            <v>#REF!</v>
          </cell>
          <cell r="E204" t="e">
            <v>#REF!</v>
          </cell>
          <cell r="F204" t="e">
            <v>#REF!</v>
          </cell>
          <cell r="G204" t="e">
            <v>#REF!</v>
          </cell>
          <cell r="H204" t="e">
            <v>#REF!</v>
          </cell>
          <cell r="I204" t="e">
            <v>#REF!</v>
          </cell>
          <cell r="J204" t="e">
            <v>#REF!</v>
          </cell>
        </row>
        <row r="205">
          <cell r="A205" t="e">
            <v>#REF!</v>
          </cell>
          <cell r="B205" t="e">
            <v>#REF!</v>
          </cell>
          <cell r="C205" t="e">
            <v>#REF!</v>
          </cell>
          <cell r="D205" t="e">
            <v>#REF!</v>
          </cell>
          <cell r="E205" t="e">
            <v>#REF!</v>
          </cell>
          <cell r="F205" t="e">
            <v>#REF!</v>
          </cell>
          <cell r="G205" t="e">
            <v>#REF!</v>
          </cell>
          <cell r="H205" t="e">
            <v>#REF!</v>
          </cell>
          <cell r="I205" t="e">
            <v>#REF!</v>
          </cell>
          <cell r="J205" t="e">
            <v>#REF!</v>
          </cell>
        </row>
        <row r="206">
          <cell r="A206" t="e">
            <v>#REF!</v>
          </cell>
          <cell r="B206" t="e">
            <v>#REF!</v>
          </cell>
          <cell r="C206" t="e">
            <v>#REF!</v>
          </cell>
          <cell r="D206" t="e">
            <v>#REF!</v>
          </cell>
          <cell r="E206" t="e">
            <v>#REF!</v>
          </cell>
          <cell r="F206" t="e">
            <v>#REF!</v>
          </cell>
          <cell r="G206" t="e">
            <v>#REF!</v>
          </cell>
          <cell r="H206" t="e">
            <v>#REF!</v>
          </cell>
          <cell r="I206" t="e">
            <v>#REF!</v>
          </cell>
          <cell r="J206" t="e">
            <v>#REF!</v>
          </cell>
        </row>
        <row r="207">
          <cell r="A207" t="e">
            <v>#REF!</v>
          </cell>
          <cell r="B207" t="e">
            <v>#REF!</v>
          </cell>
          <cell r="C207" t="e">
            <v>#REF!</v>
          </cell>
          <cell r="D207" t="e">
            <v>#REF!</v>
          </cell>
          <cell r="E207" t="e">
            <v>#REF!</v>
          </cell>
          <cell r="F207" t="e">
            <v>#REF!</v>
          </cell>
          <cell r="G207" t="e">
            <v>#REF!</v>
          </cell>
          <cell r="H207" t="e">
            <v>#REF!</v>
          </cell>
          <cell r="I207" t="e">
            <v>#REF!</v>
          </cell>
          <cell r="J207" t="e">
            <v>#REF!</v>
          </cell>
        </row>
        <row r="208">
          <cell r="A208" t="e">
            <v>#REF!</v>
          </cell>
          <cell r="B208" t="e">
            <v>#REF!</v>
          </cell>
          <cell r="C208" t="e">
            <v>#REF!</v>
          </cell>
          <cell r="D208" t="e">
            <v>#REF!</v>
          </cell>
          <cell r="E208" t="e">
            <v>#REF!</v>
          </cell>
          <cell r="F208" t="e">
            <v>#REF!</v>
          </cell>
          <cell r="G208" t="e">
            <v>#REF!</v>
          </cell>
          <cell r="H208" t="e">
            <v>#REF!</v>
          </cell>
          <cell r="I208" t="e">
            <v>#REF!</v>
          </cell>
          <cell r="J208" t="e">
            <v>#REF!</v>
          </cell>
        </row>
        <row r="209">
          <cell r="A209" t="e">
            <v>#REF!</v>
          </cell>
          <cell r="B209" t="e">
            <v>#REF!</v>
          </cell>
          <cell r="C209" t="e">
            <v>#REF!</v>
          </cell>
          <cell r="D209" t="e">
            <v>#REF!</v>
          </cell>
          <cell r="E209" t="e">
            <v>#REF!</v>
          </cell>
          <cell r="F209" t="e">
            <v>#REF!</v>
          </cell>
          <cell r="G209" t="e">
            <v>#REF!</v>
          </cell>
          <cell r="H209" t="e">
            <v>#REF!</v>
          </cell>
          <cell r="I209" t="e">
            <v>#REF!</v>
          </cell>
          <cell r="J209" t="e">
            <v>#REF!</v>
          </cell>
        </row>
        <row r="210">
          <cell r="A210" t="e">
            <v>#REF!</v>
          </cell>
          <cell r="B210" t="e">
            <v>#REF!</v>
          </cell>
          <cell r="C210" t="e">
            <v>#REF!</v>
          </cell>
          <cell r="D210" t="e">
            <v>#REF!</v>
          </cell>
          <cell r="E210" t="e">
            <v>#REF!</v>
          </cell>
          <cell r="F210" t="e">
            <v>#REF!</v>
          </cell>
          <cell r="G210" t="e">
            <v>#REF!</v>
          </cell>
          <cell r="H210" t="e">
            <v>#REF!</v>
          </cell>
          <cell r="I210" t="e">
            <v>#REF!</v>
          </cell>
          <cell r="J210" t="e">
            <v>#REF!</v>
          </cell>
        </row>
        <row r="211">
          <cell r="A211" t="e">
            <v>#REF!</v>
          </cell>
          <cell r="B211" t="e">
            <v>#REF!</v>
          </cell>
          <cell r="C211" t="e">
            <v>#REF!</v>
          </cell>
          <cell r="D211" t="e">
            <v>#REF!</v>
          </cell>
          <cell r="E211" t="e">
            <v>#REF!</v>
          </cell>
          <cell r="F211" t="e">
            <v>#REF!</v>
          </cell>
          <cell r="G211" t="e">
            <v>#REF!</v>
          </cell>
          <cell r="H211" t="e">
            <v>#REF!</v>
          </cell>
          <cell r="I211" t="e">
            <v>#REF!</v>
          </cell>
          <cell r="J211" t="e">
            <v>#REF!</v>
          </cell>
        </row>
        <row r="212">
          <cell r="A212" t="e">
            <v>#REF!</v>
          </cell>
          <cell r="B212" t="e">
            <v>#REF!</v>
          </cell>
          <cell r="C212" t="e">
            <v>#REF!</v>
          </cell>
          <cell r="D212" t="e">
            <v>#REF!</v>
          </cell>
          <cell r="E212" t="e">
            <v>#REF!</v>
          </cell>
          <cell r="F212" t="e">
            <v>#REF!</v>
          </cell>
          <cell r="G212" t="e">
            <v>#REF!</v>
          </cell>
          <cell r="H212" t="e">
            <v>#REF!</v>
          </cell>
          <cell r="I212" t="e">
            <v>#REF!</v>
          </cell>
          <cell r="J212" t="e">
            <v>#REF!</v>
          </cell>
        </row>
        <row r="213">
          <cell r="A213" t="e">
            <v>#REF!</v>
          </cell>
          <cell r="B213" t="e">
            <v>#REF!</v>
          </cell>
          <cell r="C213" t="e">
            <v>#REF!</v>
          </cell>
          <cell r="D213" t="e">
            <v>#REF!</v>
          </cell>
          <cell r="E213" t="e">
            <v>#REF!</v>
          </cell>
          <cell r="F213" t="e">
            <v>#REF!</v>
          </cell>
          <cell r="G213" t="e">
            <v>#REF!</v>
          </cell>
          <cell r="H213" t="e">
            <v>#REF!</v>
          </cell>
          <cell r="I213" t="e">
            <v>#REF!</v>
          </cell>
          <cell r="J213" t="e">
            <v>#REF!</v>
          </cell>
        </row>
        <row r="214">
          <cell r="A214" t="e">
            <v>#REF!</v>
          </cell>
          <cell r="B214" t="e">
            <v>#REF!</v>
          </cell>
          <cell r="C214" t="e">
            <v>#REF!</v>
          </cell>
          <cell r="D214" t="e">
            <v>#REF!</v>
          </cell>
          <cell r="E214" t="e">
            <v>#REF!</v>
          </cell>
          <cell r="F214" t="e">
            <v>#REF!</v>
          </cell>
          <cell r="G214" t="e">
            <v>#REF!</v>
          </cell>
          <cell r="H214" t="e">
            <v>#REF!</v>
          </cell>
          <cell r="I214" t="e">
            <v>#REF!</v>
          </cell>
          <cell r="J214" t="e">
            <v>#REF!</v>
          </cell>
        </row>
        <row r="215">
          <cell r="A215" t="e">
            <v>#REF!</v>
          </cell>
          <cell r="B215" t="e">
            <v>#REF!</v>
          </cell>
          <cell r="C215" t="e">
            <v>#REF!</v>
          </cell>
          <cell r="D215" t="e">
            <v>#REF!</v>
          </cell>
          <cell r="E215" t="e">
            <v>#REF!</v>
          </cell>
          <cell r="F215" t="e">
            <v>#REF!</v>
          </cell>
          <cell r="G215" t="e">
            <v>#REF!</v>
          </cell>
          <cell r="H215" t="e">
            <v>#REF!</v>
          </cell>
          <cell r="I215" t="e">
            <v>#REF!</v>
          </cell>
          <cell r="J215" t="e">
            <v>#REF!</v>
          </cell>
        </row>
        <row r="216">
          <cell r="A216" t="e">
            <v>#REF!</v>
          </cell>
          <cell r="B216" t="e">
            <v>#REF!</v>
          </cell>
          <cell r="C216" t="e">
            <v>#REF!</v>
          </cell>
          <cell r="D216" t="e">
            <v>#REF!</v>
          </cell>
          <cell r="E216" t="e">
            <v>#REF!</v>
          </cell>
          <cell r="F216" t="e">
            <v>#REF!</v>
          </cell>
          <cell r="G216" t="e">
            <v>#REF!</v>
          </cell>
          <cell r="H216" t="e">
            <v>#REF!</v>
          </cell>
          <cell r="I216" t="e">
            <v>#REF!</v>
          </cell>
          <cell r="J216" t="e">
            <v>#REF!</v>
          </cell>
        </row>
        <row r="217">
          <cell r="A217" t="e">
            <v>#REF!</v>
          </cell>
          <cell r="B217" t="e">
            <v>#REF!</v>
          </cell>
          <cell r="C217" t="e">
            <v>#REF!</v>
          </cell>
          <cell r="D217" t="e">
            <v>#REF!</v>
          </cell>
          <cell r="E217" t="e">
            <v>#REF!</v>
          </cell>
          <cell r="F217" t="e">
            <v>#REF!</v>
          </cell>
          <cell r="G217" t="e">
            <v>#REF!</v>
          </cell>
          <cell r="H217" t="e">
            <v>#REF!</v>
          </cell>
          <cell r="I217" t="e">
            <v>#REF!</v>
          </cell>
          <cell r="J217" t="e">
            <v>#REF!</v>
          </cell>
        </row>
        <row r="218">
          <cell r="A218" t="e">
            <v>#REF!</v>
          </cell>
          <cell r="B218" t="e">
            <v>#REF!</v>
          </cell>
          <cell r="C218" t="e">
            <v>#REF!</v>
          </cell>
          <cell r="D218" t="e">
            <v>#REF!</v>
          </cell>
          <cell r="E218" t="e">
            <v>#REF!</v>
          </cell>
          <cell r="F218" t="e">
            <v>#REF!</v>
          </cell>
          <cell r="G218" t="e">
            <v>#REF!</v>
          </cell>
          <cell r="H218" t="e">
            <v>#REF!</v>
          </cell>
          <cell r="I218" t="e">
            <v>#REF!</v>
          </cell>
          <cell r="J218" t="e">
            <v>#REF!</v>
          </cell>
        </row>
        <row r="219">
          <cell r="A219" t="e">
            <v>#REF!</v>
          </cell>
          <cell r="B219" t="e">
            <v>#REF!</v>
          </cell>
          <cell r="C219" t="e">
            <v>#REF!</v>
          </cell>
          <cell r="D219" t="e">
            <v>#REF!</v>
          </cell>
          <cell r="E219" t="e">
            <v>#REF!</v>
          </cell>
          <cell r="F219" t="e">
            <v>#REF!</v>
          </cell>
          <cell r="G219" t="e">
            <v>#REF!</v>
          </cell>
          <cell r="H219" t="e">
            <v>#REF!</v>
          </cell>
          <cell r="I219" t="e">
            <v>#REF!</v>
          </cell>
          <cell r="J219" t="e">
            <v>#REF!</v>
          </cell>
        </row>
        <row r="220">
          <cell r="A220" t="e">
            <v>#REF!</v>
          </cell>
          <cell r="B220" t="e">
            <v>#REF!</v>
          </cell>
          <cell r="C220" t="e">
            <v>#REF!</v>
          </cell>
          <cell r="D220" t="e">
            <v>#REF!</v>
          </cell>
          <cell r="E220" t="e">
            <v>#REF!</v>
          </cell>
          <cell r="F220" t="e">
            <v>#REF!</v>
          </cell>
          <cell r="G220" t="e">
            <v>#REF!</v>
          </cell>
          <cell r="H220" t="e">
            <v>#REF!</v>
          </cell>
          <cell r="I220" t="e">
            <v>#REF!</v>
          </cell>
          <cell r="J220" t="e">
            <v>#REF!</v>
          </cell>
        </row>
        <row r="221">
          <cell r="A221" t="e">
            <v>#REF!</v>
          </cell>
          <cell r="B221" t="e">
            <v>#REF!</v>
          </cell>
          <cell r="C221" t="e">
            <v>#REF!</v>
          </cell>
          <cell r="D221" t="e">
            <v>#REF!</v>
          </cell>
          <cell r="E221" t="e">
            <v>#REF!</v>
          </cell>
          <cell r="F221" t="e">
            <v>#REF!</v>
          </cell>
          <cell r="G221" t="e">
            <v>#REF!</v>
          </cell>
          <cell r="H221" t="e">
            <v>#REF!</v>
          </cell>
          <cell r="I221" t="e">
            <v>#REF!</v>
          </cell>
          <cell r="J221" t="e">
            <v>#REF!</v>
          </cell>
        </row>
        <row r="222">
          <cell r="A222" t="e">
            <v>#REF!</v>
          </cell>
          <cell r="B222" t="e">
            <v>#REF!</v>
          </cell>
          <cell r="C222" t="e">
            <v>#REF!</v>
          </cell>
          <cell r="D222" t="e">
            <v>#REF!</v>
          </cell>
          <cell r="E222" t="e">
            <v>#REF!</v>
          </cell>
          <cell r="F222" t="e">
            <v>#REF!</v>
          </cell>
          <cell r="G222" t="e">
            <v>#REF!</v>
          </cell>
          <cell r="H222" t="e">
            <v>#REF!</v>
          </cell>
          <cell r="I222" t="e">
            <v>#REF!</v>
          </cell>
          <cell r="J222" t="e">
            <v>#REF!</v>
          </cell>
        </row>
        <row r="223">
          <cell r="A223" t="e">
            <v>#REF!</v>
          </cell>
          <cell r="B223" t="e">
            <v>#REF!</v>
          </cell>
          <cell r="C223" t="e">
            <v>#REF!</v>
          </cell>
          <cell r="D223" t="e">
            <v>#REF!</v>
          </cell>
          <cell r="E223" t="e">
            <v>#REF!</v>
          </cell>
          <cell r="F223" t="e">
            <v>#REF!</v>
          </cell>
          <cell r="G223" t="e">
            <v>#REF!</v>
          </cell>
          <cell r="H223" t="e">
            <v>#REF!</v>
          </cell>
          <cell r="I223" t="e">
            <v>#REF!</v>
          </cell>
          <cell r="J223" t="e">
            <v>#REF!</v>
          </cell>
        </row>
        <row r="224">
          <cell r="A224" t="e">
            <v>#REF!</v>
          </cell>
          <cell r="B224" t="e">
            <v>#REF!</v>
          </cell>
          <cell r="C224" t="e">
            <v>#REF!</v>
          </cell>
          <cell r="D224" t="e">
            <v>#REF!</v>
          </cell>
          <cell r="E224" t="e">
            <v>#REF!</v>
          </cell>
          <cell r="F224" t="e">
            <v>#REF!</v>
          </cell>
          <cell r="G224" t="e">
            <v>#REF!</v>
          </cell>
          <cell r="H224" t="e">
            <v>#REF!</v>
          </cell>
          <cell r="I224" t="e">
            <v>#REF!</v>
          </cell>
          <cell r="J224" t="e">
            <v>#REF!</v>
          </cell>
        </row>
        <row r="225">
          <cell r="A225" t="e">
            <v>#REF!</v>
          </cell>
          <cell r="B225" t="e">
            <v>#REF!</v>
          </cell>
          <cell r="C225" t="e">
            <v>#REF!</v>
          </cell>
          <cell r="D225" t="e">
            <v>#REF!</v>
          </cell>
          <cell r="E225" t="e">
            <v>#REF!</v>
          </cell>
          <cell r="F225" t="e">
            <v>#REF!</v>
          </cell>
          <cell r="G225" t="e">
            <v>#REF!</v>
          </cell>
          <cell r="H225" t="e">
            <v>#REF!</v>
          </cell>
          <cell r="I225" t="e">
            <v>#REF!</v>
          </cell>
          <cell r="J225" t="e">
            <v>#REF!</v>
          </cell>
        </row>
        <row r="226">
          <cell r="A226" t="e">
            <v>#REF!</v>
          </cell>
          <cell r="B226" t="e">
            <v>#REF!</v>
          </cell>
          <cell r="C226" t="e">
            <v>#REF!</v>
          </cell>
          <cell r="D226" t="e">
            <v>#REF!</v>
          </cell>
          <cell r="E226" t="e">
            <v>#REF!</v>
          </cell>
          <cell r="F226" t="e">
            <v>#REF!</v>
          </cell>
          <cell r="G226" t="e">
            <v>#REF!</v>
          </cell>
          <cell r="H226" t="e">
            <v>#REF!</v>
          </cell>
          <cell r="I226" t="e">
            <v>#REF!</v>
          </cell>
          <cell r="J226" t="e">
            <v>#REF!</v>
          </cell>
        </row>
        <row r="227">
          <cell r="A227" t="e">
            <v>#REF!</v>
          </cell>
          <cell r="B227" t="e">
            <v>#REF!</v>
          </cell>
          <cell r="C227" t="e">
            <v>#REF!</v>
          </cell>
          <cell r="D227" t="e">
            <v>#REF!</v>
          </cell>
          <cell r="E227" t="e">
            <v>#REF!</v>
          </cell>
          <cell r="F227" t="e">
            <v>#REF!</v>
          </cell>
          <cell r="G227" t="e">
            <v>#REF!</v>
          </cell>
          <cell r="H227" t="e">
            <v>#REF!</v>
          </cell>
          <cell r="I227" t="e">
            <v>#REF!</v>
          </cell>
          <cell r="J227" t="e">
            <v>#REF!</v>
          </cell>
        </row>
        <row r="228">
          <cell r="A228" t="e">
            <v>#REF!</v>
          </cell>
          <cell r="B228" t="e">
            <v>#REF!</v>
          </cell>
          <cell r="C228" t="e">
            <v>#REF!</v>
          </cell>
          <cell r="D228" t="e">
            <v>#REF!</v>
          </cell>
          <cell r="E228" t="e">
            <v>#REF!</v>
          </cell>
          <cell r="F228" t="e">
            <v>#REF!</v>
          </cell>
          <cell r="G228" t="e">
            <v>#REF!</v>
          </cell>
          <cell r="H228" t="e">
            <v>#REF!</v>
          </cell>
          <cell r="I228" t="e">
            <v>#REF!</v>
          </cell>
          <cell r="J228" t="e">
            <v>#REF!</v>
          </cell>
        </row>
        <row r="229">
          <cell r="A229" t="e">
            <v>#REF!</v>
          </cell>
          <cell r="B229" t="e">
            <v>#REF!</v>
          </cell>
          <cell r="C229" t="e">
            <v>#REF!</v>
          </cell>
          <cell r="D229" t="e">
            <v>#REF!</v>
          </cell>
          <cell r="E229" t="e">
            <v>#REF!</v>
          </cell>
          <cell r="F229" t="e">
            <v>#REF!</v>
          </cell>
          <cell r="G229" t="e">
            <v>#REF!</v>
          </cell>
          <cell r="H229" t="e">
            <v>#REF!</v>
          </cell>
          <cell r="I229" t="e">
            <v>#REF!</v>
          </cell>
          <cell r="J229" t="e">
            <v>#REF!</v>
          </cell>
        </row>
        <row r="230">
          <cell r="A230" t="e">
            <v>#REF!</v>
          </cell>
          <cell r="B230" t="e">
            <v>#REF!</v>
          </cell>
          <cell r="C230" t="e">
            <v>#REF!</v>
          </cell>
          <cell r="D230" t="e">
            <v>#REF!</v>
          </cell>
          <cell r="E230" t="e">
            <v>#REF!</v>
          </cell>
          <cell r="F230" t="e">
            <v>#REF!</v>
          </cell>
          <cell r="G230" t="e">
            <v>#REF!</v>
          </cell>
          <cell r="H230" t="e">
            <v>#REF!</v>
          </cell>
          <cell r="I230" t="e">
            <v>#REF!</v>
          </cell>
          <cell r="J230" t="e">
            <v>#REF!</v>
          </cell>
        </row>
        <row r="231">
          <cell r="A231" t="e">
            <v>#REF!</v>
          </cell>
          <cell r="B231" t="e">
            <v>#REF!</v>
          </cell>
          <cell r="C231" t="e">
            <v>#REF!</v>
          </cell>
          <cell r="D231" t="e">
            <v>#REF!</v>
          </cell>
          <cell r="E231" t="e">
            <v>#REF!</v>
          </cell>
          <cell r="F231" t="e">
            <v>#REF!</v>
          </cell>
          <cell r="G231" t="e">
            <v>#REF!</v>
          </cell>
          <cell r="H231" t="e">
            <v>#REF!</v>
          </cell>
          <cell r="I231" t="e">
            <v>#REF!</v>
          </cell>
          <cell r="J231" t="e">
            <v>#REF!</v>
          </cell>
        </row>
        <row r="232">
          <cell r="A232" t="e">
            <v>#REF!</v>
          </cell>
          <cell r="B232" t="e">
            <v>#REF!</v>
          </cell>
          <cell r="C232" t="e">
            <v>#REF!</v>
          </cell>
          <cell r="D232" t="e">
            <v>#REF!</v>
          </cell>
          <cell r="E232" t="e">
            <v>#REF!</v>
          </cell>
          <cell r="F232" t="e">
            <v>#REF!</v>
          </cell>
          <cell r="G232" t="e">
            <v>#REF!</v>
          </cell>
          <cell r="H232" t="e">
            <v>#REF!</v>
          </cell>
          <cell r="I232" t="e">
            <v>#REF!</v>
          </cell>
          <cell r="J232" t="e">
            <v>#REF!</v>
          </cell>
        </row>
        <row r="233">
          <cell r="A233" t="e">
            <v>#REF!</v>
          </cell>
          <cell r="B233" t="e">
            <v>#REF!</v>
          </cell>
          <cell r="C233" t="e">
            <v>#REF!</v>
          </cell>
          <cell r="D233" t="e">
            <v>#REF!</v>
          </cell>
          <cell r="E233" t="e">
            <v>#REF!</v>
          </cell>
          <cell r="F233" t="e">
            <v>#REF!</v>
          </cell>
          <cell r="G233" t="e">
            <v>#REF!</v>
          </cell>
          <cell r="H233" t="e">
            <v>#REF!</v>
          </cell>
          <cell r="I233" t="e">
            <v>#REF!</v>
          </cell>
          <cell r="J233" t="e">
            <v>#REF!</v>
          </cell>
        </row>
        <row r="234">
          <cell r="A234" t="e">
            <v>#REF!</v>
          </cell>
          <cell r="B234" t="e">
            <v>#REF!</v>
          </cell>
          <cell r="C234" t="e">
            <v>#REF!</v>
          </cell>
          <cell r="D234" t="e">
            <v>#REF!</v>
          </cell>
          <cell r="E234" t="e">
            <v>#REF!</v>
          </cell>
          <cell r="F234" t="e">
            <v>#REF!</v>
          </cell>
          <cell r="G234" t="e">
            <v>#REF!</v>
          </cell>
          <cell r="H234" t="e">
            <v>#REF!</v>
          </cell>
          <cell r="I234" t="e">
            <v>#REF!</v>
          </cell>
          <cell r="J234" t="e">
            <v>#REF!</v>
          </cell>
        </row>
        <row r="235">
          <cell r="A235" t="e">
            <v>#REF!</v>
          </cell>
          <cell r="B235" t="e">
            <v>#REF!</v>
          </cell>
          <cell r="C235" t="e">
            <v>#REF!</v>
          </cell>
          <cell r="D235" t="e">
            <v>#REF!</v>
          </cell>
          <cell r="E235" t="e">
            <v>#REF!</v>
          </cell>
          <cell r="F235" t="e">
            <v>#REF!</v>
          </cell>
          <cell r="G235" t="e">
            <v>#REF!</v>
          </cell>
          <cell r="H235" t="e">
            <v>#REF!</v>
          </cell>
          <cell r="I235" t="e">
            <v>#REF!</v>
          </cell>
          <cell r="J235" t="e">
            <v>#REF!</v>
          </cell>
        </row>
        <row r="236">
          <cell r="A236" t="e">
            <v>#REF!</v>
          </cell>
          <cell r="B236" t="e">
            <v>#REF!</v>
          </cell>
          <cell r="C236" t="e">
            <v>#REF!</v>
          </cell>
          <cell r="D236" t="e">
            <v>#REF!</v>
          </cell>
          <cell r="E236" t="e">
            <v>#REF!</v>
          </cell>
          <cell r="F236" t="e">
            <v>#REF!</v>
          </cell>
          <cell r="G236" t="e">
            <v>#REF!</v>
          </cell>
          <cell r="H236" t="e">
            <v>#REF!</v>
          </cell>
          <cell r="I236" t="e">
            <v>#REF!</v>
          </cell>
          <cell r="J236" t="e">
            <v>#REF!</v>
          </cell>
        </row>
        <row r="237">
          <cell r="A237" t="e">
            <v>#REF!</v>
          </cell>
          <cell r="B237" t="e">
            <v>#REF!</v>
          </cell>
          <cell r="C237" t="e">
            <v>#REF!</v>
          </cell>
          <cell r="D237" t="e">
            <v>#REF!</v>
          </cell>
          <cell r="E237" t="e">
            <v>#REF!</v>
          </cell>
          <cell r="F237" t="e">
            <v>#REF!</v>
          </cell>
          <cell r="G237" t="e">
            <v>#REF!</v>
          </cell>
          <cell r="H237" t="e">
            <v>#REF!</v>
          </cell>
          <cell r="I237" t="e">
            <v>#REF!</v>
          </cell>
          <cell r="J237" t="e">
            <v>#REF!</v>
          </cell>
        </row>
        <row r="238">
          <cell r="A238" t="e">
            <v>#REF!</v>
          </cell>
          <cell r="B238" t="e">
            <v>#REF!</v>
          </cell>
          <cell r="C238" t="e">
            <v>#REF!</v>
          </cell>
          <cell r="D238" t="e">
            <v>#REF!</v>
          </cell>
          <cell r="E238" t="e">
            <v>#REF!</v>
          </cell>
          <cell r="F238" t="e">
            <v>#REF!</v>
          </cell>
          <cell r="G238" t="e">
            <v>#REF!</v>
          </cell>
          <cell r="H238" t="e">
            <v>#REF!</v>
          </cell>
          <cell r="I238" t="e">
            <v>#REF!</v>
          </cell>
          <cell r="J238" t="e">
            <v>#REF!</v>
          </cell>
        </row>
        <row r="239">
          <cell r="A239" t="e">
            <v>#REF!</v>
          </cell>
          <cell r="B239" t="e">
            <v>#REF!</v>
          </cell>
          <cell r="C239" t="e">
            <v>#REF!</v>
          </cell>
          <cell r="D239" t="e">
            <v>#REF!</v>
          </cell>
          <cell r="E239" t="e">
            <v>#REF!</v>
          </cell>
          <cell r="F239" t="e">
            <v>#REF!</v>
          </cell>
          <cell r="G239" t="e">
            <v>#REF!</v>
          </cell>
          <cell r="H239" t="e">
            <v>#REF!</v>
          </cell>
          <cell r="I239" t="e">
            <v>#REF!</v>
          </cell>
          <cell r="J239" t="e">
            <v>#REF!</v>
          </cell>
        </row>
        <row r="240">
          <cell r="A240" t="e">
            <v>#REF!</v>
          </cell>
          <cell r="B240" t="e">
            <v>#REF!</v>
          </cell>
          <cell r="C240" t="e">
            <v>#REF!</v>
          </cell>
          <cell r="D240" t="e">
            <v>#REF!</v>
          </cell>
          <cell r="E240" t="e">
            <v>#REF!</v>
          </cell>
          <cell r="F240" t="e">
            <v>#REF!</v>
          </cell>
          <cell r="G240" t="e">
            <v>#REF!</v>
          </cell>
          <cell r="H240" t="e">
            <v>#REF!</v>
          </cell>
          <cell r="I240" t="e">
            <v>#REF!</v>
          </cell>
          <cell r="J240" t="e">
            <v>#REF!</v>
          </cell>
        </row>
        <row r="241">
          <cell r="A241" t="e">
            <v>#REF!</v>
          </cell>
          <cell r="B241" t="e">
            <v>#REF!</v>
          </cell>
          <cell r="C241" t="e">
            <v>#REF!</v>
          </cell>
          <cell r="D241" t="e">
            <v>#REF!</v>
          </cell>
          <cell r="E241" t="e">
            <v>#REF!</v>
          </cell>
          <cell r="F241" t="e">
            <v>#REF!</v>
          </cell>
          <cell r="G241" t="e">
            <v>#REF!</v>
          </cell>
          <cell r="H241" t="e">
            <v>#REF!</v>
          </cell>
          <cell r="I241" t="e">
            <v>#REF!</v>
          </cell>
          <cell r="J241" t="e">
            <v>#REF!</v>
          </cell>
        </row>
        <row r="242">
          <cell r="A242" t="e">
            <v>#REF!</v>
          </cell>
          <cell r="B242" t="e">
            <v>#REF!</v>
          </cell>
          <cell r="C242" t="e">
            <v>#REF!</v>
          </cell>
          <cell r="D242" t="e">
            <v>#REF!</v>
          </cell>
          <cell r="E242" t="e">
            <v>#REF!</v>
          </cell>
          <cell r="F242" t="e">
            <v>#REF!</v>
          </cell>
          <cell r="G242" t="e">
            <v>#REF!</v>
          </cell>
          <cell r="H242" t="e">
            <v>#REF!</v>
          </cell>
          <cell r="I242" t="e">
            <v>#REF!</v>
          </cell>
          <cell r="J242" t="e">
            <v>#REF!</v>
          </cell>
        </row>
        <row r="243">
          <cell r="A243" t="e">
            <v>#REF!</v>
          </cell>
          <cell r="B243" t="e">
            <v>#REF!</v>
          </cell>
          <cell r="C243" t="e">
            <v>#REF!</v>
          </cell>
          <cell r="D243" t="e">
            <v>#REF!</v>
          </cell>
          <cell r="E243" t="e">
            <v>#REF!</v>
          </cell>
          <cell r="F243" t="e">
            <v>#REF!</v>
          </cell>
          <cell r="G243" t="e">
            <v>#REF!</v>
          </cell>
          <cell r="H243" t="e">
            <v>#REF!</v>
          </cell>
          <cell r="I243" t="e">
            <v>#REF!</v>
          </cell>
          <cell r="J243" t="e">
            <v>#REF!</v>
          </cell>
        </row>
        <row r="244">
          <cell r="A244" t="e">
            <v>#REF!</v>
          </cell>
          <cell r="B244" t="e">
            <v>#REF!</v>
          </cell>
          <cell r="C244" t="e">
            <v>#REF!</v>
          </cell>
          <cell r="D244" t="e">
            <v>#REF!</v>
          </cell>
          <cell r="E244" t="e">
            <v>#REF!</v>
          </cell>
          <cell r="F244" t="e">
            <v>#REF!</v>
          </cell>
          <cell r="G244" t="e">
            <v>#REF!</v>
          </cell>
          <cell r="H244" t="e">
            <v>#REF!</v>
          </cell>
          <cell r="I244" t="e">
            <v>#REF!</v>
          </cell>
          <cell r="J244" t="e">
            <v>#REF!</v>
          </cell>
        </row>
        <row r="245">
          <cell r="A245" t="e">
            <v>#REF!</v>
          </cell>
          <cell r="B245" t="e">
            <v>#REF!</v>
          </cell>
          <cell r="C245" t="e">
            <v>#REF!</v>
          </cell>
          <cell r="D245" t="e">
            <v>#REF!</v>
          </cell>
          <cell r="E245" t="e">
            <v>#REF!</v>
          </cell>
          <cell r="F245" t="e">
            <v>#REF!</v>
          </cell>
          <cell r="G245" t="e">
            <v>#REF!</v>
          </cell>
          <cell r="H245" t="e">
            <v>#REF!</v>
          </cell>
          <cell r="I245" t="e">
            <v>#REF!</v>
          </cell>
          <cell r="J245" t="e">
            <v>#REF!</v>
          </cell>
        </row>
        <row r="246">
          <cell r="A246" t="e">
            <v>#REF!</v>
          </cell>
          <cell r="B246" t="e">
            <v>#REF!</v>
          </cell>
          <cell r="C246" t="e">
            <v>#REF!</v>
          </cell>
          <cell r="D246" t="e">
            <v>#REF!</v>
          </cell>
          <cell r="E246" t="e">
            <v>#REF!</v>
          </cell>
          <cell r="F246" t="e">
            <v>#REF!</v>
          </cell>
          <cell r="G246" t="e">
            <v>#REF!</v>
          </cell>
          <cell r="H246" t="e">
            <v>#REF!</v>
          </cell>
          <cell r="I246" t="e">
            <v>#REF!</v>
          </cell>
          <cell r="J246" t="e">
            <v>#REF!</v>
          </cell>
        </row>
        <row r="247">
          <cell r="A247" t="e">
            <v>#REF!</v>
          </cell>
          <cell r="B247" t="e">
            <v>#REF!</v>
          </cell>
          <cell r="C247" t="e">
            <v>#REF!</v>
          </cell>
          <cell r="D247" t="e">
            <v>#REF!</v>
          </cell>
          <cell r="E247" t="e">
            <v>#REF!</v>
          </cell>
          <cell r="F247" t="e">
            <v>#REF!</v>
          </cell>
          <cell r="G247" t="e">
            <v>#REF!</v>
          </cell>
          <cell r="H247" t="e">
            <v>#REF!</v>
          </cell>
          <cell r="I247" t="e">
            <v>#REF!</v>
          </cell>
          <cell r="J247" t="e">
            <v>#REF!</v>
          </cell>
        </row>
        <row r="248">
          <cell r="A248" t="e">
            <v>#REF!</v>
          </cell>
          <cell r="B248" t="e">
            <v>#REF!</v>
          </cell>
          <cell r="C248" t="e">
            <v>#REF!</v>
          </cell>
          <cell r="D248" t="e">
            <v>#REF!</v>
          </cell>
          <cell r="E248" t="e">
            <v>#REF!</v>
          </cell>
          <cell r="F248" t="e">
            <v>#REF!</v>
          </cell>
          <cell r="G248" t="e">
            <v>#REF!</v>
          </cell>
          <cell r="H248" t="e">
            <v>#REF!</v>
          </cell>
          <cell r="I248" t="e">
            <v>#REF!</v>
          </cell>
          <cell r="J248" t="e">
            <v>#REF!</v>
          </cell>
        </row>
        <row r="249">
          <cell r="A249" t="e">
            <v>#REF!</v>
          </cell>
          <cell r="B249" t="e">
            <v>#REF!</v>
          </cell>
          <cell r="C249" t="e">
            <v>#REF!</v>
          </cell>
          <cell r="D249" t="e">
            <v>#REF!</v>
          </cell>
          <cell r="E249" t="e">
            <v>#REF!</v>
          </cell>
          <cell r="F249" t="e">
            <v>#REF!</v>
          </cell>
          <cell r="G249" t="e">
            <v>#REF!</v>
          </cell>
          <cell r="H249" t="e">
            <v>#REF!</v>
          </cell>
          <cell r="I249" t="e">
            <v>#REF!</v>
          </cell>
          <cell r="J249" t="e">
            <v>#REF!</v>
          </cell>
        </row>
        <row r="250">
          <cell r="A250" t="e">
            <v>#REF!</v>
          </cell>
          <cell r="B250" t="e">
            <v>#REF!</v>
          </cell>
          <cell r="C250" t="e">
            <v>#REF!</v>
          </cell>
          <cell r="D250" t="e">
            <v>#REF!</v>
          </cell>
          <cell r="E250" t="e">
            <v>#REF!</v>
          </cell>
          <cell r="F250" t="e">
            <v>#REF!</v>
          </cell>
          <cell r="G250" t="e">
            <v>#REF!</v>
          </cell>
          <cell r="H250" t="e">
            <v>#REF!</v>
          </cell>
          <cell r="I250" t="e">
            <v>#REF!</v>
          </cell>
          <cell r="J250" t="e">
            <v>#REF!</v>
          </cell>
        </row>
        <row r="251">
          <cell r="A251" t="e">
            <v>#REF!</v>
          </cell>
          <cell r="B251" t="e">
            <v>#REF!</v>
          </cell>
          <cell r="C251" t="e">
            <v>#REF!</v>
          </cell>
          <cell r="D251" t="e">
            <v>#REF!</v>
          </cell>
          <cell r="E251" t="e">
            <v>#REF!</v>
          </cell>
          <cell r="F251" t="e">
            <v>#REF!</v>
          </cell>
          <cell r="G251" t="e">
            <v>#REF!</v>
          </cell>
          <cell r="H251" t="e">
            <v>#REF!</v>
          </cell>
          <cell r="I251" t="e">
            <v>#REF!</v>
          </cell>
          <cell r="J251" t="e">
            <v>#REF!</v>
          </cell>
        </row>
        <row r="252">
          <cell r="A252" t="e">
            <v>#REF!</v>
          </cell>
          <cell r="B252" t="e">
            <v>#REF!</v>
          </cell>
          <cell r="C252" t="e">
            <v>#REF!</v>
          </cell>
          <cell r="D252" t="e">
            <v>#REF!</v>
          </cell>
          <cell r="E252" t="e">
            <v>#REF!</v>
          </cell>
          <cell r="F252" t="e">
            <v>#REF!</v>
          </cell>
          <cell r="G252" t="e">
            <v>#REF!</v>
          </cell>
          <cell r="H252" t="e">
            <v>#REF!</v>
          </cell>
          <cell r="I252" t="e">
            <v>#REF!</v>
          </cell>
          <cell r="J252" t="e">
            <v>#REF!</v>
          </cell>
        </row>
        <row r="253">
          <cell r="A253" t="e">
            <v>#REF!</v>
          </cell>
          <cell r="B253" t="e">
            <v>#REF!</v>
          </cell>
          <cell r="C253" t="e">
            <v>#REF!</v>
          </cell>
          <cell r="D253" t="e">
            <v>#REF!</v>
          </cell>
          <cell r="E253" t="e">
            <v>#REF!</v>
          </cell>
          <cell r="F253" t="e">
            <v>#REF!</v>
          </cell>
          <cell r="G253" t="e">
            <v>#REF!</v>
          </cell>
          <cell r="H253" t="e">
            <v>#REF!</v>
          </cell>
          <cell r="I253" t="e">
            <v>#REF!</v>
          </cell>
          <cell r="J253" t="e">
            <v>#REF!</v>
          </cell>
        </row>
        <row r="254">
          <cell r="A254" t="e">
            <v>#REF!</v>
          </cell>
          <cell r="B254" t="e">
            <v>#REF!</v>
          </cell>
          <cell r="C254" t="e">
            <v>#REF!</v>
          </cell>
          <cell r="D254" t="e">
            <v>#REF!</v>
          </cell>
          <cell r="E254" t="e">
            <v>#REF!</v>
          </cell>
          <cell r="F254" t="e">
            <v>#REF!</v>
          </cell>
          <cell r="G254" t="e">
            <v>#REF!</v>
          </cell>
          <cell r="H254" t="e">
            <v>#REF!</v>
          </cell>
          <cell r="I254" t="e">
            <v>#REF!</v>
          </cell>
          <cell r="J254" t="e">
            <v>#REF!</v>
          </cell>
        </row>
        <row r="255">
          <cell r="A255" t="e">
            <v>#REF!</v>
          </cell>
          <cell r="B255" t="e">
            <v>#REF!</v>
          </cell>
          <cell r="C255" t="e">
            <v>#REF!</v>
          </cell>
          <cell r="D255" t="e">
            <v>#REF!</v>
          </cell>
          <cell r="E255" t="e">
            <v>#REF!</v>
          </cell>
          <cell r="F255" t="e">
            <v>#REF!</v>
          </cell>
          <cell r="G255" t="e">
            <v>#REF!</v>
          </cell>
          <cell r="H255" t="e">
            <v>#REF!</v>
          </cell>
          <cell r="I255" t="e">
            <v>#REF!</v>
          </cell>
          <cell r="J255" t="e">
            <v>#REF!</v>
          </cell>
        </row>
        <row r="256">
          <cell r="A256" t="e">
            <v>#REF!</v>
          </cell>
          <cell r="B256" t="e">
            <v>#REF!</v>
          </cell>
          <cell r="C256" t="e">
            <v>#REF!</v>
          </cell>
          <cell r="D256" t="e">
            <v>#REF!</v>
          </cell>
          <cell r="E256" t="e">
            <v>#REF!</v>
          </cell>
          <cell r="F256" t="e">
            <v>#REF!</v>
          </cell>
          <cell r="G256" t="e">
            <v>#REF!</v>
          </cell>
          <cell r="H256" t="e">
            <v>#REF!</v>
          </cell>
          <cell r="I256" t="e">
            <v>#REF!</v>
          </cell>
          <cell r="J256" t="e">
            <v>#REF!</v>
          </cell>
        </row>
        <row r="257">
          <cell r="A257" t="e">
            <v>#REF!</v>
          </cell>
          <cell r="B257" t="e">
            <v>#REF!</v>
          </cell>
          <cell r="C257" t="e">
            <v>#REF!</v>
          </cell>
          <cell r="D257" t="e">
            <v>#REF!</v>
          </cell>
          <cell r="E257" t="e">
            <v>#REF!</v>
          </cell>
          <cell r="F257" t="e">
            <v>#REF!</v>
          </cell>
          <cell r="G257" t="e">
            <v>#REF!</v>
          </cell>
          <cell r="H257" t="e">
            <v>#REF!</v>
          </cell>
          <cell r="I257" t="e">
            <v>#REF!</v>
          </cell>
          <cell r="J257" t="e">
            <v>#REF!</v>
          </cell>
        </row>
        <row r="258">
          <cell r="A258" t="e">
            <v>#REF!</v>
          </cell>
          <cell r="B258" t="e">
            <v>#REF!</v>
          </cell>
          <cell r="C258" t="e">
            <v>#REF!</v>
          </cell>
          <cell r="D258" t="e">
            <v>#REF!</v>
          </cell>
          <cell r="E258" t="e">
            <v>#REF!</v>
          </cell>
          <cell r="F258" t="e">
            <v>#REF!</v>
          </cell>
          <cell r="G258" t="e">
            <v>#REF!</v>
          </cell>
          <cell r="H258" t="e">
            <v>#REF!</v>
          </cell>
          <cell r="I258" t="e">
            <v>#REF!</v>
          </cell>
          <cell r="J258" t="e">
            <v>#REF!</v>
          </cell>
        </row>
        <row r="259">
          <cell r="A259" t="e">
            <v>#REF!</v>
          </cell>
          <cell r="B259" t="e">
            <v>#REF!</v>
          </cell>
          <cell r="C259" t="e">
            <v>#REF!</v>
          </cell>
          <cell r="D259" t="e">
            <v>#REF!</v>
          </cell>
          <cell r="E259" t="e">
            <v>#REF!</v>
          </cell>
          <cell r="F259" t="e">
            <v>#REF!</v>
          </cell>
          <cell r="G259" t="e">
            <v>#REF!</v>
          </cell>
          <cell r="H259" t="e">
            <v>#REF!</v>
          </cell>
          <cell r="I259" t="e">
            <v>#REF!</v>
          </cell>
          <cell r="J259" t="e">
            <v>#REF!</v>
          </cell>
        </row>
        <row r="260">
          <cell r="A260" t="e">
            <v>#REF!</v>
          </cell>
          <cell r="B260" t="e">
            <v>#REF!</v>
          </cell>
          <cell r="C260" t="e">
            <v>#REF!</v>
          </cell>
          <cell r="D260" t="e">
            <v>#REF!</v>
          </cell>
          <cell r="E260" t="e">
            <v>#REF!</v>
          </cell>
          <cell r="F260" t="e">
            <v>#REF!</v>
          </cell>
          <cell r="G260" t="e">
            <v>#REF!</v>
          </cell>
          <cell r="H260" t="e">
            <v>#REF!</v>
          </cell>
          <cell r="I260" t="e">
            <v>#REF!</v>
          </cell>
          <cell r="J260" t="e">
            <v>#REF!</v>
          </cell>
        </row>
        <row r="261">
          <cell r="A261" t="e">
            <v>#REF!</v>
          </cell>
          <cell r="B261" t="e">
            <v>#REF!</v>
          </cell>
          <cell r="C261" t="e">
            <v>#REF!</v>
          </cell>
          <cell r="D261" t="e">
            <v>#REF!</v>
          </cell>
          <cell r="E261" t="e">
            <v>#REF!</v>
          </cell>
          <cell r="F261" t="e">
            <v>#REF!</v>
          </cell>
          <cell r="G261" t="e">
            <v>#REF!</v>
          </cell>
          <cell r="H261" t="e">
            <v>#REF!</v>
          </cell>
          <cell r="I261" t="e">
            <v>#REF!</v>
          </cell>
          <cell r="J261" t="e">
            <v>#REF!</v>
          </cell>
        </row>
        <row r="262">
          <cell r="A262" t="e">
            <v>#REF!</v>
          </cell>
          <cell r="B262" t="e">
            <v>#REF!</v>
          </cell>
          <cell r="C262" t="e">
            <v>#REF!</v>
          </cell>
          <cell r="D262" t="e">
            <v>#REF!</v>
          </cell>
          <cell r="E262" t="e">
            <v>#REF!</v>
          </cell>
          <cell r="F262" t="e">
            <v>#REF!</v>
          </cell>
          <cell r="G262" t="e">
            <v>#REF!</v>
          </cell>
          <cell r="H262" t="e">
            <v>#REF!</v>
          </cell>
          <cell r="I262" t="e">
            <v>#REF!</v>
          </cell>
          <cell r="J262" t="e">
            <v>#REF!</v>
          </cell>
        </row>
        <row r="263">
          <cell r="A263" t="e">
            <v>#REF!</v>
          </cell>
          <cell r="B263" t="e">
            <v>#REF!</v>
          </cell>
          <cell r="C263" t="e">
            <v>#REF!</v>
          </cell>
          <cell r="D263" t="e">
            <v>#REF!</v>
          </cell>
          <cell r="E263" t="e">
            <v>#REF!</v>
          </cell>
          <cell r="F263" t="e">
            <v>#REF!</v>
          </cell>
          <cell r="G263" t="e">
            <v>#REF!</v>
          </cell>
          <cell r="H263" t="e">
            <v>#REF!</v>
          </cell>
          <cell r="I263" t="e">
            <v>#REF!</v>
          </cell>
          <cell r="J263" t="e">
            <v>#REF!</v>
          </cell>
        </row>
        <row r="264">
          <cell r="A264" t="e">
            <v>#REF!</v>
          </cell>
          <cell r="B264" t="e">
            <v>#REF!</v>
          </cell>
          <cell r="C264" t="e">
            <v>#REF!</v>
          </cell>
          <cell r="D264" t="e">
            <v>#REF!</v>
          </cell>
          <cell r="E264" t="e">
            <v>#REF!</v>
          </cell>
          <cell r="F264" t="e">
            <v>#REF!</v>
          </cell>
          <cell r="G264" t="e">
            <v>#REF!</v>
          </cell>
          <cell r="H264" t="e">
            <v>#REF!</v>
          </cell>
          <cell r="I264" t="e">
            <v>#REF!</v>
          </cell>
          <cell r="J264" t="e">
            <v>#REF!</v>
          </cell>
        </row>
        <row r="265">
          <cell r="A265" t="e">
            <v>#REF!</v>
          </cell>
          <cell r="B265" t="e">
            <v>#REF!</v>
          </cell>
          <cell r="C265" t="e">
            <v>#REF!</v>
          </cell>
          <cell r="D265" t="e">
            <v>#REF!</v>
          </cell>
          <cell r="E265" t="e">
            <v>#REF!</v>
          </cell>
          <cell r="F265" t="e">
            <v>#REF!</v>
          </cell>
          <cell r="G265" t="e">
            <v>#REF!</v>
          </cell>
          <cell r="H265" t="e">
            <v>#REF!</v>
          </cell>
          <cell r="I265" t="e">
            <v>#REF!</v>
          </cell>
          <cell r="J265" t="e">
            <v>#REF!</v>
          </cell>
        </row>
        <row r="266">
          <cell r="A266" t="e">
            <v>#REF!</v>
          </cell>
          <cell r="B266" t="e">
            <v>#REF!</v>
          </cell>
          <cell r="C266" t="e">
            <v>#REF!</v>
          </cell>
          <cell r="D266" t="e">
            <v>#REF!</v>
          </cell>
          <cell r="E266" t="e">
            <v>#REF!</v>
          </cell>
          <cell r="F266" t="e">
            <v>#REF!</v>
          </cell>
          <cell r="G266" t="e">
            <v>#REF!</v>
          </cell>
          <cell r="H266" t="e">
            <v>#REF!</v>
          </cell>
          <cell r="I266" t="e">
            <v>#REF!</v>
          </cell>
          <cell r="J266" t="e">
            <v>#REF!</v>
          </cell>
        </row>
        <row r="267">
          <cell r="A267" t="e">
            <v>#REF!</v>
          </cell>
          <cell r="B267" t="e">
            <v>#REF!</v>
          </cell>
          <cell r="C267" t="e">
            <v>#REF!</v>
          </cell>
          <cell r="D267" t="e">
            <v>#REF!</v>
          </cell>
          <cell r="E267" t="e">
            <v>#REF!</v>
          </cell>
          <cell r="F267" t="e">
            <v>#REF!</v>
          </cell>
          <cell r="G267" t="e">
            <v>#REF!</v>
          </cell>
          <cell r="H267" t="e">
            <v>#REF!</v>
          </cell>
          <cell r="I267" t="e">
            <v>#REF!</v>
          </cell>
          <cell r="J267" t="e">
            <v>#REF!</v>
          </cell>
        </row>
        <row r="268">
          <cell r="A268" t="e">
            <v>#REF!</v>
          </cell>
          <cell r="B268" t="e">
            <v>#REF!</v>
          </cell>
          <cell r="C268" t="e">
            <v>#REF!</v>
          </cell>
          <cell r="D268" t="e">
            <v>#REF!</v>
          </cell>
          <cell r="E268" t="e">
            <v>#REF!</v>
          </cell>
          <cell r="F268" t="e">
            <v>#REF!</v>
          </cell>
          <cell r="G268" t="e">
            <v>#REF!</v>
          </cell>
          <cell r="H268" t="e">
            <v>#REF!</v>
          </cell>
          <cell r="I268" t="e">
            <v>#REF!</v>
          </cell>
          <cell r="J268" t="e">
            <v>#REF!</v>
          </cell>
        </row>
        <row r="269">
          <cell r="A269" t="e">
            <v>#REF!</v>
          </cell>
          <cell r="B269" t="e">
            <v>#REF!</v>
          </cell>
          <cell r="C269" t="e">
            <v>#REF!</v>
          </cell>
          <cell r="D269" t="e">
            <v>#REF!</v>
          </cell>
          <cell r="E269" t="e">
            <v>#REF!</v>
          </cell>
          <cell r="F269" t="e">
            <v>#REF!</v>
          </cell>
          <cell r="G269" t="e">
            <v>#REF!</v>
          </cell>
          <cell r="H269" t="e">
            <v>#REF!</v>
          </cell>
          <cell r="I269" t="e">
            <v>#REF!</v>
          </cell>
          <cell r="J269" t="e">
            <v>#REF!</v>
          </cell>
        </row>
        <row r="270">
          <cell r="A270" t="e">
            <v>#REF!</v>
          </cell>
          <cell r="B270" t="e">
            <v>#REF!</v>
          </cell>
          <cell r="C270" t="e">
            <v>#REF!</v>
          </cell>
          <cell r="D270" t="e">
            <v>#REF!</v>
          </cell>
          <cell r="E270" t="e">
            <v>#REF!</v>
          </cell>
          <cell r="F270" t="e">
            <v>#REF!</v>
          </cell>
          <cell r="G270" t="e">
            <v>#REF!</v>
          </cell>
          <cell r="H270" t="e">
            <v>#REF!</v>
          </cell>
          <cell r="I270" t="e">
            <v>#REF!</v>
          </cell>
          <cell r="J270" t="e">
            <v>#REF!</v>
          </cell>
        </row>
        <row r="271">
          <cell r="A271" t="e">
            <v>#REF!</v>
          </cell>
          <cell r="B271" t="e">
            <v>#REF!</v>
          </cell>
          <cell r="C271" t="e">
            <v>#REF!</v>
          </cell>
          <cell r="D271" t="e">
            <v>#REF!</v>
          </cell>
          <cell r="E271" t="e">
            <v>#REF!</v>
          </cell>
          <cell r="F271" t="e">
            <v>#REF!</v>
          </cell>
          <cell r="G271" t="e">
            <v>#REF!</v>
          </cell>
          <cell r="H271" t="e">
            <v>#REF!</v>
          </cell>
          <cell r="I271" t="e">
            <v>#REF!</v>
          </cell>
          <cell r="J271" t="e">
            <v>#REF!</v>
          </cell>
        </row>
        <row r="272">
          <cell r="A272" t="e">
            <v>#REF!</v>
          </cell>
          <cell r="B272" t="e">
            <v>#REF!</v>
          </cell>
          <cell r="C272" t="e">
            <v>#REF!</v>
          </cell>
          <cell r="D272" t="e">
            <v>#REF!</v>
          </cell>
          <cell r="E272" t="e">
            <v>#REF!</v>
          </cell>
          <cell r="F272" t="e">
            <v>#REF!</v>
          </cell>
          <cell r="G272" t="e">
            <v>#REF!</v>
          </cell>
          <cell r="H272" t="e">
            <v>#REF!</v>
          </cell>
          <cell r="I272" t="e">
            <v>#REF!</v>
          </cell>
          <cell r="J272" t="e">
            <v>#REF!</v>
          </cell>
        </row>
        <row r="273">
          <cell r="A273" t="e">
            <v>#REF!</v>
          </cell>
          <cell r="B273" t="e">
            <v>#REF!</v>
          </cell>
          <cell r="C273" t="e">
            <v>#REF!</v>
          </cell>
          <cell r="D273" t="e">
            <v>#REF!</v>
          </cell>
          <cell r="E273" t="e">
            <v>#REF!</v>
          </cell>
          <cell r="F273" t="e">
            <v>#REF!</v>
          </cell>
          <cell r="G273" t="e">
            <v>#REF!</v>
          </cell>
          <cell r="H273" t="e">
            <v>#REF!</v>
          </cell>
          <cell r="I273" t="e">
            <v>#REF!</v>
          </cell>
          <cell r="J273" t="e">
            <v>#REF!</v>
          </cell>
        </row>
        <row r="274">
          <cell r="A274" t="e">
            <v>#REF!</v>
          </cell>
          <cell r="B274" t="e">
            <v>#REF!</v>
          </cell>
          <cell r="C274" t="e">
            <v>#REF!</v>
          </cell>
          <cell r="D274" t="e">
            <v>#REF!</v>
          </cell>
          <cell r="E274" t="e">
            <v>#REF!</v>
          </cell>
          <cell r="F274" t="e">
            <v>#REF!</v>
          </cell>
          <cell r="G274" t="e">
            <v>#REF!</v>
          </cell>
          <cell r="H274" t="e">
            <v>#REF!</v>
          </cell>
          <cell r="I274" t="e">
            <v>#REF!</v>
          </cell>
          <cell r="J274" t="e">
            <v>#REF!</v>
          </cell>
        </row>
        <row r="275">
          <cell r="A275" t="e">
            <v>#REF!</v>
          </cell>
          <cell r="B275" t="e">
            <v>#REF!</v>
          </cell>
          <cell r="C275" t="e">
            <v>#REF!</v>
          </cell>
          <cell r="D275" t="e">
            <v>#REF!</v>
          </cell>
          <cell r="E275" t="e">
            <v>#REF!</v>
          </cell>
          <cell r="F275" t="e">
            <v>#REF!</v>
          </cell>
          <cell r="G275" t="e">
            <v>#REF!</v>
          </cell>
          <cell r="H275" t="e">
            <v>#REF!</v>
          </cell>
          <cell r="I275" t="e">
            <v>#REF!</v>
          </cell>
          <cell r="J275" t="e">
            <v>#REF!</v>
          </cell>
        </row>
        <row r="276">
          <cell r="A276" t="e">
            <v>#REF!</v>
          </cell>
          <cell r="B276" t="e">
            <v>#REF!</v>
          </cell>
          <cell r="C276" t="e">
            <v>#REF!</v>
          </cell>
          <cell r="D276" t="e">
            <v>#REF!</v>
          </cell>
          <cell r="E276" t="e">
            <v>#REF!</v>
          </cell>
          <cell r="F276" t="e">
            <v>#REF!</v>
          </cell>
          <cell r="G276" t="e">
            <v>#REF!</v>
          </cell>
          <cell r="H276" t="e">
            <v>#REF!</v>
          </cell>
          <cell r="I276" t="e">
            <v>#REF!</v>
          </cell>
          <cell r="J276" t="e">
            <v>#REF!</v>
          </cell>
        </row>
        <row r="277">
          <cell r="A277" t="e">
            <v>#REF!</v>
          </cell>
          <cell r="B277" t="e">
            <v>#REF!</v>
          </cell>
          <cell r="C277" t="e">
            <v>#REF!</v>
          </cell>
          <cell r="D277" t="e">
            <v>#REF!</v>
          </cell>
          <cell r="E277" t="e">
            <v>#REF!</v>
          </cell>
          <cell r="F277" t="e">
            <v>#REF!</v>
          </cell>
          <cell r="G277" t="e">
            <v>#REF!</v>
          </cell>
          <cell r="H277" t="e">
            <v>#REF!</v>
          </cell>
          <cell r="I277" t="e">
            <v>#REF!</v>
          </cell>
          <cell r="J277" t="e">
            <v>#REF!</v>
          </cell>
        </row>
        <row r="278">
          <cell r="A278" t="e">
            <v>#REF!</v>
          </cell>
          <cell r="B278" t="e">
            <v>#REF!</v>
          </cell>
          <cell r="C278" t="e">
            <v>#REF!</v>
          </cell>
          <cell r="D278" t="e">
            <v>#REF!</v>
          </cell>
          <cell r="E278" t="e">
            <v>#REF!</v>
          </cell>
          <cell r="F278" t="e">
            <v>#REF!</v>
          </cell>
          <cell r="G278" t="e">
            <v>#REF!</v>
          </cell>
          <cell r="H278" t="e">
            <v>#REF!</v>
          </cell>
          <cell r="I278" t="e">
            <v>#REF!</v>
          </cell>
          <cell r="J278" t="e">
            <v>#REF!</v>
          </cell>
        </row>
        <row r="279">
          <cell r="A279" t="e">
            <v>#REF!</v>
          </cell>
          <cell r="B279" t="e">
            <v>#REF!</v>
          </cell>
          <cell r="C279" t="e">
            <v>#REF!</v>
          </cell>
          <cell r="D279" t="e">
            <v>#REF!</v>
          </cell>
          <cell r="E279" t="e">
            <v>#REF!</v>
          </cell>
          <cell r="F279" t="e">
            <v>#REF!</v>
          </cell>
          <cell r="G279" t="e">
            <v>#REF!</v>
          </cell>
          <cell r="H279" t="e">
            <v>#REF!</v>
          </cell>
          <cell r="I279" t="e">
            <v>#REF!</v>
          </cell>
          <cell r="J279" t="e">
            <v>#REF!</v>
          </cell>
        </row>
        <row r="280">
          <cell r="A280" t="e">
            <v>#REF!</v>
          </cell>
          <cell r="B280" t="e">
            <v>#REF!</v>
          </cell>
          <cell r="C280" t="e">
            <v>#REF!</v>
          </cell>
          <cell r="D280" t="e">
            <v>#REF!</v>
          </cell>
          <cell r="E280" t="e">
            <v>#REF!</v>
          </cell>
          <cell r="F280" t="e">
            <v>#REF!</v>
          </cell>
          <cell r="G280" t="e">
            <v>#REF!</v>
          </cell>
          <cell r="H280" t="e">
            <v>#REF!</v>
          </cell>
          <cell r="I280" t="e">
            <v>#REF!</v>
          </cell>
          <cell r="J280" t="e">
            <v>#REF!</v>
          </cell>
        </row>
        <row r="281">
          <cell r="A281" t="e">
            <v>#REF!</v>
          </cell>
          <cell r="B281" t="e">
            <v>#REF!</v>
          </cell>
          <cell r="C281" t="e">
            <v>#REF!</v>
          </cell>
          <cell r="D281" t="e">
            <v>#REF!</v>
          </cell>
          <cell r="E281" t="e">
            <v>#REF!</v>
          </cell>
          <cell r="F281" t="e">
            <v>#REF!</v>
          </cell>
          <cell r="G281" t="e">
            <v>#REF!</v>
          </cell>
          <cell r="H281" t="e">
            <v>#REF!</v>
          </cell>
          <cell r="I281" t="e">
            <v>#REF!</v>
          </cell>
          <cell r="J281" t="e">
            <v>#REF!</v>
          </cell>
        </row>
        <row r="282">
          <cell r="A282" t="e">
            <v>#REF!</v>
          </cell>
          <cell r="B282" t="e">
            <v>#REF!</v>
          </cell>
          <cell r="C282" t="e">
            <v>#REF!</v>
          </cell>
          <cell r="D282" t="e">
            <v>#REF!</v>
          </cell>
          <cell r="E282" t="e">
            <v>#REF!</v>
          </cell>
          <cell r="F282" t="e">
            <v>#REF!</v>
          </cell>
          <cell r="G282" t="e">
            <v>#REF!</v>
          </cell>
          <cell r="H282" t="e">
            <v>#REF!</v>
          </cell>
          <cell r="I282" t="e">
            <v>#REF!</v>
          </cell>
          <cell r="J282" t="e">
            <v>#REF!</v>
          </cell>
        </row>
        <row r="283">
          <cell r="A283" t="e">
            <v>#REF!</v>
          </cell>
          <cell r="B283" t="e">
            <v>#REF!</v>
          </cell>
          <cell r="C283" t="e">
            <v>#REF!</v>
          </cell>
          <cell r="D283" t="e">
            <v>#REF!</v>
          </cell>
          <cell r="E283" t="e">
            <v>#REF!</v>
          </cell>
          <cell r="F283" t="e">
            <v>#REF!</v>
          </cell>
          <cell r="G283" t="e">
            <v>#REF!</v>
          </cell>
          <cell r="H283" t="e">
            <v>#REF!</v>
          </cell>
          <cell r="I283" t="e">
            <v>#REF!</v>
          </cell>
          <cell r="J283" t="e">
            <v>#REF!</v>
          </cell>
        </row>
        <row r="284">
          <cell r="A284" t="e">
            <v>#REF!</v>
          </cell>
          <cell r="B284" t="e">
            <v>#REF!</v>
          </cell>
          <cell r="C284" t="e">
            <v>#REF!</v>
          </cell>
          <cell r="D284" t="e">
            <v>#REF!</v>
          </cell>
          <cell r="E284" t="e">
            <v>#REF!</v>
          </cell>
          <cell r="F284" t="e">
            <v>#REF!</v>
          </cell>
          <cell r="G284" t="e">
            <v>#REF!</v>
          </cell>
          <cell r="H284" t="e">
            <v>#REF!</v>
          </cell>
          <cell r="I284" t="e">
            <v>#REF!</v>
          </cell>
          <cell r="J284" t="e">
            <v>#REF!</v>
          </cell>
        </row>
        <row r="285">
          <cell r="A285" t="e">
            <v>#REF!</v>
          </cell>
          <cell r="B285" t="e">
            <v>#REF!</v>
          </cell>
          <cell r="C285" t="e">
            <v>#REF!</v>
          </cell>
          <cell r="D285" t="e">
            <v>#REF!</v>
          </cell>
          <cell r="E285" t="e">
            <v>#REF!</v>
          </cell>
          <cell r="F285" t="e">
            <v>#REF!</v>
          </cell>
          <cell r="G285" t="e">
            <v>#REF!</v>
          </cell>
          <cell r="H285" t="e">
            <v>#REF!</v>
          </cell>
          <cell r="I285" t="e">
            <v>#REF!</v>
          </cell>
          <cell r="J285" t="e">
            <v>#REF!</v>
          </cell>
        </row>
        <row r="286">
          <cell r="A286" t="e">
            <v>#REF!</v>
          </cell>
          <cell r="B286" t="e">
            <v>#REF!</v>
          </cell>
          <cell r="C286" t="e">
            <v>#REF!</v>
          </cell>
          <cell r="D286" t="e">
            <v>#REF!</v>
          </cell>
          <cell r="E286" t="e">
            <v>#REF!</v>
          </cell>
          <cell r="F286" t="e">
            <v>#REF!</v>
          </cell>
          <cell r="G286" t="e">
            <v>#REF!</v>
          </cell>
          <cell r="H286" t="e">
            <v>#REF!</v>
          </cell>
          <cell r="I286" t="e">
            <v>#REF!</v>
          </cell>
          <cell r="J286" t="e">
            <v>#REF!</v>
          </cell>
        </row>
        <row r="287">
          <cell r="A287" t="e">
            <v>#REF!</v>
          </cell>
          <cell r="B287" t="e">
            <v>#REF!</v>
          </cell>
          <cell r="C287" t="e">
            <v>#REF!</v>
          </cell>
          <cell r="D287" t="e">
            <v>#REF!</v>
          </cell>
          <cell r="E287" t="e">
            <v>#REF!</v>
          </cell>
          <cell r="F287" t="e">
            <v>#REF!</v>
          </cell>
          <cell r="G287" t="e">
            <v>#REF!</v>
          </cell>
          <cell r="H287" t="e">
            <v>#REF!</v>
          </cell>
          <cell r="I287" t="e">
            <v>#REF!</v>
          </cell>
          <cell r="J287" t="e">
            <v>#REF!</v>
          </cell>
        </row>
        <row r="288">
          <cell r="A288" t="e">
            <v>#REF!</v>
          </cell>
          <cell r="B288" t="e">
            <v>#REF!</v>
          </cell>
          <cell r="C288" t="e">
            <v>#REF!</v>
          </cell>
          <cell r="D288" t="e">
            <v>#REF!</v>
          </cell>
          <cell r="E288" t="e">
            <v>#REF!</v>
          </cell>
          <cell r="F288" t="e">
            <v>#REF!</v>
          </cell>
          <cell r="G288" t="e">
            <v>#REF!</v>
          </cell>
          <cell r="H288" t="e">
            <v>#REF!</v>
          </cell>
          <cell r="I288" t="e">
            <v>#REF!</v>
          </cell>
          <cell r="J288" t="e">
            <v>#REF!</v>
          </cell>
        </row>
        <row r="289">
          <cell r="A289" t="e">
            <v>#REF!</v>
          </cell>
          <cell r="B289" t="e">
            <v>#REF!</v>
          </cell>
          <cell r="C289" t="e">
            <v>#REF!</v>
          </cell>
          <cell r="D289" t="e">
            <v>#REF!</v>
          </cell>
          <cell r="E289" t="e">
            <v>#REF!</v>
          </cell>
          <cell r="F289" t="e">
            <v>#REF!</v>
          </cell>
          <cell r="G289" t="e">
            <v>#REF!</v>
          </cell>
          <cell r="H289" t="e">
            <v>#REF!</v>
          </cell>
          <cell r="I289" t="e">
            <v>#REF!</v>
          </cell>
          <cell r="J289" t="e">
            <v>#REF!</v>
          </cell>
        </row>
        <row r="290">
          <cell r="A290" t="e">
            <v>#REF!</v>
          </cell>
          <cell r="B290" t="e">
            <v>#REF!</v>
          </cell>
          <cell r="C290" t="e">
            <v>#REF!</v>
          </cell>
          <cell r="D290" t="e">
            <v>#REF!</v>
          </cell>
          <cell r="E290" t="e">
            <v>#REF!</v>
          </cell>
          <cell r="F290" t="e">
            <v>#REF!</v>
          </cell>
          <cell r="G290" t="e">
            <v>#REF!</v>
          </cell>
          <cell r="H290" t="e">
            <v>#REF!</v>
          </cell>
          <cell r="I290" t="e">
            <v>#REF!</v>
          </cell>
          <cell r="J290" t="e">
            <v>#REF!</v>
          </cell>
        </row>
        <row r="291">
          <cell r="A291" t="e">
            <v>#REF!</v>
          </cell>
          <cell r="B291" t="e">
            <v>#REF!</v>
          </cell>
          <cell r="C291" t="e">
            <v>#REF!</v>
          </cell>
          <cell r="D291" t="e">
            <v>#REF!</v>
          </cell>
          <cell r="E291" t="e">
            <v>#REF!</v>
          </cell>
          <cell r="F291" t="e">
            <v>#REF!</v>
          </cell>
          <cell r="G291" t="e">
            <v>#REF!</v>
          </cell>
          <cell r="H291" t="e">
            <v>#REF!</v>
          </cell>
          <cell r="I291" t="e">
            <v>#REF!</v>
          </cell>
          <cell r="J291" t="e">
            <v>#REF!</v>
          </cell>
        </row>
        <row r="292">
          <cell r="A292" t="e">
            <v>#REF!</v>
          </cell>
          <cell r="B292" t="e">
            <v>#REF!</v>
          </cell>
          <cell r="C292" t="e">
            <v>#REF!</v>
          </cell>
          <cell r="D292" t="e">
            <v>#REF!</v>
          </cell>
          <cell r="E292" t="e">
            <v>#REF!</v>
          </cell>
          <cell r="F292" t="e">
            <v>#REF!</v>
          </cell>
          <cell r="G292" t="e">
            <v>#REF!</v>
          </cell>
          <cell r="H292" t="e">
            <v>#REF!</v>
          </cell>
          <cell r="I292" t="e">
            <v>#REF!</v>
          </cell>
          <cell r="J292" t="e">
            <v>#REF!</v>
          </cell>
        </row>
        <row r="293">
          <cell r="A293" t="e">
            <v>#REF!</v>
          </cell>
          <cell r="B293" t="e">
            <v>#REF!</v>
          </cell>
          <cell r="C293" t="e">
            <v>#REF!</v>
          </cell>
          <cell r="D293" t="e">
            <v>#REF!</v>
          </cell>
          <cell r="E293" t="e">
            <v>#REF!</v>
          </cell>
          <cell r="F293" t="e">
            <v>#REF!</v>
          </cell>
          <cell r="G293" t="e">
            <v>#REF!</v>
          </cell>
          <cell r="H293" t="e">
            <v>#REF!</v>
          </cell>
          <cell r="I293" t="e">
            <v>#REF!</v>
          </cell>
          <cell r="J293" t="e">
            <v>#REF!</v>
          </cell>
        </row>
        <row r="294">
          <cell r="A294" t="e">
            <v>#REF!</v>
          </cell>
          <cell r="B294" t="e">
            <v>#REF!</v>
          </cell>
          <cell r="C294" t="e">
            <v>#REF!</v>
          </cell>
          <cell r="D294" t="e">
            <v>#REF!</v>
          </cell>
          <cell r="E294" t="e">
            <v>#REF!</v>
          </cell>
          <cell r="F294" t="e">
            <v>#REF!</v>
          </cell>
          <cell r="G294" t="e">
            <v>#REF!</v>
          </cell>
          <cell r="H294" t="e">
            <v>#REF!</v>
          </cell>
          <cell r="I294" t="e">
            <v>#REF!</v>
          </cell>
          <cell r="J294" t="e">
            <v>#REF!</v>
          </cell>
        </row>
        <row r="295">
          <cell r="A295" t="e">
            <v>#REF!</v>
          </cell>
          <cell r="B295" t="e">
            <v>#REF!</v>
          </cell>
          <cell r="C295" t="e">
            <v>#REF!</v>
          </cell>
          <cell r="D295" t="e">
            <v>#REF!</v>
          </cell>
          <cell r="E295" t="e">
            <v>#REF!</v>
          </cell>
          <cell r="F295" t="e">
            <v>#REF!</v>
          </cell>
          <cell r="G295" t="e">
            <v>#REF!</v>
          </cell>
          <cell r="H295" t="e">
            <v>#REF!</v>
          </cell>
          <cell r="I295" t="e">
            <v>#REF!</v>
          </cell>
          <cell r="J295" t="e">
            <v>#REF!</v>
          </cell>
        </row>
        <row r="296">
          <cell r="A296" t="e">
            <v>#REF!</v>
          </cell>
          <cell r="B296" t="e">
            <v>#REF!</v>
          </cell>
          <cell r="C296" t="e">
            <v>#REF!</v>
          </cell>
          <cell r="D296" t="e">
            <v>#REF!</v>
          </cell>
          <cell r="E296" t="e">
            <v>#REF!</v>
          </cell>
          <cell r="F296" t="e">
            <v>#REF!</v>
          </cell>
          <cell r="G296" t="e">
            <v>#REF!</v>
          </cell>
          <cell r="H296" t="e">
            <v>#REF!</v>
          </cell>
          <cell r="I296" t="e">
            <v>#REF!</v>
          </cell>
          <cell r="J296" t="e">
            <v>#REF!</v>
          </cell>
        </row>
        <row r="297">
          <cell r="A297" t="e">
            <v>#REF!</v>
          </cell>
          <cell r="B297" t="e">
            <v>#REF!</v>
          </cell>
          <cell r="C297" t="e">
            <v>#REF!</v>
          </cell>
          <cell r="D297" t="e">
            <v>#REF!</v>
          </cell>
          <cell r="E297" t="e">
            <v>#REF!</v>
          </cell>
          <cell r="F297" t="e">
            <v>#REF!</v>
          </cell>
          <cell r="G297" t="e">
            <v>#REF!</v>
          </cell>
          <cell r="H297" t="e">
            <v>#REF!</v>
          </cell>
          <cell r="I297" t="e">
            <v>#REF!</v>
          </cell>
          <cell r="J297" t="e">
            <v>#REF!</v>
          </cell>
        </row>
        <row r="298">
          <cell r="A298" t="e">
            <v>#REF!</v>
          </cell>
          <cell r="B298" t="e">
            <v>#REF!</v>
          </cell>
          <cell r="C298" t="e">
            <v>#REF!</v>
          </cell>
          <cell r="D298" t="e">
            <v>#REF!</v>
          </cell>
          <cell r="E298" t="e">
            <v>#REF!</v>
          </cell>
          <cell r="F298" t="e">
            <v>#REF!</v>
          </cell>
          <cell r="G298" t="e">
            <v>#REF!</v>
          </cell>
          <cell r="H298" t="e">
            <v>#REF!</v>
          </cell>
          <cell r="I298" t="e">
            <v>#REF!</v>
          </cell>
          <cell r="J298" t="e">
            <v>#REF!</v>
          </cell>
        </row>
        <row r="299">
          <cell r="A299" t="e">
            <v>#REF!</v>
          </cell>
          <cell r="B299" t="e">
            <v>#REF!</v>
          </cell>
          <cell r="C299" t="e">
            <v>#REF!</v>
          </cell>
          <cell r="D299" t="e">
            <v>#REF!</v>
          </cell>
          <cell r="E299" t="e">
            <v>#REF!</v>
          </cell>
          <cell r="F299" t="e">
            <v>#REF!</v>
          </cell>
          <cell r="G299" t="e">
            <v>#REF!</v>
          </cell>
          <cell r="H299" t="e">
            <v>#REF!</v>
          </cell>
          <cell r="I299" t="e">
            <v>#REF!</v>
          </cell>
          <cell r="J299" t="e">
            <v>#REF!</v>
          </cell>
        </row>
        <row r="300">
          <cell r="A300" t="e">
            <v>#REF!</v>
          </cell>
          <cell r="B300" t="e">
            <v>#REF!</v>
          </cell>
          <cell r="C300" t="e">
            <v>#REF!</v>
          </cell>
          <cell r="D300" t="e">
            <v>#REF!</v>
          </cell>
          <cell r="E300" t="e">
            <v>#REF!</v>
          </cell>
          <cell r="F300" t="e">
            <v>#REF!</v>
          </cell>
          <cell r="G300" t="e">
            <v>#REF!</v>
          </cell>
          <cell r="H300" t="e">
            <v>#REF!</v>
          </cell>
          <cell r="I300" t="e">
            <v>#REF!</v>
          </cell>
          <cell r="J300" t="e">
            <v>#REF!</v>
          </cell>
        </row>
        <row r="301">
          <cell r="A301" t="e">
            <v>#REF!</v>
          </cell>
          <cell r="B301" t="e">
            <v>#REF!</v>
          </cell>
          <cell r="C301" t="e">
            <v>#REF!</v>
          </cell>
          <cell r="D301" t="e">
            <v>#REF!</v>
          </cell>
          <cell r="E301" t="e">
            <v>#REF!</v>
          </cell>
          <cell r="F301" t="e">
            <v>#REF!</v>
          </cell>
          <cell r="G301" t="e">
            <v>#REF!</v>
          </cell>
          <cell r="H301" t="e">
            <v>#REF!</v>
          </cell>
          <cell r="I301" t="e">
            <v>#REF!</v>
          </cell>
          <cell r="J301" t="e">
            <v>#REF!</v>
          </cell>
        </row>
        <row r="302">
          <cell r="A302" t="e">
            <v>#REF!</v>
          </cell>
          <cell r="B302" t="e">
            <v>#REF!</v>
          </cell>
          <cell r="C302" t="e">
            <v>#REF!</v>
          </cell>
          <cell r="D302" t="e">
            <v>#REF!</v>
          </cell>
          <cell r="E302" t="e">
            <v>#REF!</v>
          </cell>
          <cell r="F302" t="e">
            <v>#REF!</v>
          </cell>
          <cell r="G302" t="e">
            <v>#REF!</v>
          </cell>
          <cell r="H302" t="e">
            <v>#REF!</v>
          </cell>
          <cell r="I302" t="e">
            <v>#REF!</v>
          </cell>
          <cell r="J302" t="e">
            <v>#REF!</v>
          </cell>
        </row>
        <row r="303">
          <cell r="A303" t="e">
            <v>#REF!</v>
          </cell>
          <cell r="B303" t="e">
            <v>#REF!</v>
          </cell>
          <cell r="C303" t="e">
            <v>#REF!</v>
          </cell>
          <cell r="D303" t="e">
            <v>#REF!</v>
          </cell>
          <cell r="E303" t="e">
            <v>#REF!</v>
          </cell>
          <cell r="F303" t="e">
            <v>#REF!</v>
          </cell>
          <cell r="G303" t="e">
            <v>#REF!</v>
          </cell>
          <cell r="H303" t="e">
            <v>#REF!</v>
          </cell>
          <cell r="I303" t="e">
            <v>#REF!</v>
          </cell>
          <cell r="J303" t="e">
            <v>#REF!</v>
          </cell>
        </row>
        <row r="304">
          <cell r="A304" t="e">
            <v>#REF!</v>
          </cell>
          <cell r="B304" t="e">
            <v>#REF!</v>
          </cell>
          <cell r="C304" t="e">
            <v>#REF!</v>
          </cell>
          <cell r="D304" t="e">
            <v>#REF!</v>
          </cell>
          <cell r="E304" t="e">
            <v>#REF!</v>
          </cell>
          <cell r="F304" t="e">
            <v>#REF!</v>
          </cell>
          <cell r="G304" t="e">
            <v>#REF!</v>
          </cell>
          <cell r="H304" t="e">
            <v>#REF!</v>
          </cell>
          <cell r="I304" t="e">
            <v>#REF!</v>
          </cell>
          <cell r="J304" t="e">
            <v>#REF!</v>
          </cell>
        </row>
        <row r="305">
          <cell r="A305" t="e">
            <v>#REF!</v>
          </cell>
          <cell r="B305" t="e">
            <v>#REF!</v>
          </cell>
          <cell r="C305" t="e">
            <v>#REF!</v>
          </cell>
          <cell r="D305" t="e">
            <v>#REF!</v>
          </cell>
          <cell r="E305" t="e">
            <v>#REF!</v>
          </cell>
          <cell r="F305" t="e">
            <v>#REF!</v>
          </cell>
          <cell r="G305" t="e">
            <v>#REF!</v>
          </cell>
          <cell r="H305" t="e">
            <v>#REF!</v>
          </cell>
          <cell r="I305" t="e">
            <v>#REF!</v>
          </cell>
          <cell r="J305" t="e">
            <v>#REF!</v>
          </cell>
        </row>
        <row r="306">
          <cell r="A306" t="e">
            <v>#REF!</v>
          </cell>
          <cell r="B306" t="e">
            <v>#REF!</v>
          </cell>
          <cell r="C306" t="e">
            <v>#REF!</v>
          </cell>
          <cell r="D306" t="e">
            <v>#REF!</v>
          </cell>
          <cell r="E306" t="e">
            <v>#REF!</v>
          </cell>
          <cell r="F306" t="e">
            <v>#REF!</v>
          </cell>
          <cell r="G306" t="e">
            <v>#REF!</v>
          </cell>
          <cell r="H306" t="e">
            <v>#REF!</v>
          </cell>
          <cell r="I306" t="e">
            <v>#REF!</v>
          </cell>
          <cell r="J306" t="e">
            <v>#REF!</v>
          </cell>
        </row>
        <row r="307">
          <cell r="A307" t="e">
            <v>#REF!</v>
          </cell>
          <cell r="B307" t="e">
            <v>#REF!</v>
          </cell>
          <cell r="C307" t="e">
            <v>#REF!</v>
          </cell>
          <cell r="D307" t="e">
            <v>#REF!</v>
          </cell>
          <cell r="E307" t="e">
            <v>#REF!</v>
          </cell>
          <cell r="F307" t="e">
            <v>#REF!</v>
          </cell>
          <cell r="G307" t="e">
            <v>#REF!</v>
          </cell>
          <cell r="H307" t="e">
            <v>#REF!</v>
          </cell>
          <cell r="I307" t="e">
            <v>#REF!</v>
          </cell>
          <cell r="J307" t="e">
            <v>#REF!</v>
          </cell>
        </row>
        <row r="308">
          <cell r="A308" t="e">
            <v>#REF!</v>
          </cell>
          <cell r="B308" t="e">
            <v>#REF!</v>
          </cell>
          <cell r="C308" t="e">
            <v>#REF!</v>
          </cell>
          <cell r="D308" t="e">
            <v>#REF!</v>
          </cell>
          <cell r="E308" t="e">
            <v>#REF!</v>
          </cell>
          <cell r="F308" t="e">
            <v>#REF!</v>
          </cell>
          <cell r="G308" t="e">
            <v>#REF!</v>
          </cell>
          <cell r="H308" t="e">
            <v>#REF!</v>
          </cell>
          <cell r="I308" t="e">
            <v>#REF!</v>
          </cell>
          <cell r="J308" t="e">
            <v>#REF!</v>
          </cell>
        </row>
        <row r="309">
          <cell r="A309" t="e">
            <v>#REF!</v>
          </cell>
          <cell r="B309" t="e">
            <v>#REF!</v>
          </cell>
          <cell r="C309" t="e">
            <v>#REF!</v>
          </cell>
          <cell r="D309" t="e">
            <v>#REF!</v>
          </cell>
          <cell r="E309" t="e">
            <v>#REF!</v>
          </cell>
          <cell r="F309" t="e">
            <v>#REF!</v>
          </cell>
          <cell r="G309" t="e">
            <v>#REF!</v>
          </cell>
          <cell r="H309" t="e">
            <v>#REF!</v>
          </cell>
          <cell r="I309" t="e">
            <v>#REF!</v>
          </cell>
          <cell r="J309" t="e">
            <v>#REF!</v>
          </cell>
        </row>
        <row r="310">
          <cell r="A310" t="e">
            <v>#REF!</v>
          </cell>
          <cell r="B310" t="e">
            <v>#REF!</v>
          </cell>
          <cell r="C310" t="e">
            <v>#REF!</v>
          </cell>
          <cell r="D310" t="e">
            <v>#REF!</v>
          </cell>
          <cell r="E310" t="e">
            <v>#REF!</v>
          </cell>
          <cell r="F310" t="e">
            <v>#REF!</v>
          </cell>
          <cell r="G310" t="e">
            <v>#REF!</v>
          </cell>
          <cell r="H310" t="e">
            <v>#REF!</v>
          </cell>
          <cell r="I310" t="e">
            <v>#REF!</v>
          </cell>
          <cell r="J310" t="e">
            <v>#REF!</v>
          </cell>
        </row>
        <row r="311">
          <cell r="A311" t="e">
            <v>#REF!</v>
          </cell>
          <cell r="B311" t="e">
            <v>#REF!</v>
          </cell>
          <cell r="C311" t="e">
            <v>#REF!</v>
          </cell>
          <cell r="D311" t="e">
            <v>#REF!</v>
          </cell>
          <cell r="E311" t="e">
            <v>#REF!</v>
          </cell>
          <cell r="F311" t="e">
            <v>#REF!</v>
          </cell>
          <cell r="G311" t="e">
            <v>#REF!</v>
          </cell>
          <cell r="H311" t="e">
            <v>#REF!</v>
          </cell>
          <cell r="I311" t="e">
            <v>#REF!</v>
          </cell>
          <cell r="J311" t="e">
            <v>#REF!</v>
          </cell>
        </row>
        <row r="312">
          <cell r="A312" t="e">
            <v>#REF!</v>
          </cell>
          <cell r="B312" t="e">
            <v>#REF!</v>
          </cell>
          <cell r="C312" t="e">
            <v>#REF!</v>
          </cell>
          <cell r="D312" t="e">
            <v>#REF!</v>
          </cell>
          <cell r="E312" t="e">
            <v>#REF!</v>
          </cell>
          <cell r="F312" t="e">
            <v>#REF!</v>
          </cell>
          <cell r="G312" t="e">
            <v>#REF!</v>
          </cell>
          <cell r="H312" t="e">
            <v>#REF!</v>
          </cell>
          <cell r="I312" t="e">
            <v>#REF!</v>
          </cell>
          <cell r="J312" t="e">
            <v>#REF!</v>
          </cell>
        </row>
        <row r="313">
          <cell r="A313" t="e">
            <v>#REF!</v>
          </cell>
          <cell r="B313" t="e">
            <v>#REF!</v>
          </cell>
          <cell r="C313" t="e">
            <v>#REF!</v>
          </cell>
          <cell r="D313" t="e">
            <v>#REF!</v>
          </cell>
          <cell r="E313" t="e">
            <v>#REF!</v>
          </cell>
          <cell r="F313" t="e">
            <v>#REF!</v>
          </cell>
          <cell r="G313" t="e">
            <v>#REF!</v>
          </cell>
          <cell r="H313" t="e">
            <v>#REF!</v>
          </cell>
          <cell r="I313" t="e">
            <v>#REF!</v>
          </cell>
          <cell r="J313" t="e">
            <v>#REF!</v>
          </cell>
        </row>
        <row r="314">
          <cell r="A314" t="e">
            <v>#REF!</v>
          </cell>
          <cell r="B314" t="e">
            <v>#REF!</v>
          </cell>
          <cell r="C314" t="e">
            <v>#REF!</v>
          </cell>
          <cell r="D314" t="e">
            <v>#REF!</v>
          </cell>
          <cell r="E314" t="e">
            <v>#REF!</v>
          </cell>
          <cell r="F314" t="e">
            <v>#REF!</v>
          </cell>
          <cell r="G314" t="e">
            <v>#REF!</v>
          </cell>
          <cell r="H314" t="e">
            <v>#REF!</v>
          </cell>
          <cell r="I314" t="e">
            <v>#REF!</v>
          </cell>
          <cell r="J314" t="e">
            <v>#REF!</v>
          </cell>
        </row>
        <row r="315">
          <cell r="A315" t="e">
            <v>#REF!</v>
          </cell>
          <cell r="B315" t="e">
            <v>#REF!</v>
          </cell>
          <cell r="C315" t="e">
            <v>#REF!</v>
          </cell>
          <cell r="D315" t="e">
            <v>#REF!</v>
          </cell>
          <cell r="E315" t="e">
            <v>#REF!</v>
          </cell>
          <cell r="F315" t="e">
            <v>#REF!</v>
          </cell>
          <cell r="G315" t="e">
            <v>#REF!</v>
          </cell>
          <cell r="H315" t="e">
            <v>#REF!</v>
          </cell>
          <cell r="I315" t="e">
            <v>#REF!</v>
          </cell>
          <cell r="J315" t="e">
            <v>#REF!</v>
          </cell>
        </row>
        <row r="316">
          <cell r="A316" t="e">
            <v>#REF!</v>
          </cell>
          <cell r="B316" t="e">
            <v>#REF!</v>
          </cell>
          <cell r="C316" t="e">
            <v>#REF!</v>
          </cell>
          <cell r="D316" t="e">
            <v>#REF!</v>
          </cell>
          <cell r="E316" t="e">
            <v>#REF!</v>
          </cell>
          <cell r="F316" t="e">
            <v>#REF!</v>
          </cell>
          <cell r="G316" t="e">
            <v>#REF!</v>
          </cell>
          <cell r="H316" t="e">
            <v>#REF!</v>
          </cell>
          <cell r="I316" t="e">
            <v>#REF!</v>
          </cell>
          <cell r="J316" t="e">
            <v>#REF!</v>
          </cell>
        </row>
        <row r="317">
          <cell r="A317" t="e">
            <v>#REF!</v>
          </cell>
          <cell r="B317" t="e">
            <v>#REF!</v>
          </cell>
          <cell r="C317" t="e">
            <v>#REF!</v>
          </cell>
          <cell r="D317" t="e">
            <v>#REF!</v>
          </cell>
          <cell r="E317" t="e">
            <v>#REF!</v>
          </cell>
          <cell r="F317" t="e">
            <v>#REF!</v>
          </cell>
          <cell r="G317" t="e">
            <v>#REF!</v>
          </cell>
          <cell r="H317" t="e">
            <v>#REF!</v>
          </cell>
          <cell r="I317" t="e">
            <v>#REF!</v>
          </cell>
          <cell r="J317" t="e">
            <v>#REF!</v>
          </cell>
        </row>
        <row r="318">
          <cell r="A318" t="e">
            <v>#REF!</v>
          </cell>
          <cell r="B318" t="e">
            <v>#REF!</v>
          </cell>
          <cell r="C318" t="e">
            <v>#REF!</v>
          </cell>
          <cell r="D318" t="e">
            <v>#REF!</v>
          </cell>
          <cell r="E318" t="e">
            <v>#REF!</v>
          </cell>
          <cell r="F318" t="e">
            <v>#REF!</v>
          </cell>
          <cell r="G318" t="e">
            <v>#REF!</v>
          </cell>
          <cell r="H318" t="e">
            <v>#REF!</v>
          </cell>
          <cell r="I318" t="e">
            <v>#REF!</v>
          </cell>
          <cell r="J318" t="e">
            <v>#REF!</v>
          </cell>
        </row>
        <row r="319">
          <cell r="A319" t="e">
            <v>#REF!</v>
          </cell>
          <cell r="B319" t="e">
            <v>#REF!</v>
          </cell>
          <cell r="C319" t="e">
            <v>#REF!</v>
          </cell>
          <cell r="D319" t="e">
            <v>#REF!</v>
          </cell>
          <cell r="E319" t="e">
            <v>#REF!</v>
          </cell>
          <cell r="F319" t="e">
            <v>#REF!</v>
          </cell>
          <cell r="G319" t="e">
            <v>#REF!</v>
          </cell>
          <cell r="H319" t="e">
            <v>#REF!</v>
          </cell>
          <cell r="I319" t="e">
            <v>#REF!</v>
          </cell>
          <cell r="J319" t="e">
            <v>#REF!</v>
          </cell>
        </row>
        <row r="320">
          <cell r="A320" t="e">
            <v>#REF!</v>
          </cell>
          <cell r="B320" t="e">
            <v>#REF!</v>
          </cell>
          <cell r="C320" t="e">
            <v>#REF!</v>
          </cell>
          <cell r="D320" t="e">
            <v>#REF!</v>
          </cell>
          <cell r="E320" t="e">
            <v>#REF!</v>
          </cell>
          <cell r="F320" t="e">
            <v>#REF!</v>
          </cell>
          <cell r="G320" t="e">
            <v>#REF!</v>
          </cell>
          <cell r="H320" t="e">
            <v>#REF!</v>
          </cell>
          <cell r="I320" t="e">
            <v>#REF!</v>
          </cell>
          <cell r="J320" t="e">
            <v>#REF!</v>
          </cell>
        </row>
        <row r="321">
          <cell r="A321" t="e">
            <v>#REF!</v>
          </cell>
          <cell r="B321" t="e">
            <v>#REF!</v>
          </cell>
          <cell r="C321" t="e">
            <v>#REF!</v>
          </cell>
          <cell r="D321" t="e">
            <v>#REF!</v>
          </cell>
          <cell r="E321" t="e">
            <v>#REF!</v>
          </cell>
          <cell r="F321" t="e">
            <v>#REF!</v>
          </cell>
          <cell r="G321" t="e">
            <v>#REF!</v>
          </cell>
          <cell r="H321" t="e">
            <v>#REF!</v>
          </cell>
          <cell r="I321" t="e">
            <v>#REF!</v>
          </cell>
          <cell r="J321" t="e">
            <v>#REF!</v>
          </cell>
        </row>
        <row r="322">
          <cell r="A322" t="e">
            <v>#REF!</v>
          </cell>
          <cell r="B322" t="e">
            <v>#REF!</v>
          </cell>
          <cell r="C322" t="e">
            <v>#REF!</v>
          </cell>
          <cell r="D322" t="e">
            <v>#REF!</v>
          </cell>
          <cell r="E322" t="e">
            <v>#REF!</v>
          </cell>
          <cell r="F322" t="e">
            <v>#REF!</v>
          </cell>
          <cell r="G322" t="e">
            <v>#REF!</v>
          </cell>
          <cell r="H322" t="e">
            <v>#REF!</v>
          </cell>
          <cell r="I322" t="e">
            <v>#REF!</v>
          </cell>
          <cell r="J322" t="e">
            <v>#REF!</v>
          </cell>
        </row>
        <row r="323">
          <cell r="A323" t="e">
            <v>#REF!</v>
          </cell>
          <cell r="B323" t="e">
            <v>#REF!</v>
          </cell>
          <cell r="C323" t="e">
            <v>#REF!</v>
          </cell>
          <cell r="D323" t="e">
            <v>#REF!</v>
          </cell>
          <cell r="E323" t="e">
            <v>#REF!</v>
          </cell>
          <cell r="F323" t="e">
            <v>#REF!</v>
          </cell>
          <cell r="G323" t="e">
            <v>#REF!</v>
          </cell>
          <cell r="H323" t="e">
            <v>#REF!</v>
          </cell>
          <cell r="I323" t="e">
            <v>#REF!</v>
          </cell>
          <cell r="J323" t="e">
            <v>#REF!</v>
          </cell>
        </row>
        <row r="324">
          <cell r="A324" t="e">
            <v>#REF!</v>
          </cell>
          <cell r="B324" t="e">
            <v>#REF!</v>
          </cell>
          <cell r="C324" t="e">
            <v>#REF!</v>
          </cell>
          <cell r="D324" t="e">
            <v>#REF!</v>
          </cell>
          <cell r="E324" t="e">
            <v>#REF!</v>
          </cell>
          <cell r="F324" t="e">
            <v>#REF!</v>
          </cell>
          <cell r="G324" t="e">
            <v>#REF!</v>
          </cell>
          <cell r="H324" t="e">
            <v>#REF!</v>
          </cell>
          <cell r="I324" t="e">
            <v>#REF!</v>
          </cell>
          <cell r="J324" t="e">
            <v>#REF!</v>
          </cell>
        </row>
        <row r="325">
          <cell r="A325" t="e">
            <v>#REF!</v>
          </cell>
          <cell r="B325" t="e">
            <v>#REF!</v>
          </cell>
          <cell r="C325" t="e">
            <v>#REF!</v>
          </cell>
          <cell r="D325" t="e">
            <v>#REF!</v>
          </cell>
          <cell r="E325" t="e">
            <v>#REF!</v>
          </cell>
          <cell r="F325" t="e">
            <v>#REF!</v>
          </cell>
          <cell r="G325" t="e">
            <v>#REF!</v>
          </cell>
          <cell r="H325" t="e">
            <v>#REF!</v>
          </cell>
          <cell r="I325" t="e">
            <v>#REF!</v>
          </cell>
          <cell r="J325" t="e">
            <v>#REF!</v>
          </cell>
        </row>
        <row r="326">
          <cell r="A326" t="e">
            <v>#REF!</v>
          </cell>
          <cell r="B326" t="e">
            <v>#REF!</v>
          </cell>
          <cell r="C326" t="e">
            <v>#REF!</v>
          </cell>
          <cell r="D326" t="e">
            <v>#REF!</v>
          </cell>
          <cell r="E326" t="e">
            <v>#REF!</v>
          </cell>
          <cell r="F326" t="e">
            <v>#REF!</v>
          </cell>
          <cell r="G326" t="e">
            <v>#REF!</v>
          </cell>
          <cell r="H326" t="e">
            <v>#REF!</v>
          </cell>
          <cell r="I326" t="e">
            <v>#REF!</v>
          </cell>
          <cell r="J326" t="e">
            <v>#REF!</v>
          </cell>
        </row>
        <row r="327">
          <cell r="A327" t="e">
            <v>#REF!</v>
          </cell>
          <cell r="B327" t="e">
            <v>#REF!</v>
          </cell>
          <cell r="C327" t="e">
            <v>#REF!</v>
          </cell>
          <cell r="D327" t="e">
            <v>#REF!</v>
          </cell>
          <cell r="E327" t="e">
            <v>#REF!</v>
          </cell>
          <cell r="F327" t="e">
            <v>#REF!</v>
          </cell>
          <cell r="G327" t="e">
            <v>#REF!</v>
          </cell>
          <cell r="H327" t="e">
            <v>#REF!</v>
          </cell>
          <cell r="I327" t="e">
            <v>#REF!</v>
          </cell>
          <cell r="J327" t="e">
            <v>#REF!</v>
          </cell>
        </row>
        <row r="328">
          <cell r="A328" t="e">
            <v>#REF!</v>
          </cell>
          <cell r="B328" t="e">
            <v>#REF!</v>
          </cell>
          <cell r="C328" t="e">
            <v>#REF!</v>
          </cell>
          <cell r="D328" t="e">
            <v>#REF!</v>
          </cell>
          <cell r="E328" t="e">
            <v>#REF!</v>
          </cell>
          <cell r="F328" t="e">
            <v>#REF!</v>
          </cell>
          <cell r="G328" t="e">
            <v>#REF!</v>
          </cell>
          <cell r="H328" t="e">
            <v>#REF!</v>
          </cell>
          <cell r="I328" t="e">
            <v>#REF!</v>
          </cell>
          <cell r="J328" t="e">
            <v>#REF!</v>
          </cell>
        </row>
        <row r="329">
          <cell r="A329" t="e">
            <v>#REF!</v>
          </cell>
          <cell r="B329" t="e">
            <v>#REF!</v>
          </cell>
          <cell r="C329" t="e">
            <v>#REF!</v>
          </cell>
          <cell r="D329" t="e">
            <v>#REF!</v>
          </cell>
          <cell r="E329" t="e">
            <v>#REF!</v>
          </cell>
          <cell r="F329" t="e">
            <v>#REF!</v>
          </cell>
          <cell r="G329" t="e">
            <v>#REF!</v>
          </cell>
          <cell r="H329" t="e">
            <v>#REF!</v>
          </cell>
          <cell r="I329" t="e">
            <v>#REF!</v>
          </cell>
          <cell r="J329" t="e">
            <v>#REF!</v>
          </cell>
        </row>
        <row r="330">
          <cell r="A330" t="e">
            <v>#REF!</v>
          </cell>
          <cell r="B330" t="e">
            <v>#REF!</v>
          </cell>
          <cell r="C330" t="e">
            <v>#REF!</v>
          </cell>
          <cell r="D330" t="e">
            <v>#REF!</v>
          </cell>
          <cell r="E330" t="e">
            <v>#REF!</v>
          </cell>
          <cell r="F330" t="e">
            <v>#REF!</v>
          </cell>
          <cell r="G330" t="e">
            <v>#REF!</v>
          </cell>
          <cell r="H330" t="e">
            <v>#REF!</v>
          </cell>
          <cell r="I330" t="e">
            <v>#REF!</v>
          </cell>
          <cell r="J330" t="e">
            <v>#REF!</v>
          </cell>
        </row>
        <row r="331">
          <cell r="A331" t="e">
            <v>#REF!</v>
          </cell>
          <cell r="B331" t="e">
            <v>#REF!</v>
          </cell>
          <cell r="C331" t="e">
            <v>#REF!</v>
          </cell>
          <cell r="D331" t="e">
            <v>#REF!</v>
          </cell>
          <cell r="E331" t="e">
            <v>#REF!</v>
          </cell>
          <cell r="F331" t="e">
            <v>#REF!</v>
          </cell>
          <cell r="G331" t="e">
            <v>#REF!</v>
          </cell>
          <cell r="H331" t="e">
            <v>#REF!</v>
          </cell>
          <cell r="I331" t="e">
            <v>#REF!</v>
          </cell>
          <cell r="J331" t="e">
            <v>#REF!</v>
          </cell>
        </row>
        <row r="332">
          <cell r="A332" t="e">
            <v>#REF!</v>
          </cell>
          <cell r="B332" t="e">
            <v>#REF!</v>
          </cell>
          <cell r="C332" t="e">
            <v>#REF!</v>
          </cell>
          <cell r="D332" t="e">
            <v>#REF!</v>
          </cell>
          <cell r="E332" t="e">
            <v>#REF!</v>
          </cell>
          <cell r="F332" t="e">
            <v>#REF!</v>
          </cell>
          <cell r="G332" t="e">
            <v>#REF!</v>
          </cell>
          <cell r="H332" t="e">
            <v>#REF!</v>
          </cell>
          <cell r="I332" t="e">
            <v>#REF!</v>
          </cell>
          <cell r="J332" t="e">
            <v>#REF!</v>
          </cell>
        </row>
        <row r="333">
          <cell r="A333" t="e">
            <v>#REF!</v>
          </cell>
          <cell r="B333" t="e">
            <v>#REF!</v>
          </cell>
          <cell r="C333" t="e">
            <v>#REF!</v>
          </cell>
          <cell r="D333" t="e">
            <v>#REF!</v>
          </cell>
          <cell r="E333" t="e">
            <v>#REF!</v>
          </cell>
          <cell r="F333" t="e">
            <v>#REF!</v>
          </cell>
          <cell r="G333" t="e">
            <v>#REF!</v>
          </cell>
          <cell r="H333" t="e">
            <v>#REF!</v>
          </cell>
          <cell r="I333" t="e">
            <v>#REF!</v>
          </cell>
          <cell r="J333" t="e">
            <v>#REF!</v>
          </cell>
        </row>
        <row r="334">
          <cell r="A334" t="e">
            <v>#REF!</v>
          </cell>
          <cell r="B334" t="e">
            <v>#REF!</v>
          </cell>
          <cell r="C334" t="e">
            <v>#REF!</v>
          </cell>
          <cell r="D334" t="e">
            <v>#REF!</v>
          </cell>
          <cell r="E334" t="e">
            <v>#REF!</v>
          </cell>
          <cell r="F334" t="e">
            <v>#REF!</v>
          </cell>
          <cell r="G334" t="e">
            <v>#REF!</v>
          </cell>
          <cell r="H334" t="e">
            <v>#REF!</v>
          </cell>
          <cell r="I334" t="e">
            <v>#REF!</v>
          </cell>
          <cell r="J334" t="e">
            <v>#REF!</v>
          </cell>
        </row>
        <row r="335">
          <cell r="A335" t="e">
            <v>#REF!</v>
          </cell>
          <cell r="B335" t="e">
            <v>#REF!</v>
          </cell>
          <cell r="C335" t="e">
            <v>#REF!</v>
          </cell>
          <cell r="D335" t="e">
            <v>#REF!</v>
          </cell>
          <cell r="E335" t="e">
            <v>#REF!</v>
          </cell>
          <cell r="F335" t="e">
            <v>#REF!</v>
          </cell>
          <cell r="G335" t="e">
            <v>#REF!</v>
          </cell>
          <cell r="H335" t="e">
            <v>#REF!</v>
          </cell>
          <cell r="I335" t="e">
            <v>#REF!</v>
          </cell>
          <cell r="J335" t="e">
            <v>#REF!</v>
          </cell>
        </row>
        <row r="336">
          <cell r="A336" t="e">
            <v>#REF!</v>
          </cell>
          <cell r="B336" t="e">
            <v>#REF!</v>
          </cell>
          <cell r="C336" t="e">
            <v>#REF!</v>
          </cell>
          <cell r="D336" t="e">
            <v>#REF!</v>
          </cell>
          <cell r="E336" t="e">
            <v>#REF!</v>
          </cell>
          <cell r="F336" t="e">
            <v>#REF!</v>
          </cell>
          <cell r="G336" t="e">
            <v>#REF!</v>
          </cell>
          <cell r="H336" t="e">
            <v>#REF!</v>
          </cell>
          <cell r="I336" t="e">
            <v>#REF!</v>
          </cell>
          <cell r="J336" t="e">
            <v>#REF!</v>
          </cell>
        </row>
        <row r="337">
          <cell r="A337" t="e">
            <v>#REF!</v>
          </cell>
          <cell r="B337" t="e">
            <v>#REF!</v>
          </cell>
          <cell r="C337" t="e">
            <v>#REF!</v>
          </cell>
          <cell r="D337" t="e">
            <v>#REF!</v>
          </cell>
          <cell r="E337" t="e">
            <v>#REF!</v>
          </cell>
          <cell r="F337" t="e">
            <v>#REF!</v>
          </cell>
          <cell r="G337" t="e">
            <v>#REF!</v>
          </cell>
          <cell r="H337" t="e">
            <v>#REF!</v>
          </cell>
          <cell r="I337" t="e">
            <v>#REF!</v>
          </cell>
          <cell r="J337" t="e">
            <v>#REF!</v>
          </cell>
        </row>
        <row r="338">
          <cell r="A338" t="e">
            <v>#REF!</v>
          </cell>
          <cell r="B338" t="e">
            <v>#REF!</v>
          </cell>
          <cell r="C338" t="e">
            <v>#REF!</v>
          </cell>
          <cell r="D338" t="e">
            <v>#REF!</v>
          </cell>
          <cell r="E338" t="e">
            <v>#REF!</v>
          </cell>
          <cell r="F338" t="e">
            <v>#REF!</v>
          </cell>
          <cell r="G338" t="e">
            <v>#REF!</v>
          </cell>
          <cell r="H338" t="e">
            <v>#REF!</v>
          </cell>
          <cell r="I338" t="e">
            <v>#REF!</v>
          </cell>
          <cell r="J338" t="e">
            <v>#REF!</v>
          </cell>
        </row>
        <row r="339">
          <cell r="A339" t="e">
            <v>#REF!</v>
          </cell>
          <cell r="B339" t="e">
            <v>#REF!</v>
          </cell>
          <cell r="C339" t="e">
            <v>#REF!</v>
          </cell>
          <cell r="D339" t="e">
            <v>#REF!</v>
          </cell>
          <cell r="E339" t="e">
            <v>#REF!</v>
          </cell>
          <cell r="F339" t="e">
            <v>#REF!</v>
          </cell>
          <cell r="G339" t="e">
            <v>#REF!</v>
          </cell>
          <cell r="H339" t="e">
            <v>#REF!</v>
          </cell>
          <cell r="I339" t="e">
            <v>#REF!</v>
          </cell>
          <cell r="J339" t="e">
            <v>#REF!</v>
          </cell>
        </row>
        <row r="340">
          <cell r="A340" t="e">
            <v>#REF!</v>
          </cell>
          <cell r="B340" t="e">
            <v>#REF!</v>
          </cell>
          <cell r="C340" t="e">
            <v>#REF!</v>
          </cell>
          <cell r="D340" t="e">
            <v>#REF!</v>
          </cell>
          <cell r="E340" t="e">
            <v>#REF!</v>
          </cell>
          <cell r="F340" t="e">
            <v>#REF!</v>
          </cell>
          <cell r="G340" t="e">
            <v>#REF!</v>
          </cell>
          <cell r="H340" t="e">
            <v>#REF!</v>
          </cell>
          <cell r="I340" t="e">
            <v>#REF!</v>
          </cell>
          <cell r="J340" t="e">
            <v>#REF!</v>
          </cell>
        </row>
        <row r="341">
          <cell r="A341" t="e">
            <v>#REF!</v>
          </cell>
          <cell r="B341" t="e">
            <v>#REF!</v>
          </cell>
          <cell r="C341" t="e">
            <v>#REF!</v>
          </cell>
          <cell r="D341" t="e">
            <v>#REF!</v>
          </cell>
          <cell r="E341" t="e">
            <v>#REF!</v>
          </cell>
          <cell r="F341" t="e">
            <v>#REF!</v>
          </cell>
          <cell r="G341" t="e">
            <v>#REF!</v>
          </cell>
          <cell r="H341" t="e">
            <v>#REF!</v>
          </cell>
          <cell r="I341" t="e">
            <v>#REF!</v>
          </cell>
          <cell r="J341" t="e">
            <v>#REF!</v>
          </cell>
        </row>
        <row r="342">
          <cell r="A342" t="e">
            <v>#REF!</v>
          </cell>
          <cell r="B342" t="e">
            <v>#REF!</v>
          </cell>
          <cell r="C342" t="e">
            <v>#REF!</v>
          </cell>
          <cell r="D342" t="e">
            <v>#REF!</v>
          </cell>
          <cell r="E342" t="e">
            <v>#REF!</v>
          </cell>
          <cell r="F342" t="e">
            <v>#REF!</v>
          </cell>
          <cell r="G342" t="e">
            <v>#REF!</v>
          </cell>
          <cell r="H342" t="e">
            <v>#REF!</v>
          </cell>
          <cell r="I342" t="e">
            <v>#REF!</v>
          </cell>
          <cell r="J342" t="e">
            <v>#REF!</v>
          </cell>
        </row>
        <row r="343">
          <cell r="A343" t="e">
            <v>#REF!</v>
          </cell>
          <cell r="B343" t="e">
            <v>#REF!</v>
          </cell>
          <cell r="C343" t="e">
            <v>#REF!</v>
          </cell>
          <cell r="D343" t="e">
            <v>#REF!</v>
          </cell>
          <cell r="E343" t="e">
            <v>#REF!</v>
          </cell>
          <cell r="F343" t="e">
            <v>#REF!</v>
          </cell>
          <cell r="G343" t="e">
            <v>#REF!</v>
          </cell>
          <cell r="H343" t="e">
            <v>#REF!</v>
          </cell>
          <cell r="I343" t="e">
            <v>#REF!</v>
          </cell>
          <cell r="J343" t="e">
            <v>#REF!</v>
          </cell>
        </row>
        <row r="344">
          <cell r="A344" t="e">
            <v>#REF!</v>
          </cell>
          <cell r="B344" t="e">
            <v>#REF!</v>
          </cell>
          <cell r="C344" t="e">
            <v>#REF!</v>
          </cell>
          <cell r="D344" t="e">
            <v>#REF!</v>
          </cell>
          <cell r="E344" t="e">
            <v>#REF!</v>
          </cell>
          <cell r="F344" t="e">
            <v>#REF!</v>
          </cell>
          <cell r="G344" t="e">
            <v>#REF!</v>
          </cell>
          <cell r="H344" t="e">
            <v>#REF!</v>
          </cell>
          <cell r="I344" t="e">
            <v>#REF!</v>
          </cell>
          <cell r="J344" t="e">
            <v>#REF!</v>
          </cell>
        </row>
        <row r="345">
          <cell r="A345" t="e">
            <v>#REF!</v>
          </cell>
          <cell r="B345" t="e">
            <v>#REF!</v>
          </cell>
          <cell r="C345" t="e">
            <v>#REF!</v>
          </cell>
          <cell r="D345" t="e">
            <v>#REF!</v>
          </cell>
          <cell r="E345" t="e">
            <v>#REF!</v>
          </cell>
          <cell r="F345" t="e">
            <v>#REF!</v>
          </cell>
          <cell r="G345" t="e">
            <v>#REF!</v>
          </cell>
          <cell r="H345" t="e">
            <v>#REF!</v>
          </cell>
          <cell r="I345" t="e">
            <v>#REF!</v>
          </cell>
          <cell r="J345" t="e">
            <v>#REF!</v>
          </cell>
        </row>
        <row r="346">
          <cell r="A346" t="e">
            <v>#REF!</v>
          </cell>
          <cell r="B346" t="e">
            <v>#REF!</v>
          </cell>
          <cell r="C346" t="e">
            <v>#REF!</v>
          </cell>
          <cell r="D346" t="e">
            <v>#REF!</v>
          </cell>
          <cell r="E346" t="e">
            <v>#REF!</v>
          </cell>
          <cell r="F346" t="e">
            <v>#REF!</v>
          </cell>
          <cell r="G346" t="e">
            <v>#REF!</v>
          </cell>
          <cell r="H346" t="e">
            <v>#REF!</v>
          </cell>
          <cell r="I346" t="e">
            <v>#REF!</v>
          </cell>
          <cell r="J346" t="e">
            <v>#REF!</v>
          </cell>
        </row>
        <row r="347">
          <cell r="A347" t="e">
            <v>#REF!</v>
          </cell>
          <cell r="B347" t="e">
            <v>#REF!</v>
          </cell>
          <cell r="C347" t="e">
            <v>#REF!</v>
          </cell>
          <cell r="D347" t="e">
            <v>#REF!</v>
          </cell>
          <cell r="E347" t="e">
            <v>#REF!</v>
          </cell>
          <cell r="F347" t="e">
            <v>#REF!</v>
          </cell>
          <cell r="G347" t="e">
            <v>#REF!</v>
          </cell>
          <cell r="H347" t="e">
            <v>#REF!</v>
          </cell>
          <cell r="I347" t="e">
            <v>#REF!</v>
          </cell>
          <cell r="J347" t="e">
            <v>#REF!</v>
          </cell>
        </row>
        <row r="348">
          <cell r="A348" t="e">
            <v>#REF!</v>
          </cell>
          <cell r="B348" t="e">
            <v>#REF!</v>
          </cell>
          <cell r="C348" t="e">
            <v>#REF!</v>
          </cell>
          <cell r="D348" t="e">
            <v>#REF!</v>
          </cell>
          <cell r="E348" t="e">
            <v>#REF!</v>
          </cell>
          <cell r="F348" t="e">
            <v>#REF!</v>
          </cell>
          <cell r="G348" t="e">
            <v>#REF!</v>
          </cell>
          <cell r="H348" t="e">
            <v>#REF!</v>
          </cell>
          <cell r="I348" t="e">
            <v>#REF!</v>
          </cell>
          <cell r="J348" t="e">
            <v>#REF!</v>
          </cell>
        </row>
        <row r="349">
          <cell r="A349" t="e">
            <v>#REF!</v>
          </cell>
          <cell r="B349" t="e">
            <v>#REF!</v>
          </cell>
          <cell r="C349" t="e">
            <v>#REF!</v>
          </cell>
          <cell r="D349" t="e">
            <v>#REF!</v>
          </cell>
          <cell r="E349" t="e">
            <v>#REF!</v>
          </cell>
          <cell r="F349" t="e">
            <v>#REF!</v>
          </cell>
          <cell r="G349" t="e">
            <v>#REF!</v>
          </cell>
          <cell r="H349" t="e">
            <v>#REF!</v>
          </cell>
          <cell r="I349" t="e">
            <v>#REF!</v>
          </cell>
          <cell r="J349" t="e">
            <v>#REF!</v>
          </cell>
        </row>
        <row r="350">
          <cell r="A350" t="e">
            <v>#REF!</v>
          </cell>
          <cell r="B350" t="e">
            <v>#REF!</v>
          </cell>
          <cell r="C350" t="e">
            <v>#REF!</v>
          </cell>
          <cell r="D350" t="e">
            <v>#REF!</v>
          </cell>
          <cell r="E350" t="e">
            <v>#REF!</v>
          </cell>
          <cell r="F350" t="e">
            <v>#REF!</v>
          </cell>
          <cell r="G350" t="e">
            <v>#REF!</v>
          </cell>
          <cell r="H350" t="e">
            <v>#REF!</v>
          </cell>
          <cell r="I350" t="e">
            <v>#REF!</v>
          </cell>
          <cell r="J350" t="e">
            <v>#REF!</v>
          </cell>
        </row>
        <row r="351">
          <cell r="A351" t="e">
            <v>#REF!</v>
          </cell>
          <cell r="B351" t="e">
            <v>#REF!</v>
          </cell>
          <cell r="C351" t="e">
            <v>#REF!</v>
          </cell>
          <cell r="D351" t="e">
            <v>#REF!</v>
          </cell>
          <cell r="E351" t="e">
            <v>#REF!</v>
          </cell>
          <cell r="F351" t="e">
            <v>#REF!</v>
          </cell>
          <cell r="G351" t="e">
            <v>#REF!</v>
          </cell>
          <cell r="H351" t="e">
            <v>#REF!</v>
          </cell>
          <cell r="I351" t="e">
            <v>#REF!</v>
          </cell>
          <cell r="J351" t="e">
            <v>#REF!</v>
          </cell>
        </row>
        <row r="352">
          <cell r="A352" t="e">
            <v>#REF!</v>
          </cell>
          <cell r="B352" t="e">
            <v>#REF!</v>
          </cell>
          <cell r="C352" t="e">
            <v>#REF!</v>
          </cell>
          <cell r="D352" t="e">
            <v>#REF!</v>
          </cell>
          <cell r="E352" t="e">
            <v>#REF!</v>
          </cell>
          <cell r="F352" t="e">
            <v>#REF!</v>
          </cell>
          <cell r="G352" t="e">
            <v>#REF!</v>
          </cell>
          <cell r="H352" t="e">
            <v>#REF!</v>
          </cell>
          <cell r="I352" t="e">
            <v>#REF!</v>
          </cell>
          <cell r="J352" t="e">
            <v>#REF!</v>
          </cell>
        </row>
        <row r="353">
          <cell r="A353" t="e">
            <v>#REF!</v>
          </cell>
          <cell r="B353" t="e">
            <v>#REF!</v>
          </cell>
          <cell r="C353" t="e">
            <v>#REF!</v>
          </cell>
          <cell r="D353" t="e">
            <v>#REF!</v>
          </cell>
          <cell r="E353" t="e">
            <v>#REF!</v>
          </cell>
          <cell r="F353" t="e">
            <v>#REF!</v>
          </cell>
          <cell r="G353" t="e">
            <v>#REF!</v>
          </cell>
          <cell r="H353" t="e">
            <v>#REF!</v>
          </cell>
          <cell r="I353" t="e">
            <v>#REF!</v>
          </cell>
          <cell r="J353" t="e">
            <v>#REF!</v>
          </cell>
        </row>
        <row r="354">
          <cell r="A354" t="e">
            <v>#REF!</v>
          </cell>
          <cell r="B354" t="e">
            <v>#REF!</v>
          </cell>
          <cell r="C354" t="e">
            <v>#REF!</v>
          </cell>
          <cell r="D354" t="e">
            <v>#REF!</v>
          </cell>
          <cell r="E354" t="e">
            <v>#REF!</v>
          </cell>
          <cell r="F354" t="e">
            <v>#REF!</v>
          </cell>
          <cell r="G354" t="e">
            <v>#REF!</v>
          </cell>
          <cell r="H354" t="e">
            <v>#REF!</v>
          </cell>
          <cell r="I354" t="e">
            <v>#REF!</v>
          </cell>
          <cell r="J354" t="e">
            <v>#REF!</v>
          </cell>
        </row>
        <row r="355">
          <cell r="A355" t="e">
            <v>#REF!</v>
          </cell>
          <cell r="B355" t="e">
            <v>#REF!</v>
          </cell>
          <cell r="C355" t="e">
            <v>#REF!</v>
          </cell>
          <cell r="D355" t="e">
            <v>#REF!</v>
          </cell>
          <cell r="E355" t="e">
            <v>#REF!</v>
          </cell>
          <cell r="F355" t="e">
            <v>#REF!</v>
          </cell>
          <cell r="G355" t="e">
            <v>#REF!</v>
          </cell>
          <cell r="H355" t="e">
            <v>#REF!</v>
          </cell>
          <cell r="I355" t="e">
            <v>#REF!</v>
          </cell>
          <cell r="J355" t="e">
            <v>#REF!</v>
          </cell>
        </row>
        <row r="356">
          <cell r="A356" t="e">
            <v>#REF!</v>
          </cell>
          <cell r="B356" t="e">
            <v>#REF!</v>
          </cell>
          <cell r="C356" t="e">
            <v>#REF!</v>
          </cell>
          <cell r="D356" t="e">
            <v>#REF!</v>
          </cell>
          <cell r="E356" t="e">
            <v>#REF!</v>
          </cell>
          <cell r="F356" t="e">
            <v>#REF!</v>
          </cell>
          <cell r="G356" t="e">
            <v>#REF!</v>
          </cell>
          <cell r="H356" t="e">
            <v>#REF!</v>
          </cell>
          <cell r="I356" t="e">
            <v>#REF!</v>
          </cell>
          <cell r="J356" t="e">
            <v>#REF!</v>
          </cell>
        </row>
        <row r="357">
          <cell r="A357" t="e">
            <v>#REF!</v>
          </cell>
          <cell r="B357" t="e">
            <v>#REF!</v>
          </cell>
          <cell r="C357" t="e">
            <v>#REF!</v>
          </cell>
          <cell r="D357" t="e">
            <v>#REF!</v>
          </cell>
          <cell r="E357" t="e">
            <v>#REF!</v>
          </cell>
          <cell r="F357" t="e">
            <v>#REF!</v>
          </cell>
          <cell r="G357" t="e">
            <v>#REF!</v>
          </cell>
          <cell r="H357" t="e">
            <v>#REF!</v>
          </cell>
          <cell r="I357" t="e">
            <v>#REF!</v>
          </cell>
          <cell r="J357" t="e">
            <v>#REF!</v>
          </cell>
        </row>
        <row r="358">
          <cell r="A358" t="e">
            <v>#REF!</v>
          </cell>
          <cell r="B358" t="e">
            <v>#REF!</v>
          </cell>
          <cell r="C358" t="e">
            <v>#REF!</v>
          </cell>
          <cell r="D358" t="e">
            <v>#REF!</v>
          </cell>
          <cell r="E358" t="e">
            <v>#REF!</v>
          </cell>
          <cell r="F358" t="e">
            <v>#REF!</v>
          </cell>
          <cell r="G358" t="e">
            <v>#REF!</v>
          </cell>
          <cell r="H358" t="e">
            <v>#REF!</v>
          </cell>
          <cell r="I358" t="e">
            <v>#REF!</v>
          </cell>
          <cell r="J358" t="e">
            <v>#REF!</v>
          </cell>
        </row>
        <row r="359">
          <cell r="A359" t="e">
            <v>#REF!</v>
          </cell>
          <cell r="B359" t="e">
            <v>#REF!</v>
          </cell>
          <cell r="C359" t="e">
            <v>#REF!</v>
          </cell>
          <cell r="D359" t="e">
            <v>#REF!</v>
          </cell>
          <cell r="E359" t="e">
            <v>#REF!</v>
          </cell>
          <cell r="F359" t="e">
            <v>#REF!</v>
          </cell>
          <cell r="G359" t="e">
            <v>#REF!</v>
          </cell>
          <cell r="H359" t="e">
            <v>#REF!</v>
          </cell>
          <cell r="I359" t="e">
            <v>#REF!</v>
          </cell>
          <cell r="J359" t="e">
            <v>#REF!</v>
          </cell>
        </row>
        <row r="360">
          <cell r="A360" t="e">
            <v>#REF!</v>
          </cell>
          <cell r="B360" t="e">
            <v>#REF!</v>
          </cell>
          <cell r="C360" t="e">
            <v>#REF!</v>
          </cell>
          <cell r="D360" t="e">
            <v>#REF!</v>
          </cell>
          <cell r="E360" t="e">
            <v>#REF!</v>
          </cell>
          <cell r="F360" t="e">
            <v>#REF!</v>
          </cell>
          <cell r="G360" t="e">
            <v>#REF!</v>
          </cell>
          <cell r="H360" t="e">
            <v>#REF!</v>
          </cell>
          <cell r="I360" t="e">
            <v>#REF!</v>
          </cell>
          <cell r="J360" t="e">
            <v>#REF!</v>
          </cell>
        </row>
        <row r="361">
          <cell r="A361" t="e">
            <v>#REF!</v>
          </cell>
          <cell r="B361" t="e">
            <v>#REF!</v>
          </cell>
          <cell r="C361" t="e">
            <v>#REF!</v>
          </cell>
          <cell r="D361" t="e">
            <v>#REF!</v>
          </cell>
          <cell r="E361" t="e">
            <v>#REF!</v>
          </cell>
          <cell r="F361" t="e">
            <v>#REF!</v>
          </cell>
          <cell r="G361" t="e">
            <v>#REF!</v>
          </cell>
          <cell r="H361" t="e">
            <v>#REF!</v>
          </cell>
          <cell r="I361" t="e">
            <v>#REF!</v>
          </cell>
          <cell r="J361" t="e">
            <v>#REF!</v>
          </cell>
        </row>
        <row r="362">
          <cell r="A362" t="e">
            <v>#REF!</v>
          </cell>
          <cell r="B362" t="e">
            <v>#REF!</v>
          </cell>
          <cell r="C362" t="e">
            <v>#REF!</v>
          </cell>
          <cell r="D362" t="e">
            <v>#REF!</v>
          </cell>
          <cell r="E362" t="e">
            <v>#REF!</v>
          </cell>
          <cell r="F362" t="e">
            <v>#REF!</v>
          </cell>
          <cell r="G362" t="e">
            <v>#REF!</v>
          </cell>
          <cell r="H362" t="e">
            <v>#REF!</v>
          </cell>
          <cell r="I362" t="e">
            <v>#REF!</v>
          </cell>
          <cell r="J362" t="e">
            <v>#REF!</v>
          </cell>
        </row>
        <row r="363">
          <cell r="A363" t="e">
            <v>#REF!</v>
          </cell>
          <cell r="B363" t="e">
            <v>#REF!</v>
          </cell>
          <cell r="C363" t="e">
            <v>#REF!</v>
          </cell>
          <cell r="D363" t="e">
            <v>#REF!</v>
          </cell>
          <cell r="E363" t="e">
            <v>#REF!</v>
          </cell>
          <cell r="F363" t="e">
            <v>#REF!</v>
          </cell>
          <cell r="G363" t="e">
            <v>#REF!</v>
          </cell>
          <cell r="H363" t="e">
            <v>#REF!</v>
          </cell>
          <cell r="I363" t="e">
            <v>#REF!</v>
          </cell>
          <cell r="J363" t="e">
            <v>#REF!</v>
          </cell>
        </row>
        <row r="364">
          <cell r="A364" t="e">
            <v>#REF!</v>
          </cell>
          <cell r="B364" t="e">
            <v>#REF!</v>
          </cell>
          <cell r="C364" t="e">
            <v>#REF!</v>
          </cell>
          <cell r="D364" t="e">
            <v>#REF!</v>
          </cell>
          <cell r="E364" t="e">
            <v>#REF!</v>
          </cell>
          <cell r="F364" t="e">
            <v>#REF!</v>
          </cell>
          <cell r="G364" t="e">
            <v>#REF!</v>
          </cell>
          <cell r="H364" t="e">
            <v>#REF!</v>
          </cell>
          <cell r="I364" t="e">
            <v>#REF!</v>
          </cell>
          <cell r="J364" t="e">
            <v>#REF!</v>
          </cell>
        </row>
        <row r="365">
          <cell r="A365" t="e">
            <v>#REF!</v>
          </cell>
          <cell r="B365" t="e">
            <v>#REF!</v>
          </cell>
          <cell r="C365" t="e">
            <v>#REF!</v>
          </cell>
          <cell r="D365" t="e">
            <v>#REF!</v>
          </cell>
          <cell r="E365" t="e">
            <v>#REF!</v>
          </cell>
          <cell r="F365" t="e">
            <v>#REF!</v>
          </cell>
          <cell r="G365" t="e">
            <v>#REF!</v>
          </cell>
          <cell r="H365" t="e">
            <v>#REF!</v>
          </cell>
          <cell r="I365" t="e">
            <v>#REF!</v>
          </cell>
          <cell r="J365" t="e">
            <v>#REF!</v>
          </cell>
        </row>
        <row r="366">
          <cell r="A366" t="e">
            <v>#REF!</v>
          </cell>
          <cell r="B366" t="e">
            <v>#REF!</v>
          </cell>
          <cell r="C366" t="e">
            <v>#REF!</v>
          </cell>
          <cell r="D366" t="e">
            <v>#REF!</v>
          </cell>
          <cell r="E366" t="e">
            <v>#REF!</v>
          </cell>
          <cell r="F366" t="e">
            <v>#REF!</v>
          </cell>
          <cell r="G366" t="e">
            <v>#REF!</v>
          </cell>
          <cell r="H366" t="e">
            <v>#REF!</v>
          </cell>
          <cell r="I366" t="e">
            <v>#REF!</v>
          </cell>
          <cell r="J366" t="e">
            <v>#REF!</v>
          </cell>
        </row>
        <row r="367">
          <cell r="A367" t="e">
            <v>#REF!</v>
          </cell>
          <cell r="B367" t="e">
            <v>#REF!</v>
          </cell>
          <cell r="C367" t="e">
            <v>#REF!</v>
          </cell>
          <cell r="D367" t="e">
            <v>#REF!</v>
          </cell>
          <cell r="E367" t="e">
            <v>#REF!</v>
          </cell>
          <cell r="F367" t="e">
            <v>#REF!</v>
          </cell>
          <cell r="G367" t="e">
            <v>#REF!</v>
          </cell>
          <cell r="H367" t="e">
            <v>#REF!</v>
          </cell>
          <cell r="I367" t="e">
            <v>#REF!</v>
          </cell>
          <cell r="J367" t="e">
            <v>#REF!</v>
          </cell>
        </row>
        <row r="368">
          <cell r="A368" t="e">
            <v>#REF!</v>
          </cell>
          <cell r="B368" t="e">
            <v>#REF!</v>
          </cell>
          <cell r="C368" t="e">
            <v>#REF!</v>
          </cell>
          <cell r="D368" t="e">
            <v>#REF!</v>
          </cell>
          <cell r="E368" t="e">
            <v>#REF!</v>
          </cell>
          <cell r="F368" t="e">
            <v>#REF!</v>
          </cell>
          <cell r="G368" t="e">
            <v>#REF!</v>
          </cell>
          <cell r="H368" t="e">
            <v>#REF!</v>
          </cell>
          <cell r="I368" t="e">
            <v>#REF!</v>
          </cell>
          <cell r="J368" t="e">
            <v>#REF!</v>
          </cell>
        </row>
        <row r="369">
          <cell r="A369" t="e">
            <v>#REF!</v>
          </cell>
          <cell r="B369" t="e">
            <v>#REF!</v>
          </cell>
          <cell r="C369" t="e">
            <v>#REF!</v>
          </cell>
          <cell r="D369" t="e">
            <v>#REF!</v>
          </cell>
          <cell r="E369" t="e">
            <v>#REF!</v>
          </cell>
          <cell r="F369" t="e">
            <v>#REF!</v>
          </cell>
          <cell r="G369" t="e">
            <v>#REF!</v>
          </cell>
          <cell r="H369" t="e">
            <v>#REF!</v>
          </cell>
          <cell r="I369" t="e">
            <v>#REF!</v>
          </cell>
          <cell r="J369" t="e">
            <v>#REF!</v>
          </cell>
        </row>
        <row r="370">
          <cell r="A370" t="e">
            <v>#REF!</v>
          </cell>
          <cell r="B370" t="e">
            <v>#REF!</v>
          </cell>
          <cell r="C370" t="e">
            <v>#REF!</v>
          </cell>
          <cell r="D370" t="e">
            <v>#REF!</v>
          </cell>
          <cell r="E370" t="e">
            <v>#REF!</v>
          </cell>
          <cell r="F370" t="e">
            <v>#REF!</v>
          </cell>
          <cell r="G370" t="e">
            <v>#REF!</v>
          </cell>
          <cell r="H370" t="e">
            <v>#REF!</v>
          </cell>
          <cell r="I370" t="e">
            <v>#REF!</v>
          </cell>
          <cell r="J370" t="e">
            <v>#REF!</v>
          </cell>
        </row>
        <row r="371">
          <cell r="A371" t="e">
            <v>#REF!</v>
          </cell>
          <cell r="B371" t="e">
            <v>#REF!</v>
          </cell>
          <cell r="C371" t="e">
            <v>#REF!</v>
          </cell>
          <cell r="D371" t="e">
            <v>#REF!</v>
          </cell>
          <cell r="E371" t="e">
            <v>#REF!</v>
          </cell>
          <cell r="F371" t="e">
            <v>#REF!</v>
          </cell>
          <cell r="G371" t="e">
            <v>#REF!</v>
          </cell>
          <cell r="H371" t="e">
            <v>#REF!</v>
          </cell>
          <cell r="I371" t="e">
            <v>#REF!</v>
          </cell>
          <cell r="J371" t="e">
            <v>#REF!</v>
          </cell>
        </row>
        <row r="372">
          <cell r="A372" t="e">
            <v>#REF!</v>
          </cell>
          <cell r="B372" t="e">
            <v>#REF!</v>
          </cell>
          <cell r="C372" t="e">
            <v>#REF!</v>
          </cell>
          <cell r="D372" t="e">
            <v>#REF!</v>
          </cell>
          <cell r="E372" t="e">
            <v>#REF!</v>
          </cell>
          <cell r="F372" t="e">
            <v>#REF!</v>
          </cell>
          <cell r="G372" t="e">
            <v>#REF!</v>
          </cell>
          <cell r="H372" t="e">
            <v>#REF!</v>
          </cell>
          <cell r="I372" t="e">
            <v>#REF!</v>
          </cell>
          <cell r="J372" t="e">
            <v>#REF!</v>
          </cell>
        </row>
        <row r="373">
          <cell r="A373" t="e">
            <v>#REF!</v>
          </cell>
          <cell r="B373" t="e">
            <v>#REF!</v>
          </cell>
          <cell r="C373" t="e">
            <v>#REF!</v>
          </cell>
          <cell r="D373" t="e">
            <v>#REF!</v>
          </cell>
          <cell r="E373" t="e">
            <v>#REF!</v>
          </cell>
          <cell r="F373" t="e">
            <v>#REF!</v>
          </cell>
          <cell r="G373" t="e">
            <v>#REF!</v>
          </cell>
          <cell r="H373" t="e">
            <v>#REF!</v>
          </cell>
          <cell r="I373" t="e">
            <v>#REF!</v>
          </cell>
          <cell r="J373" t="e">
            <v>#REF!</v>
          </cell>
        </row>
        <row r="374">
          <cell r="A374" t="e">
            <v>#REF!</v>
          </cell>
          <cell r="B374" t="e">
            <v>#REF!</v>
          </cell>
          <cell r="C374" t="e">
            <v>#REF!</v>
          </cell>
          <cell r="D374" t="e">
            <v>#REF!</v>
          </cell>
          <cell r="E374" t="e">
            <v>#REF!</v>
          </cell>
          <cell r="F374" t="e">
            <v>#REF!</v>
          </cell>
          <cell r="G374" t="e">
            <v>#REF!</v>
          </cell>
          <cell r="H374" t="e">
            <v>#REF!</v>
          </cell>
          <cell r="I374" t="e">
            <v>#REF!</v>
          </cell>
          <cell r="J374" t="e">
            <v>#REF!</v>
          </cell>
        </row>
        <row r="375">
          <cell r="A375" t="e">
            <v>#REF!</v>
          </cell>
          <cell r="B375" t="e">
            <v>#REF!</v>
          </cell>
          <cell r="C375" t="e">
            <v>#REF!</v>
          </cell>
          <cell r="D375" t="e">
            <v>#REF!</v>
          </cell>
          <cell r="E375" t="e">
            <v>#REF!</v>
          </cell>
          <cell r="F375" t="e">
            <v>#REF!</v>
          </cell>
          <cell r="G375" t="e">
            <v>#REF!</v>
          </cell>
          <cell r="H375" t="e">
            <v>#REF!</v>
          </cell>
          <cell r="I375" t="e">
            <v>#REF!</v>
          </cell>
          <cell r="J375" t="e">
            <v>#REF!</v>
          </cell>
        </row>
        <row r="376">
          <cell r="A376" t="e">
            <v>#REF!</v>
          </cell>
          <cell r="B376" t="e">
            <v>#REF!</v>
          </cell>
          <cell r="C376" t="e">
            <v>#REF!</v>
          </cell>
          <cell r="D376" t="e">
            <v>#REF!</v>
          </cell>
          <cell r="E376" t="e">
            <v>#REF!</v>
          </cell>
          <cell r="F376" t="e">
            <v>#REF!</v>
          </cell>
          <cell r="G376" t="e">
            <v>#REF!</v>
          </cell>
          <cell r="H376" t="e">
            <v>#REF!</v>
          </cell>
          <cell r="I376" t="e">
            <v>#REF!</v>
          </cell>
          <cell r="J376" t="e">
            <v>#REF!</v>
          </cell>
        </row>
        <row r="377">
          <cell r="A377" t="e">
            <v>#REF!</v>
          </cell>
          <cell r="B377" t="e">
            <v>#REF!</v>
          </cell>
          <cell r="C377" t="e">
            <v>#REF!</v>
          </cell>
          <cell r="D377" t="e">
            <v>#REF!</v>
          </cell>
          <cell r="E377" t="e">
            <v>#REF!</v>
          </cell>
          <cell r="F377" t="e">
            <v>#REF!</v>
          </cell>
          <cell r="G377" t="e">
            <v>#REF!</v>
          </cell>
          <cell r="H377" t="e">
            <v>#REF!</v>
          </cell>
          <cell r="I377" t="e">
            <v>#REF!</v>
          </cell>
          <cell r="J377" t="e">
            <v>#REF!</v>
          </cell>
        </row>
        <row r="378">
          <cell r="A378" t="e">
            <v>#REF!</v>
          </cell>
          <cell r="B378" t="e">
            <v>#REF!</v>
          </cell>
          <cell r="C378" t="e">
            <v>#REF!</v>
          </cell>
          <cell r="D378" t="e">
            <v>#REF!</v>
          </cell>
          <cell r="E378" t="e">
            <v>#REF!</v>
          </cell>
          <cell r="F378" t="e">
            <v>#REF!</v>
          </cell>
          <cell r="G378" t="e">
            <v>#REF!</v>
          </cell>
          <cell r="H378" t="e">
            <v>#REF!</v>
          </cell>
          <cell r="I378" t="e">
            <v>#REF!</v>
          </cell>
          <cell r="J378" t="e">
            <v>#REF!</v>
          </cell>
        </row>
        <row r="379">
          <cell r="A379" t="e">
            <v>#REF!</v>
          </cell>
          <cell r="B379" t="e">
            <v>#REF!</v>
          </cell>
          <cell r="C379" t="e">
            <v>#REF!</v>
          </cell>
          <cell r="D379" t="e">
            <v>#REF!</v>
          </cell>
          <cell r="E379" t="e">
            <v>#REF!</v>
          </cell>
          <cell r="F379" t="e">
            <v>#REF!</v>
          </cell>
          <cell r="G379" t="e">
            <v>#REF!</v>
          </cell>
          <cell r="H379" t="e">
            <v>#REF!</v>
          </cell>
          <cell r="I379" t="e">
            <v>#REF!</v>
          </cell>
          <cell r="J379" t="e">
            <v>#REF!</v>
          </cell>
        </row>
        <row r="380">
          <cell r="A380" t="e">
            <v>#REF!</v>
          </cell>
          <cell r="B380" t="e">
            <v>#REF!</v>
          </cell>
          <cell r="C380" t="e">
            <v>#REF!</v>
          </cell>
          <cell r="D380" t="e">
            <v>#REF!</v>
          </cell>
          <cell r="E380" t="e">
            <v>#REF!</v>
          </cell>
          <cell r="F380" t="e">
            <v>#REF!</v>
          </cell>
          <cell r="G380" t="e">
            <v>#REF!</v>
          </cell>
          <cell r="H380" t="e">
            <v>#REF!</v>
          </cell>
          <cell r="I380" t="e">
            <v>#REF!</v>
          </cell>
          <cell r="J380" t="e">
            <v>#REF!</v>
          </cell>
        </row>
        <row r="381">
          <cell r="A381" t="e">
            <v>#REF!</v>
          </cell>
          <cell r="B381" t="e">
            <v>#REF!</v>
          </cell>
          <cell r="C381" t="e">
            <v>#REF!</v>
          </cell>
          <cell r="D381" t="e">
            <v>#REF!</v>
          </cell>
          <cell r="E381" t="e">
            <v>#REF!</v>
          </cell>
          <cell r="F381" t="e">
            <v>#REF!</v>
          </cell>
          <cell r="G381" t="e">
            <v>#REF!</v>
          </cell>
          <cell r="H381" t="e">
            <v>#REF!</v>
          </cell>
          <cell r="I381" t="e">
            <v>#REF!</v>
          </cell>
          <cell r="J381" t="e">
            <v>#REF!</v>
          </cell>
        </row>
        <row r="382">
          <cell r="A382" t="e">
            <v>#REF!</v>
          </cell>
          <cell r="B382" t="e">
            <v>#REF!</v>
          </cell>
          <cell r="C382" t="e">
            <v>#REF!</v>
          </cell>
          <cell r="D382" t="e">
            <v>#REF!</v>
          </cell>
          <cell r="E382" t="e">
            <v>#REF!</v>
          </cell>
          <cell r="F382" t="e">
            <v>#REF!</v>
          </cell>
          <cell r="G382" t="e">
            <v>#REF!</v>
          </cell>
          <cell r="H382" t="e">
            <v>#REF!</v>
          </cell>
          <cell r="I382" t="e">
            <v>#REF!</v>
          </cell>
          <cell r="J382" t="e">
            <v>#REF!</v>
          </cell>
        </row>
        <row r="383">
          <cell r="A383" t="e">
            <v>#REF!</v>
          </cell>
          <cell r="B383" t="e">
            <v>#REF!</v>
          </cell>
          <cell r="C383" t="e">
            <v>#REF!</v>
          </cell>
          <cell r="D383" t="e">
            <v>#REF!</v>
          </cell>
          <cell r="E383" t="e">
            <v>#REF!</v>
          </cell>
          <cell r="F383" t="e">
            <v>#REF!</v>
          </cell>
          <cell r="G383" t="e">
            <v>#REF!</v>
          </cell>
          <cell r="H383" t="e">
            <v>#REF!</v>
          </cell>
          <cell r="I383" t="e">
            <v>#REF!</v>
          </cell>
          <cell r="J383" t="e">
            <v>#REF!</v>
          </cell>
        </row>
        <row r="384">
          <cell r="A384" t="e">
            <v>#REF!</v>
          </cell>
          <cell r="B384" t="e">
            <v>#REF!</v>
          </cell>
          <cell r="C384" t="e">
            <v>#REF!</v>
          </cell>
          <cell r="D384" t="e">
            <v>#REF!</v>
          </cell>
          <cell r="E384" t="e">
            <v>#REF!</v>
          </cell>
          <cell r="F384" t="e">
            <v>#REF!</v>
          </cell>
          <cell r="G384" t="e">
            <v>#REF!</v>
          </cell>
          <cell r="H384" t="e">
            <v>#REF!</v>
          </cell>
          <cell r="I384" t="e">
            <v>#REF!</v>
          </cell>
          <cell r="J384" t="e">
            <v>#REF!</v>
          </cell>
        </row>
        <row r="385">
          <cell r="A385" t="e">
            <v>#REF!</v>
          </cell>
          <cell r="B385" t="e">
            <v>#REF!</v>
          </cell>
          <cell r="C385" t="e">
            <v>#REF!</v>
          </cell>
          <cell r="D385" t="e">
            <v>#REF!</v>
          </cell>
          <cell r="E385" t="e">
            <v>#REF!</v>
          </cell>
          <cell r="F385" t="e">
            <v>#REF!</v>
          </cell>
          <cell r="G385" t="e">
            <v>#REF!</v>
          </cell>
          <cell r="H385" t="e">
            <v>#REF!</v>
          </cell>
          <cell r="I385" t="e">
            <v>#REF!</v>
          </cell>
          <cell r="J385" t="e">
            <v>#REF!</v>
          </cell>
        </row>
        <row r="386">
          <cell r="A386" t="e">
            <v>#REF!</v>
          </cell>
          <cell r="B386" t="e">
            <v>#REF!</v>
          </cell>
          <cell r="C386" t="e">
            <v>#REF!</v>
          </cell>
          <cell r="D386" t="e">
            <v>#REF!</v>
          </cell>
          <cell r="E386" t="e">
            <v>#REF!</v>
          </cell>
          <cell r="F386" t="e">
            <v>#REF!</v>
          </cell>
          <cell r="G386" t="e">
            <v>#REF!</v>
          </cell>
          <cell r="H386" t="e">
            <v>#REF!</v>
          </cell>
          <cell r="I386" t="e">
            <v>#REF!</v>
          </cell>
          <cell r="J386" t="e">
            <v>#REF!</v>
          </cell>
        </row>
        <row r="387">
          <cell r="A387" t="e">
            <v>#REF!</v>
          </cell>
          <cell r="B387" t="e">
            <v>#REF!</v>
          </cell>
          <cell r="C387" t="e">
            <v>#REF!</v>
          </cell>
          <cell r="D387" t="e">
            <v>#REF!</v>
          </cell>
          <cell r="E387" t="e">
            <v>#REF!</v>
          </cell>
          <cell r="F387" t="e">
            <v>#REF!</v>
          </cell>
          <cell r="G387" t="e">
            <v>#REF!</v>
          </cell>
          <cell r="H387" t="e">
            <v>#REF!</v>
          </cell>
          <cell r="I387" t="e">
            <v>#REF!</v>
          </cell>
          <cell r="J387" t="e">
            <v>#REF!</v>
          </cell>
        </row>
        <row r="388">
          <cell r="A388" t="e">
            <v>#REF!</v>
          </cell>
          <cell r="B388" t="e">
            <v>#REF!</v>
          </cell>
          <cell r="C388" t="e">
            <v>#REF!</v>
          </cell>
          <cell r="D388" t="e">
            <v>#REF!</v>
          </cell>
          <cell r="E388" t="e">
            <v>#REF!</v>
          </cell>
          <cell r="F388" t="e">
            <v>#REF!</v>
          </cell>
          <cell r="G388" t="e">
            <v>#REF!</v>
          </cell>
          <cell r="H388" t="e">
            <v>#REF!</v>
          </cell>
          <cell r="I388" t="e">
            <v>#REF!</v>
          </cell>
          <cell r="J388" t="e">
            <v>#REF!</v>
          </cell>
        </row>
        <row r="389">
          <cell r="A389" t="e">
            <v>#REF!</v>
          </cell>
          <cell r="B389" t="e">
            <v>#REF!</v>
          </cell>
          <cell r="C389" t="e">
            <v>#REF!</v>
          </cell>
          <cell r="D389" t="e">
            <v>#REF!</v>
          </cell>
          <cell r="E389" t="e">
            <v>#REF!</v>
          </cell>
          <cell r="F389" t="e">
            <v>#REF!</v>
          </cell>
          <cell r="G389" t="e">
            <v>#REF!</v>
          </cell>
          <cell r="H389" t="e">
            <v>#REF!</v>
          </cell>
          <cell r="I389" t="e">
            <v>#REF!</v>
          </cell>
          <cell r="J389" t="e">
            <v>#REF!</v>
          </cell>
        </row>
        <row r="390">
          <cell r="A390" t="e">
            <v>#REF!</v>
          </cell>
          <cell r="B390" t="e">
            <v>#REF!</v>
          </cell>
          <cell r="C390" t="e">
            <v>#REF!</v>
          </cell>
          <cell r="D390" t="e">
            <v>#REF!</v>
          </cell>
          <cell r="E390" t="e">
            <v>#REF!</v>
          </cell>
          <cell r="F390" t="e">
            <v>#REF!</v>
          </cell>
          <cell r="G390" t="e">
            <v>#REF!</v>
          </cell>
          <cell r="H390" t="e">
            <v>#REF!</v>
          </cell>
          <cell r="I390" t="e">
            <v>#REF!</v>
          </cell>
          <cell r="J390" t="e">
            <v>#REF!</v>
          </cell>
        </row>
        <row r="391">
          <cell r="A391" t="e">
            <v>#REF!</v>
          </cell>
          <cell r="B391" t="e">
            <v>#REF!</v>
          </cell>
          <cell r="C391" t="e">
            <v>#REF!</v>
          </cell>
          <cell r="D391" t="e">
            <v>#REF!</v>
          </cell>
          <cell r="E391" t="e">
            <v>#REF!</v>
          </cell>
          <cell r="F391" t="e">
            <v>#REF!</v>
          </cell>
          <cell r="G391" t="e">
            <v>#REF!</v>
          </cell>
          <cell r="H391" t="e">
            <v>#REF!</v>
          </cell>
          <cell r="I391" t="e">
            <v>#REF!</v>
          </cell>
          <cell r="J391" t="e">
            <v>#REF!</v>
          </cell>
        </row>
        <row r="392">
          <cell r="A392" t="e">
            <v>#REF!</v>
          </cell>
          <cell r="B392" t="e">
            <v>#REF!</v>
          </cell>
          <cell r="C392" t="e">
            <v>#REF!</v>
          </cell>
          <cell r="D392" t="e">
            <v>#REF!</v>
          </cell>
          <cell r="E392" t="e">
            <v>#REF!</v>
          </cell>
          <cell r="F392" t="e">
            <v>#REF!</v>
          </cell>
          <cell r="G392" t="e">
            <v>#REF!</v>
          </cell>
          <cell r="H392" t="e">
            <v>#REF!</v>
          </cell>
          <cell r="I392" t="e">
            <v>#REF!</v>
          </cell>
          <cell r="J392" t="e">
            <v>#REF!</v>
          </cell>
        </row>
        <row r="393">
          <cell r="A393" t="e">
            <v>#REF!</v>
          </cell>
          <cell r="B393" t="e">
            <v>#REF!</v>
          </cell>
          <cell r="C393" t="e">
            <v>#REF!</v>
          </cell>
          <cell r="D393" t="e">
            <v>#REF!</v>
          </cell>
          <cell r="E393" t="e">
            <v>#REF!</v>
          </cell>
          <cell r="F393" t="e">
            <v>#REF!</v>
          </cell>
          <cell r="G393" t="e">
            <v>#REF!</v>
          </cell>
          <cell r="H393" t="e">
            <v>#REF!</v>
          </cell>
          <cell r="I393" t="e">
            <v>#REF!</v>
          </cell>
          <cell r="J393" t="e">
            <v>#REF!</v>
          </cell>
        </row>
        <row r="394">
          <cell r="A394" t="e">
            <v>#REF!</v>
          </cell>
          <cell r="B394" t="e">
            <v>#REF!</v>
          </cell>
          <cell r="C394" t="e">
            <v>#REF!</v>
          </cell>
          <cell r="D394" t="e">
            <v>#REF!</v>
          </cell>
          <cell r="E394" t="e">
            <v>#REF!</v>
          </cell>
          <cell r="F394" t="e">
            <v>#REF!</v>
          </cell>
          <cell r="G394" t="e">
            <v>#REF!</v>
          </cell>
          <cell r="H394" t="e">
            <v>#REF!</v>
          </cell>
          <cell r="I394" t="e">
            <v>#REF!</v>
          </cell>
          <cell r="J394" t="e">
            <v>#REF!</v>
          </cell>
        </row>
        <row r="395">
          <cell r="A395" t="e">
            <v>#REF!</v>
          </cell>
          <cell r="B395" t="e">
            <v>#REF!</v>
          </cell>
          <cell r="C395" t="e">
            <v>#REF!</v>
          </cell>
          <cell r="D395" t="e">
            <v>#REF!</v>
          </cell>
          <cell r="E395" t="e">
            <v>#REF!</v>
          </cell>
          <cell r="F395" t="e">
            <v>#REF!</v>
          </cell>
          <cell r="G395" t="e">
            <v>#REF!</v>
          </cell>
          <cell r="H395" t="e">
            <v>#REF!</v>
          </cell>
          <cell r="I395" t="e">
            <v>#REF!</v>
          </cell>
          <cell r="J395" t="e">
            <v>#REF!</v>
          </cell>
        </row>
        <row r="396">
          <cell r="A396" t="e">
            <v>#REF!</v>
          </cell>
          <cell r="B396" t="e">
            <v>#REF!</v>
          </cell>
          <cell r="C396" t="e">
            <v>#REF!</v>
          </cell>
          <cell r="D396" t="e">
            <v>#REF!</v>
          </cell>
          <cell r="E396" t="e">
            <v>#REF!</v>
          </cell>
          <cell r="F396" t="e">
            <v>#REF!</v>
          </cell>
          <cell r="G396" t="e">
            <v>#REF!</v>
          </cell>
          <cell r="H396" t="e">
            <v>#REF!</v>
          </cell>
          <cell r="I396" t="e">
            <v>#REF!</v>
          </cell>
          <cell r="J396" t="e">
            <v>#REF!</v>
          </cell>
        </row>
        <row r="397">
          <cell r="A397" t="e">
            <v>#REF!</v>
          </cell>
          <cell r="B397" t="e">
            <v>#REF!</v>
          </cell>
          <cell r="C397" t="e">
            <v>#REF!</v>
          </cell>
          <cell r="D397" t="e">
            <v>#REF!</v>
          </cell>
          <cell r="E397" t="e">
            <v>#REF!</v>
          </cell>
          <cell r="F397" t="e">
            <v>#REF!</v>
          </cell>
          <cell r="G397" t="e">
            <v>#REF!</v>
          </cell>
          <cell r="H397" t="e">
            <v>#REF!</v>
          </cell>
          <cell r="I397" t="e">
            <v>#REF!</v>
          </cell>
          <cell r="J397" t="e">
            <v>#REF!</v>
          </cell>
        </row>
        <row r="398">
          <cell r="A398" t="e">
            <v>#REF!</v>
          </cell>
          <cell r="B398" t="e">
            <v>#REF!</v>
          </cell>
          <cell r="C398" t="e">
            <v>#REF!</v>
          </cell>
          <cell r="D398" t="e">
            <v>#REF!</v>
          </cell>
          <cell r="E398" t="e">
            <v>#REF!</v>
          </cell>
          <cell r="F398" t="e">
            <v>#REF!</v>
          </cell>
          <cell r="G398" t="e">
            <v>#REF!</v>
          </cell>
          <cell r="H398" t="e">
            <v>#REF!</v>
          </cell>
          <cell r="I398" t="e">
            <v>#REF!</v>
          </cell>
          <cell r="J398" t="e">
            <v>#REF!</v>
          </cell>
        </row>
        <row r="399">
          <cell r="A399" t="e">
            <v>#REF!</v>
          </cell>
          <cell r="B399" t="e">
            <v>#REF!</v>
          </cell>
          <cell r="C399" t="e">
            <v>#REF!</v>
          </cell>
          <cell r="D399" t="e">
            <v>#REF!</v>
          </cell>
          <cell r="E399" t="e">
            <v>#REF!</v>
          </cell>
          <cell r="F399" t="e">
            <v>#REF!</v>
          </cell>
          <cell r="G399" t="e">
            <v>#REF!</v>
          </cell>
          <cell r="H399" t="e">
            <v>#REF!</v>
          </cell>
          <cell r="I399" t="e">
            <v>#REF!</v>
          </cell>
          <cell r="J399" t="e">
            <v>#REF!</v>
          </cell>
        </row>
        <row r="400">
          <cell r="A400" t="e">
            <v>#REF!</v>
          </cell>
          <cell r="B400" t="e">
            <v>#REF!</v>
          </cell>
          <cell r="C400" t="e">
            <v>#REF!</v>
          </cell>
          <cell r="D400" t="e">
            <v>#REF!</v>
          </cell>
          <cell r="E400" t="e">
            <v>#REF!</v>
          </cell>
          <cell r="F400" t="e">
            <v>#REF!</v>
          </cell>
          <cell r="G400" t="e">
            <v>#REF!</v>
          </cell>
          <cell r="H400" t="e">
            <v>#REF!</v>
          </cell>
          <cell r="I400" t="e">
            <v>#REF!</v>
          </cell>
          <cell r="J400" t="e">
            <v>#REF!</v>
          </cell>
        </row>
        <row r="401">
          <cell r="A401" t="e">
            <v>#REF!</v>
          </cell>
          <cell r="B401" t="e">
            <v>#REF!</v>
          </cell>
          <cell r="C401" t="e">
            <v>#REF!</v>
          </cell>
          <cell r="D401" t="e">
            <v>#REF!</v>
          </cell>
          <cell r="E401" t="e">
            <v>#REF!</v>
          </cell>
          <cell r="F401" t="e">
            <v>#REF!</v>
          </cell>
          <cell r="G401" t="e">
            <v>#REF!</v>
          </cell>
          <cell r="H401" t="e">
            <v>#REF!</v>
          </cell>
          <cell r="I401" t="e">
            <v>#REF!</v>
          </cell>
          <cell r="J401" t="e">
            <v>#REF!</v>
          </cell>
        </row>
        <row r="402">
          <cell r="A402" t="e">
            <v>#REF!</v>
          </cell>
          <cell r="B402" t="e">
            <v>#REF!</v>
          </cell>
          <cell r="C402" t="e">
            <v>#REF!</v>
          </cell>
          <cell r="D402" t="e">
            <v>#REF!</v>
          </cell>
          <cell r="E402" t="e">
            <v>#REF!</v>
          </cell>
          <cell r="F402" t="e">
            <v>#REF!</v>
          </cell>
          <cell r="G402" t="e">
            <v>#REF!</v>
          </cell>
          <cell r="H402" t="e">
            <v>#REF!</v>
          </cell>
          <cell r="I402" t="e">
            <v>#REF!</v>
          </cell>
          <cell r="J402" t="e">
            <v>#REF!</v>
          </cell>
        </row>
        <row r="403">
          <cell r="A403" t="e">
            <v>#REF!</v>
          </cell>
          <cell r="B403" t="e">
            <v>#REF!</v>
          </cell>
          <cell r="C403" t="e">
            <v>#REF!</v>
          </cell>
          <cell r="D403" t="e">
            <v>#REF!</v>
          </cell>
          <cell r="E403" t="e">
            <v>#REF!</v>
          </cell>
          <cell r="F403" t="e">
            <v>#REF!</v>
          </cell>
          <cell r="G403" t="e">
            <v>#REF!</v>
          </cell>
          <cell r="H403" t="e">
            <v>#REF!</v>
          </cell>
          <cell r="I403" t="e">
            <v>#REF!</v>
          </cell>
          <cell r="J403" t="e">
            <v>#REF!</v>
          </cell>
        </row>
        <row r="404">
          <cell r="A404" t="e">
            <v>#REF!</v>
          </cell>
          <cell r="B404" t="e">
            <v>#REF!</v>
          </cell>
          <cell r="C404" t="e">
            <v>#REF!</v>
          </cell>
          <cell r="D404" t="e">
            <v>#REF!</v>
          </cell>
          <cell r="E404" t="e">
            <v>#REF!</v>
          </cell>
          <cell r="F404" t="e">
            <v>#REF!</v>
          </cell>
          <cell r="G404" t="e">
            <v>#REF!</v>
          </cell>
          <cell r="H404" t="e">
            <v>#REF!</v>
          </cell>
          <cell r="I404" t="e">
            <v>#REF!</v>
          </cell>
          <cell r="J404" t="e">
            <v>#REF!</v>
          </cell>
        </row>
        <row r="405">
          <cell r="A405" t="e">
            <v>#REF!</v>
          </cell>
          <cell r="B405" t="e">
            <v>#REF!</v>
          </cell>
          <cell r="C405" t="e">
            <v>#REF!</v>
          </cell>
          <cell r="D405" t="e">
            <v>#REF!</v>
          </cell>
          <cell r="E405" t="e">
            <v>#REF!</v>
          </cell>
          <cell r="F405" t="e">
            <v>#REF!</v>
          </cell>
          <cell r="G405" t="e">
            <v>#REF!</v>
          </cell>
          <cell r="H405" t="e">
            <v>#REF!</v>
          </cell>
          <cell r="I405" t="e">
            <v>#REF!</v>
          </cell>
          <cell r="J405" t="e">
            <v>#REF!</v>
          </cell>
        </row>
        <row r="406">
          <cell r="A406" t="e">
            <v>#REF!</v>
          </cell>
          <cell r="B406" t="e">
            <v>#REF!</v>
          </cell>
          <cell r="C406" t="e">
            <v>#REF!</v>
          </cell>
          <cell r="D406" t="e">
            <v>#REF!</v>
          </cell>
          <cell r="E406" t="e">
            <v>#REF!</v>
          </cell>
          <cell r="F406" t="e">
            <v>#REF!</v>
          </cell>
          <cell r="G406" t="e">
            <v>#REF!</v>
          </cell>
          <cell r="H406" t="e">
            <v>#REF!</v>
          </cell>
          <cell r="I406" t="e">
            <v>#REF!</v>
          </cell>
          <cell r="J406" t="e">
            <v>#REF!</v>
          </cell>
        </row>
        <row r="407">
          <cell r="A407" t="e">
            <v>#REF!</v>
          </cell>
          <cell r="B407" t="e">
            <v>#REF!</v>
          </cell>
          <cell r="C407" t="e">
            <v>#REF!</v>
          </cell>
          <cell r="D407" t="e">
            <v>#REF!</v>
          </cell>
          <cell r="E407" t="e">
            <v>#REF!</v>
          </cell>
          <cell r="F407" t="e">
            <v>#REF!</v>
          </cell>
          <cell r="G407" t="e">
            <v>#REF!</v>
          </cell>
          <cell r="H407" t="e">
            <v>#REF!</v>
          </cell>
          <cell r="I407" t="e">
            <v>#REF!</v>
          </cell>
          <cell r="J407" t="e">
            <v>#REF!</v>
          </cell>
        </row>
        <row r="408">
          <cell r="A408" t="e">
            <v>#REF!</v>
          </cell>
          <cell r="B408" t="e">
            <v>#REF!</v>
          </cell>
          <cell r="C408" t="e">
            <v>#REF!</v>
          </cell>
          <cell r="D408" t="e">
            <v>#REF!</v>
          </cell>
          <cell r="E408" t="e">
            <v>#REF!</v>
          </cell>
          <cell r="F408" t="e">
            <v>#REF!</v>
          </cell>
          <cell r="G408" t="e">
            <v>#REF!</v>
          </cell>
          <cell r="H408" t="e">
            <v>#REF!</v>
          </cell>
          <cell r="I408" t="e">
            <v>#REF!</v>
          </cell>
          <cell r="J408" t="e">
            <v>#REF!</v>
          </cell>
        </row>
        <row r="409">
          <cell r="A409" t="e">
            <v>#REF!</v>
          </cell>
          <cell r="B409" t="e">
            <v>#REF!</v>
          </cell>
          <cell r="C409" t="e">
            <v>#REF!</v>
          </cell>
          <cell r="D409" t="e">
            <v>#REF!</v>
          </cell>
          <cell r="E409" t="e">
            <v>#REF!</v>
          </cell>
          <cell r="F409" t="e">
            <v>#REF!</v>
          </cell>
          <cell r="G409" t="e">
            <v>#REF!</v>
          </cell>
          <cell r="H409" t="e">
            <v>#REF!</v>
          </cell>
          <cell r="I409" t="e">
            <v>#REF!</v>
          </cell>
          <cell r="J409" t="e">
            <v>#REF!</v>
          </cell>
        </row>
        <row r="410">
          <cell r="A410" t="e">
            <v>#REF!</v>
          </cell>
          <cell r="B410" t="e">
            <v>#REF!</v>
          </cell>
          <cell r="C410" t="e">
            <v>#REF!</v>
          </cell>
          <cell r="D410" t="e">
            <v>#REF!</v>
          </cell>
          <cell r="E410" t="e">
            <v>#REF!</v>
          </cell>
          <cell r="F410" t="e">
            <v>#REF!</v>
          </cell>
          <cell r="G410" t="e">
            <v>#REF!</v>
          </cell>
          <cell r="H410" t="e">
            <v>#REF!</v>
          </cell>
          <cell r="I410" t="e">
            <v>#REF!</v>
          </cell>
          <cell r="J410" t="e">
            <v>#REF!</v>
          </cell>
        </row>
        <row r="411">
          <cell r="A411" t="e">
            <v>#REF!</v>
          </cell>
          <cell r="B411" t="e">
            <v>#REF!</v>
          </cell>
          <cell r="C411" t="e">
            <v>#REF!</v>
          </cell>
          <cell r="D411" t="e">
            <v>#REF!</v>
          </cell>
          <cell r="E411" t="e">
            <v>#REF!</v>
          </cell>
          <cell r="F411" t="e">
            <v>#REF!</v>
          </cell>
          <cell r="G411" t="e">
            <v>#REF!</v>
          </cell>
          <cell r="H411" t="e">
            <v>#REF!</v>
          </cell>
          <cell r="I411" t="e">
            <v>#REF!</v>
          </cell>
          <cell r="J411" t="e">
            <v>#REF!</v>
          </cell>
        </row>
        <row r="412">
          <cell r="A412" t="e">
            <v>#REF!</v>
          </cell>
          <cell r="B412" t="e">
            <v>#REF!</v>
          </cell>
          <cell r="C412" t="e">
            <v>#REF!</v>
          </cell>
          <cell r="D412" t="e">
            <v>#REF!</v>
          </cell>
          <cell r="E412" t="e">
            <v>#REF!</v>
          </cell>
          <cell r="F412" t="e">
            <v>#REF!</v>
          </cell>
          <cell r="G412" t="e">
            <v>#REF!</v>
          </cell>
          <cell r="H412" t="e">
            <v>#REF!</v>
          </cell>
          <cell r="I412" t="e">
            <v>#REF!</v>
          </cell>
          <cell r="J412" t="e">
            <v>#REF!</v>
          </cell>
        </row>
        <row r="413">
          <cell r="A413" t="e">
            <v>#REF!</v>
          </cell>
          <cell r="B413" t="e">
            <v>#REF!</v>
          </cell>
          <cell r="C413" t="e">
            <v>#REF!</v>
          </cell>
          <cell r="D413" t="e">
            <v>#REF!</v>
          </cell>
          <cell r="E413" t="e">
            <v>#REF!</v>
          </cell>
          <cell r="F413" t="e">
            <v>#REF!</v>
          </cell>
          <cell r="G413" t="e">
            <v>#REF!</v>
          </cell>
          <cell r="H413" t="e">
            <v>#REF!</v>
          </cell>
          <cell r="I413" t="e">
            <v>#REF!</v>
          </cell>
          <cell r="J413" t="e">
            <v>#REF!</v>
          </cell>
        </row>
        <row r="414">
          <cell r="A414" t="e">
            <v>#REF!</v>
          </cell>
          <cell r="B414" t="e">
            <v>#REF!</v>
          </cell>
          <cell r="C414" t="e">
            <v>#REF!</v>
          </cell>
          <cell r="D414" t="e">
            <v>#REF!</v>
          </cell>
          <cell r="E414" t="e">
            <v>#REF!</v>
          </cell>
          <cell r="F414" t="e">
            <v>#REF!</v>
          </cell>
          <cell r="G414" t="e">
            <v>#REF!</v>
          </cell>
          <cell r="H414" t="e">
            <v>#REF!</v>
          </cell>
          <cell r="I414" t="e">
            <v>#REF!</v>
          </cell>
          <cell r="J414" t="e">
            <v>#REF!</v>
          </cell>
        </row>
        <row r="415">
          <cell r="A415" t="e">
            <v>#REF!</v>
          </cell>
          <cell r="B415" t="e">
            <v>#REF!</v>
          </cell>
          <cell r="C415" t="e">
            <v>#REF!</v>
          </cell>
          <cell r="D415" t="e">
            <v>#REF!</v>
          </cell>
          <cell r="E415" t="e">
            <v>#REF!</v>
          </cell>
          <cell r="F415" t="e">
            <v>#REF!</v>
          </cell>
          <cell r="G415" t="e">
            <v>#REF!</v>
          </cell>
          <cell r="H415" t="e">
            <v>#REF!</v>
          </cell>
          <cell r="I415" t="e">
            <v>#REF!</v>
          </cell>
          <cell r="J415" t="e">
            <v>#REF!</v>
          </cell>
        </row>
        <row r="416">
          <cell r="A416" t="e">
            <v>#REF!</v>
          </cell>
          <cell r="B416" t="e">
            <v>#REF!</v>
          </cell>
          <cell r="C416" t="e">
            <v>#REF!</v>
          </cell>
          <cell r="D416" t="e">
            <v>#REF!</v>
          </cell>
          <cell r="E416" t="e">
            <v>#REF!</v>
          </cell>
          <cell r="F416" t="e">
            <v>#REF!</v>
          </cell>
          <cell r="G416" t="e">
            <v>#REF!</v>
          </cell>
          <cell r="H416" t="e">
            <v>#REF!</v>
          </cell>
          <cell r="I416" t="e">
            <v>#REF!</v>
          </cell>
          <cell r="J416" t="e">
            <v>#REF!</v>
          </cell>
        </row>
        <row r="417">
          <cell r="A417" t="e">
            <v>#REF!</v>
          </cell>
          <cell r="B417" t="e">
            <v>#REF!</v>
          </cell>
          <cell r="C417" t="e">
            <v>#REF!</v>
          </cell>
          <cell r="D417" t="e">
            <v>#REF!</v>
          </cell>
          <cell r="E417" t="e">
            <v>#REF!</v>
          </cell>
          <cell r="F417" t="e">
            <v>#REF!</v>
          </cell>
          <cell r="G417" t="e">
            <v>#REF!</v>
          </cell>
          <cell r="H417" t="e">
            <v>#REF!</v>
          </cell>
          <cell r="I417" t="e">
            <v>#REF!</v>
          </cell>
          <cell r="J417" t="e">
            <v>#REF!</v>
          </cell>
        </row>
        <row r="418">
          <cell r="A418" t="e">
            <v>#REF!</v>
          </cell>
          <cell r="B418" t="e">
            <v>#REF!</v>
          </cell>
          <cell r="C418" t="e">
            <v>#REF!</v>
          </cell>
          <cell r="D418" t="e">
            <v>#REF!</v>
          </cell>
          <cell r="E418" t="e">
            <v>#REF!</v>
          </cell>
          <cell r="F418" t="e">
            <v>#REF!</v>
          </cell>
          <cell r="G418" t="e">
            <v>#REF!</v>
          </cell>
          <cell r="H418" t="e">
            <v>#REF!</v>
          </cell>
          <cell r="I418" t="e">
            <v>#REF!</v>
          </cell>
          <cell r="J418" t="e">
            <v>#REF!</v>
          </cell>
        </row>
        <row r="419">
          <cell r="A419" t="e">
            <v>#REF!</v>
          </cell>
          <cell r="B419" t="e">
            <v>#REF!</v>
          </cell>
          <cell r="C419" t="e">
            <v>#REF!</v>
          </cell>
          <cell r="D419" t="e">
            <v>#REF!</v>
          </cell>
          <cell r="E419" t="e">
            <v>#REF!</v>
          </cell>
          <cell r="F419" t="e">
            <v>#REF!</v>
          </cell>
          <cell r="G419" t="e">
            <v>#REF!</v>
          </cell>
          <cell r="H419" t="e">
            <v>#REF!</v>
          </cell>
          <cell r="I419" t="e">
            <v>#REF!</v>
          </cell>
          <cell r="J419" t="e">
            <v>#REF!</v>
          </cell>
        </row>
        <row r="420">
          <cell r="A420" t="e">
            <v>#REF!</v>
          </cell>
          <cell r="B420" t="e">
            <v>#REF!</v>
          </cell>
          <cell r="C420" t="e">
            <v>#REF!</v>
          </cell>
          <cell r="D420" t="e">
            <v>#REF!</v>
          </cell>
          <cell r="E420" t="e">
            <v>#REF!</v>
          </cell>
          <cell r="F420" t="e">
            <v>#REF!</v>
          </cell>
          <cell r="G420" t="e">
            <v>#REF!</v>
          </cell>
          <cell r="H420" t="e">
            <v>#REF!</v>
          </cell>
          <cell r="I420" t="e">
            <v>#REF!</v>
          </cell>
          <cell r="J420" t="e">
            <v>#REF!</v>
          </cell>
        </row>
        <row r="421">
          <cell r="A421" t="e">
            <v>#REF!</v>
          </cell>
          <cell r="B421" t="e">
            <v>#REF!</v>
          </cell>
          <cell r="C421" t="e">
            <v>#REF!</v>
          </cell>
          <cell r="D421" t="e">
            <v>#REF!</v>
          </cell>
          <cell r="E421" t="e">
            <v>#REF!</v>
          </cell>
          <cell r="F421" t="e">
            <v>#REF!</v>
          </cell>
          <cell r="G421" t="e">
            <v>#REF!</v>
          </cell>
          <cell r="H421" t="e">
            <v>#REF!</v>
          </cell>
          <cell r="I421" t="e">
            <v>#REF!</v>
          </cell>
          <cell r="J421" t="e">
            <v>#REF!</v>
          </cell>
        </row>
        <row r="422">
          <cell r="A422" t="e">
            <v>#REF!</v>
          </cell>
          <cell r="B422" t="e">
            <v>#REF!</v>
          </cell>
          <cell r="C422" t="e">
            <v>#REF!</v>
          </cell>
          <cell r="D422" t="e">
            <v>#REF!</v>
          </cell>
          <cell r="E422" t="e">
            <v>#REF!</v>
          </cell>
          <cell r="F422" t="e">
            <v>#REF!</v>
          </cell>
          <cell r="G422" t="e">
            <v>#REF!</v>
          </cell>
          <cell r="H422" t="e">
            <v>#REF!</v>
          </cell>
          <cell r="I422" t="e">
            <v>#REF!</v>
          </cell>
          <cell r="J422" t="e">
            <v>#REF!</v>
          </cell>
        </row>
        <row r="423">
          <cell r="A423" t="e">
            <v>#REF!</v>
          </cell>
          <cell r="B423" t="e">
            <v>#REF!</v>
          </cell>
          <cell r="C423" t="e">
            <v>#REF!</v>
          </cell>
          <cell r="D423" t="e">
            <v>#REF!</v>
          </cell>
          <cell r="E423" t="e">
            <v>#REF!</v>
          </cell>
          <cell r="F423" t="e">
            <v>#REF!</v>
          </cell>
          <cell r="G423" t="e">
            <v>#REF!</v>
          </cell>
          <cell r="H423" t="e">
            <v>#REF!</v>
          </cell>
          <cell r="I423" t="e">
            <v>#REF!</v>
          </cell>
          <cell r="J423" t="e">
            <v>#REF!</v>
          </cell>
        </row>
        <row r="424">
          <cell r="A424" t="e">
            <v>#REF!</v>
          </cell>
          <cell r="B424" t="e">
            <v>#REF!</v>
          </cell>
          <cell r="C424" t="e">
            <v>#REF!</v>
          </cell>
          <cell r="D424" t="e">
            <v>#REF!</v>
          </cell>
          <cell r="E424" t="e">
            <v>#REF!</v>
          </cell>
          <cell r="F424" t="e">
            <v>#REF!</v>
          </cell>
          <cell r="G424" t="e">
            <v>#REF!</v>
          </cell>
          <cell r="H424" t="e">
            <v>#REF!</v>
          </cell>
          <cell r="I424" t="e">
            <v>#REF!</v>
          </cell>
          <cell r="J424" t="e">
            <v>#REF!</v>
          </cell>
        </row>
        <row r="425">
          <cell r="A425" t="e">
            <v>#REF!</v>
          </cell>
          <cell r="B425" t="e">
            <v>#REF!</v>
          </cell>
          <cell r="C425" t="e">
            <v>#REF!</v>
          </cell>
          <cell r="D425" t="e">
            <v>#REF!</v>
          </cell>
          <cell r="E425" t="e">
            <v>#REF!</v>
          </cell>
          <cell r="F425" t="e">
            <v>#REF!</v>
          </cell>
          <cell r="G425" t="e">
            <v>#REF!</v>
          </cell>
          <cell r="H425" t="e">
            <v>#REF!</v>
          </cell>
          <cell r="I425" t="e">
            <v>#REF!</v>
          </cell>
          <cell r="J425" t="e">
            <v>#REF!</v>
          </cell>
        </row>
        <row r="426">
          <cell r="A426" t="e">
            <v>#REF!</v>
          </cell>
          <cell r="B426" t="e">
            <v>#REF!</v>
          </cell>
          <cell r="C426" t="e">
            <v>#REF!</v>
          </cell>
          <cell r="D426" t="e">
            <v>#REF!</v>
          </cell>
          <cell r="E426" t="e">
            <v>#REF!</v>
          </cell>
          <cell r="F426" t="e">
            <v>#REF!</v>
          </cell>
          <cell r="G426" t="e">
            <v>#REF!</v>
          </cell>
          <cell r="H426" t="e">
            <v>#REF!</v>
          </cell>
          <cell r="I426" t="e">
            <v>#REF!</v>
          </cell>
          <cell r="J426" t="e">
            <v>#REF!</v>
          </cell>
        </row>
        <row r="427">
          <cell r="A427" t="e">
            <v>#REF!</v>
          </cell>
          <cell r="B427" t="e">
            <v>#REF!</v>
          </cell>
          <cell r="C427" t="e">
            <v>#REF!</v>
          </cell>
          <cell r="D427" t="e">
            <v>#REF!</v>
          </cell>
          <cell r="E427" t="e">
            <v>#REF!</v>
          </cell>
          <cell r="F427" t="e">
            <v>#REF!</v>
          </cell>
          <cell r="G427" t="e">
            <v>#REF!</v>
          </cell>
          <cell r="H427" t="e">
            <v>#REF!</v>
          </cell>
          <cell r="I427" t="e">
            <v>#REF!</v>
          </cell>
          <cell r="J427" t="e">
            <v>#REF!</v>
          </cell>
        </row>
        <row r="428">
          <cell r="A428" t="e">
            <v>#REF!</v>
          </cell>
          <cell r="B428" t="e">
            <v>#REF!</v>
          </cell>
          <cell r="C428" t="e">
            <v>#REF!</v>
          </cell>
          <cell r="D428" t="e">
            <v>#REF!</v>
          </cell>
          <cell r="E428" t="e">
            <v>#REF!</v>
          </cell>
          <cell r="F428" t="e">
            <v>#REF!</v>
          </cell>
          <cell r="G428" t="e">
            <v>#REF!</v>
          </cell>
          <cell r="H428" t="e">
            <v>#REF!</v>
          </cell>
          <cell r="I428" t="e">
            <v>#REF!</v>
          </cell>
          <cell r="J428" t="e">
            <v>#REF!</v>
          </cell>
        </row>
        <row r="429">
          <cell r="A429" t="e">
            <v>#REF!</v>
          </cell>
          <cell r="B429" t="e">
            <v>#REF!</v>
          </cell>
          <cell r="C429" t="e">
            <v>#REF!</v>
          </cell>
          <cell r="D429" t="e">
            <v>#REF!</v>
          </cell>
          <cell r="E429" t="e">
            <v>#REF!</v>
          </cell>
          <cell r="F429" t="e">
            <v>#REF!</v>
          </cell>
          <cell r="G429" t="e">
            <v>#REF!</v>
          </cell>
          <cell r="H429" t="e">
            <v>#REF!</v>
          </cell>
          <cell r="I429" t="e">
            <v>#REF!</v>
          </cell>
          <cell r="J429" t="e">
            <v>#REF!</v>
          </cell>
        </row>
        <row r="430">
          <cell r="A430" t="e">
            <v>#REF!</v>
          </cell>
          <cell r="B430" t="e">
            <v>#REF!</v>
          </cell>
          <cell r="C430" t="e">
            <v>#REF!</v>
          </cell>
          <cell r="D430" t="e">
            <v>#REF!</v>
          </cell>
          <cell r="E430" t="e">
            <v>#REF!</v>
          </cell>
          <cell r="F430" t="e">
            <v>#REF!</v>
          </cell>
          <cell r="G430" t="e">
            <v>#REF!</v>
          </cell>
          <cell r="H430" t="e">
            <v>#REF!</v>
          </cell>
          <cell r="I430" t="e">
            <v>#REF!</v>
          </cell>
          <cell r="J430" t="e">
            <v>#REF!</v>
          </cell>
        </row>
        <row r="431">
          <cell r="A431" t="e">
            <v>#REF!</v>
          </cell>
          <cell r="B431" t="e">
            <v>#REF!</v>
          </cell>
          <cell r="C431" t="e">
            <v>#REF!</v>
          </cell>
          <cell r="D431" t="e">
            <v>#REF!</v>
          </cell>
          <cell r="E431" t="e">
            <v>#REF!</v>
          </cell>
          <cell r="F431" t="e">
            <v>#REF!</v>
          </cell>
          <cell r="G431" t="e">
            <v>#REF!</v>
          </cell>
          <cell r="H431" t="e">
            <v>#REF!</v>
          </cell>
          <cell r="I431" t="e">
            <v>#REF!</v>
          </cell>
          <cell r="J431" t="e">
            <v>#REF!</v>
          </cell>
        </row>
        <row r="432">
          <cell r="A432" t="e">
            <v>#REF!</v>
          </cell>
          <cell r="B432" t="e">
            <v>#REF!</v>
          </cell>
          <cell r="C432" t="e">
            <v>#REF!</v>
          </cell>
          <cell r="D432" t="e">
            <v>#REF!</v>
          </cell>
          <cell r="E432" t="e">
            <v>#REF!</v>
          </cell>
          <cell r="F432" t="e">
            <v>#REF!</v>
          </cell>
          <cell r="G432" t="e">
            <v>#REF!</v>
          </cell>
          <cell r="H432" t="e">
            <v>#REF!</v>
          </cell>
          <cell r="I432" t="e">
            <v>#REF!</v>
          </cell>
          <cell r="J432" t="e">
            <v>#REF!</v>
          </cell>
        </row>
        <row r="433">
          <cell r="A433" t="e">
            <v>#REF!</v>
          </cell>
          <cell r="B433" t="e">
            <v>#REF!</v>
          </cell>
          <cell r="C433" t="e">
            <v>#REF!</v>
          </cell>
          <cell r="D433" t="e">
            <v>#REF!</v>
          </cell>
          <cell r="E433" t="e">
            <v>#REF!</v>
          </cell>
          <cell r="F433" t="e">
            <v>#REF!</v>
          </cell>
          <cell r="G433" t="e">
            <v>#REF!</v>
          </cell>
          <cell r="H433" t="e">
            <v>#REF!</v>
          </cell>
          <cell r="I433" t="e">
            <v>#REF!</v>
          </cell>
          <cell r="J433" t="e">
            <v>#REF!</v>
          </cell>
        </row>
        <row r="434">
          <cell r="A434" t="e">
            <v>#REF!</v>
          </cell>
          <cell r="B434" t="e">
            <v>#REF!</v>
          </cell>
          <cell r="C434" t="e">
            <v>#REF!</v>
          </cell>
          <cell r="D434" t="e">
            <v>#REF!</v>
          </cell>
          <cell r="E434" t="e">
            <v>#REF!</v>
          </cell>
          <cell r="F434" t="e">
            <v>#REF!</v>
          </cell>
          <cell r="G434" t="e">
            <v>#REF!</v>
          </cell>
          <cell r="H434" t="e">
            <v>#REF!</v>
          </cell>
          <cell r="I434" t="e">
            <v>#REF!</v>
          </cell>
          <cell r="J434" t="e">
            <v>#REF!</v>
          </cell>
        </row>
        <row r="435">
          <cell r="A435" t="e">
            <v>#REF!</v>
          </cell>
          <cell r="B435" t="e">
            <v>#REF!</v>
          </cell>
          <cell r="C435" t="e">
            <v>#REF!</v>
          </cell>
          <cell r="D435" t="e">
            <v>#REF!</v>
          </cell>
          <cell r="E435" t="e">
            <v>#REF!</v>
          </cell>
          <cell r="F435" t="e">
            <v>#REF!</v>
          </cell>
          <cell r="G435" t="e">
            <v>#REF!</v>
          </cell>
          <cell r="H435" t="e">
            <v>#REF!</v>
          </cell>
          <cell r="I435" t="e">
            <v>#REF!</v>
          </cell>
          <cell r="J435" t="e">
            <v>#REF!</v>
          </cell>
        </row>
        <row r="436">
          <cell r="A436" t="e">
            <v>#REF!</v>
          </cell>
          <cell r="B436" t="e">
            <v>#REF!</v>
          </cell>
          <cell r="C436" t="e">
            <v>#REF!</v>
          </cell>
          <cell r="D436" t="e">
            <v>#REF!</v>
          </cell>
          <cell r="E436" t="e">
            <v>#REF!</v>
          </cell>
          <cell r="F436" t="e">
            <v>#REF!</v>
          </cell>
          <cell r="G436" t="e">
            <v>#REF!</v>
          </cell>
          <cell r="H436" t="e">
            <v>#REF!</v>
          </cell>
          <cell r="I436" t="e">
            <v>#REF!</v>
          </cell>
          <cell r="J436" t="e">
            <v>#REF!</v>
          </cell>
        </row>
        <row r="437">
          <cell r="A437" t="e">
            <v>#REF!</v>
          </cell>
          <cell r="B437" t="e">
            <v>#REF!</v>
          </cell>
          <cell r="C437" t="e">
            <v>#REF!</v>
          </cell>
          <cell r="D437" t="e">
            <v>#REF!</v>
          </cell>
          <cell r="E437" t="e">
            <v>#REF!</v>
          </cell>
          <cell r="F437" t="e">
            <v>#REF!</v>
          </cell>
          <cell r="G437" t="e">
            <v>#REF!</v>
          </cell>
          <cell r="H437" t="e">
            <v>#REF!</v>
          </cell>
          <cell r="I437" t="e">
            <v>#REF!</v>
          </cell>
          <cell r="J437" t="e">
            <v>#REF!</v>
          </cell>
        </row>
        <row r="438">
          <cell r="A438" t="e">
            <v>#REF!</v>
          </cell>
          <cell r="B438" t="e">
            <v>#REF!</v>
          </cell>
          <cell r="C438" t="e">
            <v>#REF!</v>
          </cell>
          <cell r="D438" t="e">
            <v>#REF!</v>
          </cell>
          <cell r="E438" t="e">
            <v>#REF!</v>
          </cell>
          <cell r="F438" t="e">
            <v>#REF!</v>
          </cell>
          <cell r="G438" t="e">
            <v>#REF!</v>
          </cell>
          <cell r="H438" t="e">
            <v>#REF!</v>
          </cell>
          <cell r="I438" t="e">
            <v>#REF!</v>
          </cell>
          <cell r="J438" t="e">
            <v>#REF!</v>
          </cell>
        </row>
        <row r="439">
          <cell r="A439" t="e">
            <v>#REF!</v>
          </cell>
          <cell r="B439" t="e">
            <v>#REF!</v>
          </cell>
          <cell r="C439" t="e">
            <v>#REF!</v>
          </cell>
          <cell r="D439" t="e">
            <v>#REF!</v>
          </cell>
          <cell r="E439" t="e">
            <v>#REF!</v>
          </cell>
          <cell r="F439" t="e">
            <v>#REF!</v>
          </cell>
          <cell r="G439" t="e">
            <v>#REF!</v>
          </cell>
          <cell r="H439" t="e">
            <v>#REF!</v>
          </cell>
          <cell r="I439" t="e">
            <v>#REF!</v>
          </cell>
          <cell r="J439" t="e">
            <v>#REF!</v>
          </cell>
        </row>
        <row r="440">
          <cell r="A440" t="e">
            <v>#REF!</v>
          </cell>
          <cell r="B440" t="e">
            <v>#REF!</v>
          </cell>
          <cell r="C440" t="e">
            <v>#REF!</v>
          </cell>
          <cell r="D440" t="e">
            <v>#REF!</v>
          </cell>
          <cell r="E440" t="e">
            <v>#REF!</v>
          </cell>
          <cell r="F440" t="e">
            <v>#REF!</v>
          </cell>
          <cell r="G440" t="e">
            <v>#REF!</v>
          </cell>
          <cell r="H440" t="e">
            <v>#REF!</v>
          </cell>
          <cell r="I440" t="e">
            <v>#REF!</v>
          </cell>
          <cell r="J440" t="e">
            <v>#REF!</v>
          </cell>
        </row>
        <row r="441">
          <cell r="A441" t="e">
            <v>#REF!</v>
          </cell>
          <cell r="B441" t="e">
            <v>#REF!</v>
          </cell>
          <cell r="C441" t="e">
            <v>#REF!</v>
          </cell>
          <cell r="D441" t="e">
            <v>#REF!</v>
          </cell>
          <cell r="E441" t="e">
            <v>#REF!</v>
          </cell>
          <cell r="F441" t="e">
            <v>#REF!</v>
          </cell>
          <cell r="G441" t="e">
            <v>#REF!</v>
          </cell>
          <cell r="H441" t="e">
            <v>#REF!</v>
          </cell>
          <cell r="I441" t="e">
            <v>#REF!</v>
          </cell>
          <cell r="J441" t="e">
            <v>#REF!</v>
          </cell>
        </row>
        <row r="442">
          <cell r="A442" t="e">
            <v>#REF!</v>
          </cell>
          <cell r="B442" t="e">
            <v>#REF!</v>
          </cell>
          <cell r="C442" t="e">
            <v>#REF!</v>
          </cell>
          <cell r="D442" t="e">
            <v>#REF!</v>
          </cell>
          <cell r="E442" t="e">
            <v>#REF!</v>
          </cell>
          <cell r="F442" t="e">
            <v>#REF!</v>
          </cell>
          <cell r="G442" t="e">
            <v>#REF!</v>
          </cell>
          <cell r="H442" t="e">
            <v>#REF!</v>
          </cell>
          <cell r="I442" t="e">
            <v>#REF!</v>
          </cell>
          <cell r="J442" t="e">
            <v>#REF!</v>
          </cell>
        </row>
        <row r="443">
          <cell r="A443" t="e">
            <v>#REF!</v>
          </cell>
          <cell r="B443" t="e">
            <v>#REF!</v>
          </cell>
          <cell r="C443" t="e">
            <v>#REF!</v>
          </cell>
          <cell r="D443" t="e">
            <v>#REF!</v>
          </cell>
          <cell r="E443" t="e">
            <v>#REF!</v>
          </cell>
          <cell r="F443" t="e">
            <v>#REF!</v>
          </cell>
          <cell r="G443" t="e">
            <v>#REF!</v>
          </cell>
          <cell r="H443" t="e">
            <v>#REF!</v>
          </cell>
          <cell r="I443" t="e">
            <v>#REF!</v>
          </cell>
          <cell r="J443" t="e">
            <v>#REF!</v>
          </cell>
        </row>
        <row r="444">
          <cell r="A444" t="e">
            <v>#REF!</v>
          </cell>
          <cell r="B444" t="e">
            <v>#REF!</v>
          </cell>
          <cell r="C444" t="e">
            <v>#REF!</v>
          </cell>
          <cell r="D444" t="e">
            <v>#REF!</v>
          </cell>
          <cell r="E444" t="e">
            <v>#REF!</v>
          </cell>
          <cell r="F444" t="e">
            <v>#REF!</v>
          </cell>
          <cell r="G444" t="e">
            <v>#REF!</v>
          </cell>
          <cell r="H444" t="e">
            <v>#REF!</v>
          </cell>
          <cell r="I444" t="e">
            <v>#REF!</v>
          </cell>
          <cell r="J444" t="e">
            <v>#REF!</v>
          </cell>
        </row>
        <row r="445">
          <cell r="A445" t="e">
            <v>#REF!</v>
          </cell>
          <cell r="B445" t="e">
            <v>#REF!</v>
          </cell>
          <cell r="C445" t="e">
            <v>#REF!</v>
          </cell>
          <cell r="D445" t="e">
            <v>#REF!</v>
          </cell>
          <cell r="E445" t="e">
            <v>#REF!</v>
          </cell>
          <cell r="F445" t="e">
            <v>#REF!</v>
          </cell>
          <cell r="G445" t="e">
            <v>#REF!</v>
          </cell>
          <cell r="H445" t="e">
            <v>#REF!</v>
          </cell>
          <cell r="I445" t="e">
            <v>#REF!</v>
          </cell>
          <cell r="J445" t="e">
            <v>#REF!</v>
          </cell>
        </row>
        <row r="446">
          <cell r="A446" t="e">
            <v>#REF!</v>
          </cell>
          <cell r="B446" t="e">
            <v>#REF!</v>
          </cell>
          <cell r="C446" t="e">
            <v>#REF!</v>
          </cell>
          <cell r="D446" t="e">
            <v>#REF!</v>
          </cell>
          <cell r="E446" t="e">
            <v>#REF!</v>
          </cell>
          <cell r="F446" t="e">
            <v>#REF!</v>
          </cell>
          <cell r="G446" t="e">
            <v>#REF!</v>
          </cell>
          <cell r="H446" t="e">
            <v>#REF!</v>
          </cell>
          <cell r="I446" t="e">
            <v>#REF!</v>
          </cell>
          <cell r="J446" t="e">
            <v>#REF!</v>
          </cell>
        </row>
        <row r="447">
          <cell r="A447" t="e">
            <v>#REF!</v>
          </cell>
          <cell r="B447" t="e">
            <v>#REF!</v>
          </cell>
          <cell r="C447" t="e">
            <v>#REF!</v>
          </cell>
          <cell r="D447" t="e">
            <v>#REF!</v>
          </cell>
          <cell r="E447" t="e">
            <v>#REF!</v>
          </cell>
          <cell r="F447" t="e">
            <v>#REF!</v>
          </cell>
          <cell r="G447" t="e">
            <v>#REF!</v>
          </cell>
          <cell r="H447" t="e">
            <v>#REF!</v>
          </cell>
          <cell r="I447" t="e">
            <v>#REF!</v>
          </cell>
          <cell r="J447" t="e">
            <v>#REF!</v>
          </cell>
        </row>
        <row r="448">
          <cell r="A448" t="e">
            <v>#REF!</v>
          </cell>
          <cell r="B448" t="e">
            <v>#REF!</v>
          </cell>
          <cell r="C448" t="e">
            <v>#REF!</v>
          </cell>
          <cell r="D448" t="e">
            <v>#REF!</v>
          </cell>
          <cell r="E448" t="e">
            <v>#REF!</v>
          </cell>
          <cell r="F448" t="e">
            <v>#REF!</v>
          </cell>
          <cell r="G448" t="e">
            <v>#REF!</v>
          </cell>
          <cell r="H448" t="e">
            <v>#REF!</v>
          </cell>
          <cell r="I448" t="e">
            <v>#REF!</v>
          </cell>
          <cell r="J448" t="e">
            <v>#REF!</v>
          </cell>
        </row>
        <row r="449">
          <cell r="A449" t="e">
            <v>#REF!</v>
          </cell>
          <cell r="B449" t="e">
            <v>#REF!</v>
          </cell>
          <cell r="C449" t="e">
            <v>#REF!</v>
          </cell>
          <cell r="D449" t="e">
            <v>#REF!</v>
          </cell>
          <cell r="E449" t="e">
            <v>#REF!</v>
          </cell>
          <cell r="F449" t="e">
            <v>#REF!</v>
          </cell>
          <cell r="G449" t="e">
            <v>#REF!</v>
          </cell>
          <cell r="H449" t="e">
            <v>#REF!</v>
          </cell>
          <cell r="I449" t="e">
            <v>#REF!</v>
          </cell>
          <cell r="J449" t="e">
            <v>#REF!</v>
          </cell>
        </row>
        <row r="450">
          <cell r="A450" t="e">
            <v>#REF!</v>
          </cell>
          <cell r="B450" t="e">
            <v>#REF!</v>
          </cell>
          <cell r="C450" t="e">
            <v>#REF!</v>
          </cell>
          <cell r="D450" t="e">
            <v>#REF!</v>
          </cell>
          <cell r="E450" t="e">
            <v>#REF!</v>
          </cell>
          <cell r="F450" t="e">
            <v>#REF!</v>
          </cell>
          <cell r="G450" t="e">
            <v>#REF!</v>
          </cell>
          <cell r="H450" t="e">
            <v>#REF!</v>
          </cell>
          <cell r="I450" t="e">
            <v>#REF!</v>
          </cell>
          <cell r="J450" t="e">
            <v>#REF!</v>
          </cell>
        </row>
        <row r="451">
          <cell r="A451" t="e">
            <v>#REF!</v>
          </cell>
          <cell r="B451" t="e">
            <v>#REF!</v>
          </cell>
          <cell r="C451" t="e">
            <v>#REF!</v>
          </cell>
          <cell r="D451" t="e">
            <v>#REF!</v>
          </cell>
          <cell r="E451" t="e">
            <v>#REF!</v>
          </cell>
          <cell r="F451" t="e">
            <v>#REF!</v>
          </cell>
          <cell r="G451" t="e">
            <v>#REF!</v>
          </cell>
          <cell r="H451" t="e">
            <v>#REF!</v>
          </cell>
          <cell r="I451" t="e">
            <v>#REF!</v>
          </cell>
          <cell r="J451" t="e">
            <v>#REF!</v>
          </cell>
        </row>
        <row r="452">
          <cell r="A452" t="e">
            <v>#REF!</v>
          </cell>
          <cell r="B452" t="e">
            <v>#REF!</v>
          </cell>
          <cell r="C452" t="e">
            <v>#REF!</v>
          </cell>
          <cell r="D452" t="e">
            <v>#REF!</v>
          </cell>
          <cell r="E452" t="e">
            <v>#REF!</v>
          </cell>
          <cell r="F452" t="e">
            <v>#REF!</v>
          </cell>
          <cell r="G452" t="e">
            <v>#REF!</v>
          </cell>
          <cell r="H452" t="e">
            <v>#REF!</v>
          </cell>
          <cell r="I452" t="e">
            <v>#REF!</v>
          </cell>
          <cell r="J452" t="e">
            <v>#REF!</v>
          </cell>
        </row>
        <row r="453">
          <cell r="A453" t="e">
            <v>#REF!</v>
          </cell>
          <cell r="B453" t="e">
            <v>#REF!</v>
          </cell>
          <cell r="C453" t="e">
            <v>#REF!</v>
          </cell>
          <cell r="D453" t="e">
            <v>#REF!</v>
          </cell>
          <cell r="E453" t="e">
            <v>#REF!</v>
          </cell>
          <cell r="F453" t="e">
            <v>#REF!</v>
          </cell>
          <cell r="G453" t="e">
            <v>#REF!</v>
          </cell>
          <cell r="H453" t="e">
            <v>#REF!</v>
          </cell>
          <cell r="I453" t="e">
            <v>#REF!</v>
          </cell>
          <cell r="J453" t="e">
            <v>#REF!</v>
          </cell>
        </row>
        <row r="454">
          <cell r="A454" t="e">
            <v>#REF!</v>
          </cell>
          <cell r="B454" t="e">
            <v>#REF!</v>
          </cell>
          <cell r="C454" t="e">
            <v>#REF!</v>
          </cell>
          <cell r="D454" t="e">
            <v>#REF!</v>
          </cell>
          <cell r="E454" t="e">
            <v>#REF!</v>
          </cell>
          <cell r="F454" t="e">
            <v>#REF!</v>
          </cell>
          <cell r="G454" t="e">
            <v>#REF!</v>
          </cell>
          <cell r="H454" t="e">
            <v>#REF!</v>
          </cell>
          <cell r="I454" t="e">
            <v>#REF!</v>
          </cell>
          <cell r="J454" t="e">
            <v>#REF!</v>
          </cell>
        </row>
        <row r="455">
          <cell r="A455" t="e">
            <v>#REF!</v>
          </cell>
          <cell r="B455" t="e">
            <v>#REF!</v>
          </cell>
          <cell r="C455" t="e">
            <v>#REF!</v>
          </cell>
          <cell r="D455" t="e">
            <v>#REF!</v>
          </cell>
          <cell r="E455" t="e">
            <v>#REF!</v>
          </cell>
          <cell r="F455" t="e">
            <v>#REF!</v>
          </cell>
          <cell r="G455" t="e">
            <v>#REF!</v>
          </cell>
          <cell r="H455" t="e">
            <v>#REF!</v>
          </cell>
          <cell r="I455" t="e">
            <v>#REF!</v>
          </cell>
          <cell r="J455" t="e">
            <v>#REF!</v>
          </cell>
        </row>
        <row r="456">
          <cell r="A456" t="e">
            <v>#REF!</v>
          </cell>
          <cell r="B456" t="e">
            <v>#REF!</v>
          </cell>
          <cell r="C456" t="e">
            <v>#REF!</v>
          </cell>
          <cell r="D456" t="e">
            <v>#REF!</v>
          </cell>
          <cell r="E456" t="e">
            <v>#REF!</v>
          </cell>
          <cell r="F456" t="e">
            <v>#REF!</v>
          </cell>
          <cell r="G456" t="e">
            <v>#REF!</v>
          </cell>
          <cell r="H456" t="e">
            <v>#REF!</v>
          </cell>
          <cell r="I456" t="e">
            <v>#REF!</v>
          </cell>
          <cell r="J456" t="e">
            <v>#REF!</v>
          </cell>
        </row>
        <row r="457">
          <cell r="A457" t="e">
            <v>#REF!</v>
          </cell>
          <cell r="B457" t="e">
            <v>#REF!</v>
          </cell>
          <cell r="C457" t="e">
            <v>#REF!</v>
          </cell>
          <cell r="D457" t="e">
            <v>#REF!</v>
          </cell>
          <cell r="E457" t="e">
            <v>#REF!</v>
          </cell>
          <cell r="F457" t="e">
            <v>#REF!</v>
          </cell>
          <cell r="G457" t="e">
            <v>#REF!</v>
          </cell>
          <cell r="H457" t="e">
            <v>#REF!</v>
          </cell>
          <cell r="I457" t="e">
            <v>#REF!</v>
          </cell>
          <cell r="J457" t="e">
            <v>#REF!</v>
          </cell>
        </row>
        <row r="458">
          <cell r="A458" t="e">
            <v>#REF!</v>
          </cell>
          <cell r="B458" t="e">
            <v>#REF!</v>
          </cell>
          <cell r="C458" t="e">
            <v>#REF!</v>
          </cell>
          <cell r="D458" t="e">
            <v>#REF!</v>
          </cell>
          <cell r="E458" t="e">
            <v>#REF!</v>
          </cell>
          <cell r="F458" t="e">
            <v>#REF!</v>
          </cell>
          <cell r="G458" t="e">
            <v>#REF!</v>
          </cell>
          <cell r="H458" t="e">
            <v>#REF!</v>
          </cell>
          <cell r="I458" t="e">
            <v>#REF!</v>
          </cell>
          <cell r="J458" t="e">
            <v>#REF!</v>
          </cell>
        </row>
        <row r="459">
          <cell r="A459" t="e">
            <v>#REF!</v>
          </cell>
          <cell r="B459" t="e">
            <v>#REF!</v>
          </cell>
          <cell r="C459" t="e">
            <v>#REF!</v>
          </cell>
          <cell r="D459" t="e">
            <v>#REF!</v>
          </cell>
          <cell r="E459" t="e">
            <v>#REF!</v>
          </cell>
          <cell r="F459" t="e">
            <v>#REF!</v>
          </cell>
          <cell r="G459" t="e">
            <v>#REF!</v>
          </cell>
          <cell r="H459" t="e">
            <v>#REF!</v>
          </cell>
          <cell r="I459" t="e">
            <v>#REF!</v>
          </cell>
          <cell r="J459" t="e">
            <v>#REF!</v>
          </cell>
        </row>
        <row r="460">
          <cell r="A460" t="e">
            <v>#REF!</v>
          </cell>
          <cell r="B460" t="e">
            <v>#REF!</v>
          </cell>
          <cell r="C460" t="e">
            <v>#REF!</v>
          </cell>
          <cell r="D460" t="e">
            <v>#REF!</v>
          </cell>
          <cell r="E460" t="e">
            <v>#REF!</v>
          </cell>
          <cell r="F460" t="e">
            <v>#REF!</v>
          </cell>
          <cell r="G460" t="e">
            <v>#REF!</v>
          </cell>
          <cell r="H460" t="e">
            <v>#REF!</v>
          </cell>
          <cell r="I460" t="e">
            <v>#REF!</v>
          </cell>
          <cell r="J460" t="e">
            <v>#REF!</v>
          </cell>
        </row>
        <row r="461">
          <cell r="A461" t="e">
            <v>#REF!</v>
          </cell>
          <cell r="B461" t="e">
            <v>#REF!</v>
          </cell>
          <cell r="C461" t="e">
            <v>#REF!</v>
          </cell>
          <cell r="D461" t="e">
            <v>#REF!</v>
          </cell>
          <cell r="E461" t="e">
            <v>#REF!</v>
          </cell>
          <cell r="F461" t="e">
            <v>#REF!</v>
          </cell>
          <cell r="G461" t="e">
            <v>#REF!</v>
          </cell>
          <cell r="H461" t="e">
            <v>#REF!</v>
          </cell>
          <cell r="I461" t="e">
            <v>#REF!</v>
          </cell>
          <cell r="J461" t="e">
            <v>#REF!</v>
          </cell>
        </row>
        <row r="462">
          <cell r="A462" t="e">
            <v>#REF!</v>
          </cell>
          <cell r="B462" t="e">
            <v>#REF!</v>
          </cell>
          <cell r="C462" t="e">
            <v>#REF!</v>
          </cell>
          <cell r="D462" t="e">
            <v>#REF!</v>
          </cell>
          <cell r="E462" t="e">
            <v>#REF!</v>
          </cell>
          <cell r="F462" t="e">
            <v>#REF!</v>
          </cell>
          <cell r="G462" t="e">
            <v>#REF!</v>
          </cell>
          <cell r="H462" t="e">
            <v>#REF!</v>
          </cell>
          <cell r="I462" t="e">
            <v>#REF!</v>
          </cell>
          <cell r="J462" t="e">
            <v>#REF!</v>
          </cell>
        </row>
        <row r="463">
          <cell r="A463" t="e">
            <v>#REF!</v>
          </cell>
          <cell r="B463" t="e">
            <v>#REF!</v>
          </cell>
          <cell r="C463" t="e">
            <v>#REF!</v>
          </cell>
          <cell r="D463" t="e">
            <v>#REF!</v>
          </cell>
          <cell r="E463" t="e">
            <v>#REF!</v>
          </cell>
          <cell r="F463" t="e">
            <v>#REF!</v>
          </cell>
          <cell r="G463" t="e">
            <v>#REF!</v>
          </cell>
          <cell r="H463" t="e">
            <v>#REF!</v>
          </cell>
          <cell r="I463" t="e">
            <v>#REF!</v>
          </cell>
          <cell r="J463" t="e">
            <v>#REF!</v>
          </cell>
        </row>
        <row r="464">
          <cell r="A464" t="e">
            <v>#REF!</v>
          </cell>
          <cell r="B464" t="e">
            <v>#REF!</v>
          </cell>
          <cell r="C464" t="e">
            <v>#REF!</v>
          </cell>
          <cell r="D464" t="e">
            <v>#REF!</v>
          </cell>
          <cell r="E464" t="e">
            <v>#REF!</v>
          </cell>
          <cell r="F464" t="e">
            <v>#REF!</v>
          </cell>
          <cell r="G464" t="e">
            <v>#REF!</v>
          </cell>
          <cell r="H464" t="e">
            <v>#REF!</v>
          </cell>
          <cell r="I464" t="e">
            <v>#REF!</v>
          </cell>
          <cell r="J464" t="e">
            <v>#REF!</v>
          </cell>
        </row>
        <row r="465">
          <cell r="A465" t="e">
            <v>#REF!</v>
          </cell>
          <cell r="B465" t="e">
            <v>#REF!</v>
          </cell>
          <cell r="C465" t="e">
            <v>#REF!</v>
          </cell>
          <cell r="D465" t="e">
            <v>#REF!</v>
          </cell>
          <cell r="E465" t="e">
            <v>#REF!</v>
          </cell>
          <cell r="F465" t="e">
            <v>#REF!</v>
          </cell>
          <cell r="G465" t="e">
            <v>#REF!</v>
          </cell>
          <cell r="H465" t="e">
            <v>#REF!</v>
          </cell>
          <cell r="I465" t="e">
            <v>#REF!</v>
          </cell>
          <cell r="J465" t="e">
            <v>#REF!</v>
          </cell>
        </row>
        <row r="466">
          <cell r="A466" t="e">
            <v>#REF!</v>
          </cell>
          <cell r="B466" t="e">
            <v>#REF!</v>
          </cell>
          <cell r="C466" t="e">
            <v>#REF!</v>
          </cell>
          <cell r="D466" t="e">
            <v>#REF!</v>
          </cell>
          <cell r="E466" t="e">
            <v>#REF!</v>
          </cell>
          <cell r="F466" t="e">
            <v>#REF!</v>
          </cell>
          <cell r="G466" t="e">
            <v>#REF!</v>
          </cell>
          <cell r="H466" t="e">
            <v>#REF!</v>
          </cell>
          <cell r="I466" t="e">
            <v>#REF!</v>
          </cell>
          <cell r="J466" t="e">
            <v>#REF!</v>
          </cell>
        </row>
        <row r="467">
          <cell r="A467" t="e">
            <v>#REF!</v>
          </cell>
          <cell r="B467" t="e">
            <v>#REF!</v>
          </cell>
          <cell r="C467" t="e">
            <v>#REF!</v>
          </cell>
          <cell r="D467" t="e">
            <v>#REF!</v>
          </cell>
          <cell r="E467" t="e">
            <v>#REF!</v>
          </cell>
          <cell r="F467" t="e">
            <v>#REF!</v>
          </cell>
          <cell r="G467" t="e">
            <v>#REF!</v>
          </cell>
          <cell r="H467" t="e">
            <v>#REF!</v>
          </cell>
          <cell r="I467" t="e">
            <v>#REF!</v>
          </cell>
          <cell r="J467" t="e">
            <v>#REF!</v>
          </cell>
        </row>
        <row r="468">
          <cell r="A468" t="e">
            <v>#REF!</v>
          </cell>
          <cell r="B468" t="e">
            <v>#REF!</v>
          </cell>
          <cell r="C468" t="e">
            <v>#REF!</v>
          </cell>
          <cell r="D468" t="e">
            <v>#REF!</v>
          </cell>
          <cell r="E468" t="e">
            <v>#REF!</v>
          </cell>
          <cell r="F468" t="e">
            <v>#REF!</v>
          </cell>
          <cell r="G468" t="e">
            <v>#REF!</v>
          </cell>
          <cell r="H468" t="e">
            <v>#REF!</v>
          </cell>
          <cell r="I468" t="e">
            <v>#REF!</v>
          </cell>
          <cell r="J468" t="e">
            <v>#REF!</v>
          </cell>
        </row>
        <row r="469">
          <cell r="A469" t="e">
            <v>#REF!</v>
          </cell>
          <cell r="B469" t="e">
            <v>#REF!</v>
          </cell>
          <cell r="C469" t="e">
            <v>#REF!</v>
          </cell>
          <cell r="D469" t="e">
            <v>#REF!</v>
          </cell>
          <cell r="E469" t="e">
            <v>#REF!</v>
          </cell>
          <cell r="F469" t="e">
            <v>#REF!</v>
          </cell>
          <cell r="G469" t="e">
            <v>#REF!</v>
          </cell>
          <cell r="H469" t="e">
            <v>#REF!</v>
          </cell>
          <cell r="I469" t="e">
            <v>#REF!</v>
          </cell>
          <cell r="J469" t="e">
            <v>#REF!</v>
          </cell>
        </row>
        <row r="470">
          <cell r="A470" t="e">
            <v>#REF!</v>
          </cell>
          <cell r="B470" t="e">
            <v>#REF!</v>
          </cell>
          <cell r="C470" t="e">
            <v>#REF!</v>
          </cell>
          <cell r="D470" t="e">
            <v>#REF!</v>
          </cell>
          <cell r="E470" t="e">
            <v>#REF!</v>
          </cell>
          <cell r="F470" t="e">
            <v>#REF!</v>
          </cell>
          <cell r="G470" t="e">
            <v>#REF!</v>
          </cell>
          <cell r="H470" t="e">
            <v>#REF!</v>
          </cell>
          <cell r="I470" t="e">
            <v>#REF!</v>
          </cell>
          <cell r="J470" t="e">
            <v>#REF!</v>
          </cell>
        </row>
        <row r="471">
          <cell r="A471" t="e">
            <v>#REF!</v>
          </cell>
          <cell r="B471" t="e">
            <v>#REF!</v>
          </cell>
          <cell r="C471" t="e">
            <v>#REF!</v>
          </cell>
          <cell r="D471" t="e">
            <v>#REF!</v>
          </cell>
          <cell r="E471" t="e">
            <v>#REF!</v>
          </cell>
          <cell r="F471" t="e">
            <v>#REF!</v>
          </cell>
          <cell r="G471" t="e">
            <v>#REF!</v>
          </cell>
          <cell r="H471" t="e">
            <v>#REF!</v>
          </cell>
          <cell r="I471" t="e">
            <v>#REF!</v>
          </cell>
          <cell r="J471" t="e">
            <v>#REF!</v>
          </cell>
        </row>
        <row r="472">
          <cell r="A472" t="e">
            <v>#REF!</v>
          </cell>
          <cell r="B472" t="e">
            <v>#REF!</v>
          </cell>
          <cell r="C472" t="e">
            <v>#REF!</v>
          </cell>
          <cell r="D472" t="e">
            <v>#REF!</v>
          </cell>
          <cell r="E472" t="e">
            <v>#REF!</v>
          </cell>
          <cell r="F472" t="e">
            <v>#REF!</v>
          </cell>
          <cell r="G472" t="e">
            <v>#REF!</v>
          </cell>
          <cell r="H472" t="e">
            <v>#REF!</v>
          </cell>
          <cell r="I472" t="e">
            <v>#REF!</v>
          </cell>
          <cell r="J472" t="e">
            <v>#REF!</v>
          </cell>
        </row>
        <row r="473">
          <cell r="A473" t="e">
            <v>#REF!</v>
          </cell>
          <cell r="B473" t="e">
            <v>#REF!</v>
          </cell>
          <cell r="C473" t="e">
            <v>#REF!</v>
          </cell>
          <cell r="D473" t="e">
            <v>#REF!</v>
          </cell>
          <cell r="E473" t="e">
            <v>#REF!</v>
          </cell>
          <cell r="F473" t="e">
            <v>#REF!</v>
          </cell>
          <cell r="G473" t="e">
            <v>#REF!</v>
          </cell>
          <cell r="H473" t="e">
            <v>#REF!</v>
          </cell>
          <cell r="I473" t="e">
            <v>#REF!</v>
          </cell>
          <cell r="J473" t="e">
            <v>#REF!</v>
          </cell>
        </row>
        <row r="474">
          <cell r="A474" t="e">
            <v>#REF!</v>
          </cell>
          <cell r="B474" t="e">
            <v>#REF!</v>
          </cell>
          <cell r="C474" t="e">
            <v>#REF!</v>
          </cell>
          <cell r="D474" t="e">
            <v>#REF!</v>
          </cell>
          <cell r="E474" t="e">
            <v>#REF!</v>
          </cell>
          <cell r="F474" t="e">
            <v>#REF!</v>
          </cell>
          <cell r="G474" t="e">
            <v>#REF!</v>
          </cell>
          <cell r="H474" t="e">
            <v>#REF!</v>
          </cell>
          <cell r="I474" t="e">
            <v>#REF!</v>
          </cell>
          <cell r="J474" t="e">
            <v>#REF!</v>
          </cell>
        </row>
        <row r="475">
          <cell r="A475" t="e">
            <v>#REF!</v>
          </cell>
          <cell r="B475" t="e">
            <v>#REF!</v>
          </cell>
          <cell r="C475" t="e">
            <v>#REF!</v>
          </cell>
          <cell r="D475" t="e">
            <v>#REF!</v>
          </cell>
          <cell r="E475" t="e">
            <v>#REF!</v>
          </cell>
          <cell r="F475" t="e">
            <v>#REF!</v>
          </cell>
          <cell r="G475" t="e">
            <v>#REF!</v>
          </cell>
          <cell r="H475" t="e">
            <v>#REF!</v>
          </cell>
          <cell r="I475" t="e">
            <v>#REF!</v>
          </cell>
          <cell r="J475" t="e">
            <v>#REF!</v>
          </cell>
        </row>
        <row r="476">
          <cell r="A476" t="e">
            <v>#REF!</v>
          </cell>
          <cell r="B476" t="e">
            <v>#REF!</v>
          </cell>
          <cell r="C476" t="e">
            <v>#REF!</v>
          </cell>
          <cell r="D476" t="e">
            <v>#REF!</v>
          </cell>
          <cell r="E476" t="e">
            <v>#REF!</v>
          </cell>
          <cell r="F476" t="e">
            <v>#REF!</v>
          </cell>
          <cell r="G476" t="e">
            <v>#REF!</v>
          </cell>
          <cell r="H476" t="e">
            <v>#REF!</v>
          </cell>
          <cell r="I476" t="e">
            <v>#REF!</v>
          </cell>
          <cell r="J476" t="e">
            <v>#REF!</v>
          </cell>
        </row>
        <row r="477">
          <cell r="A477" t="e">
            <v>#REF!</v>
          </cell>
          <cell r="B477" t="e">
            <v>#REF!</v>
          </cell>
          <cell r="C477" t="e">
            <v>#REF!</v>
          </cell>
          <cell r="D477" t="e">
            <v>#REF!</v>
          </cell>
          <cell r="E477" t="e">
            <v>#REF!</v>
          </cell>
          <cell r="F477" t="e">
            <v>#REF!</v>
          </cell>
          <cell r="G477" t="e">
            <v>#REF!</v>
          </cell>
          <cell r="H477" t="e">
            <v>#REF!</v>
          </cell>
          <cell r="I477" t="e">
            <v>#REF!</v>
          </cell>
          <cell r="J477" t="e">
            <v>#REF!</v>
          </cell>
        </row>
        <row r="478">
          <cell r="A478" t="e">
            <v>#REF!</v>
          </cell>
          <cell r="B478" t="e">
            <v>#REF!</v>
          </cell>
          <cell r="C478" t="e">
            <v>#REF!</v>
          </cell>
          <cell r="D478" t="e">
            <v>#REF!</v>
          </cell>
          <cell r="E478" t="e">
            <v>#REF!</v>
          </cell>
          <cell r="F478" t="e">
            <v>#REF!</v>
          </cell>
          <cell r="G478" t="e">
            <v>#REF!</v>
          </cell>
          <cell r="H478" t="e">
            <v>#REF!</v>
          </cell>
          <cell r="I478" t="e">
            <v>#REF!</v>
          </cell>
          <cell r="J478" t="e">
            <v>#REF!</v>
          </cell>
        </row>
        <row r="479">
          <cell r="A479" t="e">
            <v>#REF!</v>
          </cell>
          <cell r="B479" t="e">
            <v>#REF!</v>
          </cell>
          <cell r="C479" t="e">
            <v>#REF!</v>
          </cell>
          <cell r="D479" t="e">
            <v>#REF!</v>
          </cell>
          <cell r="E479" t="e">
            <v>#REF!</v>
          </cell>
          <cell r="F479" t="e">
            <v>#REF!</v>
          </cell>
          <cell r="G479" t="e">
            <v>#REF!</v>
          </cell>
          <cell r="H479" t="e">
            <v>#REF!</v>
          </cell>
          <cell r="I479" t="e">
            <v>#REF!</v>
          </cell>
          <cell r="J479" t="e">
            <v>#REF!</v>
          </cell>
        </row>
        <row r="480">
          <cell r="A480" t="e">
            <v>#REF!</v>
          </cell>
          <cell r="B480" t="e">
            <v>#REF!</v>
          </cell>
          <cell r="C480" t="e">
            <v>#REF!</v>
          </cell>
          <cell r="D480" t="e">
            <v>#REF!</v>
          </cell>
          <cell r="E480" t="e">
            <v>#REF!</v>
          </cell>
          <cell r="F480" t="e">
            <v>#REF!</v>
          </cell>
          <cell r="G480" t="e">
            <v>#REF!</v>
          </cell>
          <cell r="H480" t="e">
            <v>#REF!</v>
          </cell>
          <cell r="I480" t="e">
            <v>#REF!</v>
          </cell>
          <cell r="J480" t="e">
            <v>#REF!</v>
          </cell>
        </row>
        <row r="481">
          <cell r="A481" t="e">
            <v>#REF!</v>
          </cell>
          <cell r="B481" t="e">
            <v>#REF!</v>
          </cell>
          <cell r="C481" t="e">
            <v>#REF!</v>
          </cell>
          <cell r="D481" t="e">
            <v>#REF!</v>
          </cell>
          <cell r="E481" t="e">
            <v>#REF!</v>
          </cell>
          <cell r="F481" t="e">
            <v>#REF!</v>
          </cell>
          <cell r="G481" t="e">
            <v>#REF!</v>
          </cell>
          <cell r="H481" t="e">
            <v>#REF!</v>
          </cell>
          <cell r="I481" t="e">
            <v>#REF!</v>
          </cell>
          <cell r="J481" t="e">
            <v>#REF!</v>
          </cell>
        </row>
        <row r="482">
          <cell r="A482" t="e">
            <v>#REF!</v>
          </cell>
          <cell r="B482" t="e">
            <v>#REF!</v>
          </cell>
          <cell r="C482" t="e">
            <v>#REF!</v>
          </cell>
          <cell r="D482" t="e">
            <v>#REF!</v>
          </cell>
          <cell r="E482" t="e">
            <v>#REF!</v>
          </cell>
          <cell r="F482" t="e">
            <v>#REF!</v>
          </cell>
          <cell r="G482" t="e">
            <v>#REF!</v>
          </cell>
          <cell r="H482" t="e">
            <v>#REF!</v>
          </cell>
          <cell r="I482" t="e">
            <v>#REF!</v>
          </cell>
          <cell r="J482" t="e">
            <v>#REF!</v>
          </cell>
        </row>
        <row r="483">
          <cell r="A483" t="e">
            <v>#REF!</v>
          </cell>
          <cell r="B483" t="e">
            <v>#REF!</v>
          </cell>
          <cell r="C483" t="e">
            <v>#REF!</v>
          </cell>
          <cell r="D483" t="e">
            <v>#REF!</v>
          </cell>
          <cell r="E483" t="e">
            <v>#REF!</v>
          </cell>
          <cell r="F483" t="e">
            <v>#REF!</v>
          </cell>
          <cell r="G483" t="e">
            <v>#REF!</v>
          </cell>
          <cell r="H483" t="e">
            <v>#REF!</v>
          </cell>
          <cell r="I483" t="e">
            <v>#REF!</v>
          </cell>
          <cell r="J483" t="e">
            <v>#REF!</v>
          </cell>
        </row>
        <row r="484">
          <cell r="A484" t="e">
            <v>#REF!</v>
          </cell>
          <cell r="B484" t="e">
            <v>#REF!</v>
          </cell>
          <cell r="C484" t="e">
            <v>#REF!</v>
          </cell>
          <cell r="D484" t="e">
            <v>#REF!</v>
          </cell>
          <cell r="E484" t="e">
            <v>#REF!</v>
          </cell>
          <cell r="F484" t="e">
            <v>#REF!</v>
          </cell>
          <cell r="G484" t="e">
            <v>#REF!</v>
          </cell>
          <cell r="H484" t="e">
            <v>#REF!</v>
          </cell>
          <cell r="I484" t="e">
            <v>#REF!</v>
          </cell>
          <cell r="J484" t="e">
            <v>#REF!</v>
          </cell>
        </row>
        <row r="485">
          <cell r="A485" t="e">
            <v>#REF!</v>
          </cell>
          <cell r="B485" t="e">
            <v>#REF!</v>
          </cell>
          <cell r="C485" t="e">
            <v>#REF!</v>
          </cell>
          <cell r="D485" t="e">
            <v>#REF!</v>
          </cell>
          <cell r="E485" t="e">
            <v>#REF!</v>
          </cell>
          <cell r="F485" t="e">
            <v>#REF!</v>
          </cell>
          <cell r="G485" t="e">
            <v>#REF!</v>
          </cell>
          <cell r="H485" t="e">
            <v>#REF!</v>
          </cell>
          <cell r="I485" t="e">
            <v>#REF!</v>
          </cell>
          <cell r="J485" t="e">
            <v>#REF!</v>
          </cell>
        </row>
        <row r="486">
          <cell r="A486" t="e">
            <v>#REF!</v>
          </cell>
          <cell r="B486" t="e">
            <v>#REF!</v>
          </cell>
          <cell r="C486" t="e">
            <v>#REF!</v>
          </cell>
          <cell r="D486" t="e">
            <v>#REF!</v>
          </cell>
          <cell r="E486" t="e">
            <v>#REF!</v>
          </cell>
          <cell r="F486" t="e">
            <v>#REF!</v>
          </cell>
          <cell r="G486" t="e">
            <v>#REF!</v>
          </cell>
          <cell r="H486" t="e">
            <v>#REF!</v>
          </cell>
          <cell r="I486" t="e">
            <v>#REF!</v>
          </cell>
          <cell r="J486" t="e">
            <v>#REF!</v>
          </cell>
        </row>
        <row r="487">
          <cell r="A487" t="e">
            <v>#REF!</v>
          </cell>
          <cell r="B487" t="e">
            <v>#REF!</v>
          </cell>
          <cell r="C487" t="e">
            <v>#REF!</v>
          </cell>
          <cell r="D487" t="e">
            <v>#REF!</v>
          </cell>
          <cell r="E487" t="e">
            <v>#REF!</v>
          </cell>
          <cell r="F487" t="e">
            <v>#REF!</v>
          </cell>
          <cell r="G487" t="e">
            <v>#REF!</v>
          </cell>
          <cell r="H487" t="e">
            <v>#REF!</v>
          </cell>
          <cell r="I487" t="e">
            <v>#REF!</v>
          </cell>
          <cell r="J487" t="e">
            <v>#REF!</v>
          </cell>
        </row>
        <row r="488">
          <cell r="A488" t="e">
            <v>#REF!</v>
          </cell>
          <cell r="B488" t="e">
            <v>#REF!</v>
          </cell>
          <cell r="C488" t="e">
            <v>#REF!</v>
          </cell>
          <cell r="D488" t="e">
            <v>#REF!</v>
          </cell>
          <cell r="E488" t="e">
            <v>#REF!</v>
          </cell>
          <cell r="F488" t="e">
            <v>#REF!</v>
          </cell>
          <cell r="G488" t="e">
            <v>#REF!</v>
          </cell>
          <cell r="H488" t="e">
            <v>#REF!</v>
          </cell>
          <cell r="I488" t="e">
            <v>#REF!</v>
          </cell>
          <cell r="J488" t="e">
            <v>#REF!</v>
          </cell>
        </row>
        <row r="489">
          <cell r="A489" t="e">
            <v>#REF!</v>
          </cell>
          <cell r="B489" t="e">
            <v>#REF!</v>
          </cell>
          <cell r="C489" t="e">
            <v>#REF!</v>
          </cell>
          <cell r="D489" t="e">
            <v>#REF!</v>
          </cell>
          <cell r="E489" t="e">
            <v>#REF!</v>
          </cell>
          <cell r="F489" t="e">
            <v>#REF!</v>
          </cell>
          <cell r="G489" t="e">
            <v>#REF!</v>
          </cell>
          <cell r="H489" t="e">
            <v>#REF!</v>
          </cell>
          <cell r="I489" t="e">
            <v>#REF!</v>
          </cell>
          <cell r="J489" t="e">
            <v>#REF!</v>
          </cell>
        </row>
        <row r="490">
          <cell r="A490" t="e">
            <v>#REF!</v>
          </cell>
          <cell r="B490" t="e">
            <v>#REF!</v>
          </cell>
          <cell r="C490" t="e">
            <v>#REF!</v>
          </cell>
          <cell r="D490" t="e">
            <v>#REF!</v>
          </cell>
          <cell r="E490" t="e">
            <v>#REF!</v>
          </cell>
          <cell r="F490" t="e">
            <v>#REF!</v>
          </cell>
          <cell r="G490" t="e">
            <v>#REF!</v>
          </cell>
          <cell r="H490" t="e">
            <v>#REF!</v>
          </cell>
          <cell r="I490" t="e">
            <v>#REF!</v>
          </cell>
          <cell r="J490" t="e">
            <v>#REF!</v>
          </cell>
        </row>
        <row r="491">
          <cell r="A491" t="e">
            <v>#REF!</v>
          </cell>
          <cell r="B491" t="e">
            <v>#REF!</v>
          </cell>
          <cell r="C491" t="e">
            <v>#REF!</v>
          </cell>
          <cell r="D491" t="e">
            <v>#REF!</v>
          </cell>
          <cell r="E491" t="e">
            <v>#REF!</v>
          </cell>
          <cell r="F491" t="e">
            <v>#REF!</v>
          </cell>
          <cell r="G491" t="e">
            <v>#REF!</v>
          </cell>
          <cell r="H491" t="e">
            <v>#REF!</v>
          </cell>
          <cell r="I491" t="e">
            <v>#REF!</v>
          </cell>
          <cell r="J491" t="e">
            <v>#REF!</v>
          </cell>
        </row>
        <row r="492">
          <cell r="A492" t="e">
            <v>#REF!</v>
          </cell>
          <cell r="B492" t="e">
            <v>#REF!</v>
          </cell>
          <cell r="C492" t="e">
            <v>#REF!</v>
          </cell>
          <cell r="D492" t="e">
            <v>#REF!</v>
          </cell>
          <cell r="E492" t="e">
            <v>#REF!</v>
          </cell>
          <cell r="F492" t="e">
            <v>#REF!</v>
          </cell>
          <cell r="G492" t="e">
            <v>#REF!</v>
          </cell>
          <cell r="H492" t="e">
            <v>#REF!</v>
          </cell>
          <cell r="I492" t="e">
            <v>#REF!</v>
          </cell>
          <cell r="J492" t="e">
            <v>#REF!</v>
          </cell>
        </row>
        <row r="493">
          <cell r="A493" t="e">
            <v>#REF!</v>
          </cell>
          <cell r="B493" t="e">
            <v>#REF!</v>
          </cell>
          <cell r="C493" t="e">
            <v>#REF!</v>
          </cell>
          <cell r="D493" t="e">
            <v>#REF!</v>
          </cell>
          <cell r="E493" t="e">
            <v>#REF!</v>
          </cell>
          <cell r="F493" t="e">
            <v>#REF!</v>
          </cell>
          <cell r="G493" t="e">
            <v>#REF!</v>
          </cell>
          <cell r="H493" t="e">
            <v>#REF!</v>
          </cell>
          <cell r="I493" t="e">
            <v>#REF!</v>
          </cell>
          <cell r="J493" t="e">
            <v>#REF!</v>
          </cell>
        </row>
        <row r="494">
          <cell r="A494" t="e">
            <v>#REF!</v>
          </cell>
          <cell r="B494" t="e">
            <v>#REF!</v>
          </cell>
          <cell r="C494" t="e">
            <v>#REF!</v>
          </cell>
          <cell r="D494" t="e">
            <v>#REF!</v>
          </cell>
          <cell r="E494" t="e">
            <v>#REF!</v>
          </cell>
          <cell r="F494" t="e">
            <v>#REF!</v>
          </cell>
          <cell r="G494" t="e">
            <v>#REF!</v>
          </cell>
          <cell r="H494" t="e">
            <v>#REF!</v>
          </cell>
          <cell r="I494" t="e">
            <v>#REF!</v>
          </cell>
          <cell r="J494" t="e">
            <v>#REF!</v>
          </cell>
        </row>
        <row r="495">
          <cell r="A495" t="e">
            <v>#REF!</v>
          </cell>
          <cell r="B495" t="e">
            <v>#REF!</v>
          </cell>
          <cell r="C495" t="e">
            <v>#REF!</v>
          </cell>
          <cell r="D495" t="e">
            <v>#REF!</v>
          </cell>
          <cell r="E495" t="e">
            <v>#REF!</v>
          </cell>
          <cell r="F495" t="e">
            <v>#REF!</v>
          </cell>
          <cell r="G495" t="e">
            <v>#REF!</v>
          </cell>
          <cell r="H495" t="e">
            <v>#REF!</v>
          </cell>
          <cell r="I495" t="e">
            <v>#REF!</v>
          </cell>
          <cell r="J495" t="e">
            <v>#REF!</v>
          </cell>
        </row>
        <row r="496">
          <cell r="A496" t="e">
            <v>#REF!</v>
          </cell>
          <cell r="B496" t="e">
            <v>#REF!</v>
          </cell>
          <cell r="C496" t="e">
            <v>#REF!</v>
          </cell>
          <cell r="D496" t="e">
            <v>#REF!</v>
          </cell>
          <cell r="E496" t="e">
            <v>#REF!</v>
          </cell>
          <cell r="F496" t="e">
            <v>#REF!</v>
          </cell>
          <cell r="G496" t="e">
            <v>#REF!</v>
          </cell>
          <cell r="H496" t="e">
            <v>#REF!</v>
          </cell>
          <cell r="I496" t="e">
            <v>#REF!</v>
          </cell>
          <cell r="J496" t="e">
            <v>#REF!</v>
          </cell>
        </row>
        <row r="497">
          <cell r="A497" t="e">
            <v>#REF!</v>
          </cell>
          <cell r="B497" t="e">
            <v>#REF!</v>
          </cell>
          <cell r="C497" t="e">
            <v>#REF!</v>
          </cell>
          <cell r="D497" t="e">
            <v>#REF!</v>
          </cell>
          <cell r="E497" t="e">
            <v>#REF!</v>
          </cell>
          <cell r="F497" t="e">
            <v>#REF!</v>
          </cell>
          <cell r="G497" t="e">
            <v>#REF!</v>
          </cell>
          <cell r="H497" t="e">
            <v>#REF!</v>
          </cell>
          <cell r="I497" t="e">
            <v>#REF!</v>
          </cell>
          <cell r="J497" t="e">
            <v>#REF!</v>
          </cell>
        </row>
      </sheetData>
      <sheetData sheetId="10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>
        <row r="8">
          <cell r="D8">
            <v>2</v>
          </cell>
        </row>
      </sheetData>
      <sheetData sheetId="2"/>
      <sheetData sheetId="3">
        <row r="1">
          <cell r="A1" t="str">
            <v>Programación de la amortización para Financiamiento</v>
          </cell>
          <cell r="B1"/>
          <cell r="C1"/>
          <cell r="D1"/>
          <cell r="E1"/>
          <cell r="F1"/>
          <cell r="G1"/>
          <cell r="H1"/>
          <cell r="I1"/>
          <cell r="J1"/>
        </row>
        <row r="2">
          <cell r="A2"/>
          <cell r="B2"/>
          <cell r="C2"/>
          <cell r="D2"/>
          <cell r="E2"/>
          <cell r="F2"/>
          <cell r="G2"/>
          <cell r="H2"/>
          <cell r="I2"/>
          <cell r="J2"/>
        </row>
        <row r="3">
          <cell r="A3"/>
          <cell r="B3"/>
          <cell r="C3"/>
          <cell r="D3"/>
          <cell r="E3"/>
          <cell r="F3"/>
          <cell r="G3"/>
          <cell r="H3"/>
          <cell r="I3"/>
          <cell r="J3"/>
        </row>
        <row r="4">
          <cell r="A4"/>
          <cell r="B4" t="str">
            <v>Especificar valores</v>
          </cell>
          <cell r="C4"/>
          <cell r="D4"/>
          <cell r="E4"/>
          <cell r="F4"/>
          <cell r="G4"/>
          <cell r="H4" t="str">
            <v>Resumen del préstamo</v>
          </cell>
          <cell r="I4"/>
          <cell r="J4"/>
        </row>
        <row r="5">
          <cell r="A5"/>
          <cell r="B5"/>
          <cell r="C5" t="str">
            <v>Importe del préstamo</v>
          </cell>
          <cell r="D5">
            <v>4650.5367982622793</v>
          </cell>
          <cell r="E5"/>
          <cell r="F5"/>
          <cell r="G5"/>
          <cell r="H5"/>
          <cell r="I5" t="str">
            <v>Pago programado</v>
          </cell>
          <cell r="J5">
            <v>152.25260868051714</v>
          </cell>
        </row>
        <row r="6">
          <cell r="A6"/>
          <cell r="B6"/>
          <cell r="C6" t="str">
            <v>Tasa de interés anual</v>
          </cell>
          <cell r="D6">
            <v>0.11</v>
          </cell>
          <cell r="E6"/>
          <cell r="F6"/>
          <cell r="G6"/>
          <cell r="H6"/>
          <cell r="I6" t="str">
            <v>Número de pagos programado</v>
          </cell>
          <cell r="J6">
            <v>36</v>
          </cell>
        </row>
        <row r="7">
          <cell r="A7"/>
          <cell r="B7"/>
          <cell r="C7" t="str">
            <v>Plazo del préstamo en años</v>
          </cell>
          <cell r="D7">
            <v>3</v>
          </cell>
          <cell r="E7"/>
          <cell r="F7"/>
          <cell r="G7"/>
          <cell r="H7"/>
          <cell r="I7" t="str">
            <v>Número de pagos real</v>
          </cell>
          <cell r="J7">
            <v>36</v>
          </cell>
        </row>
        <row r="8">
          <cell r="A8"/>
          <cell r="B8"/>
          <cell r="C8" t="str">
            <v>Número de pagos al año</v>
          </cell>
          <cell r="D8">
            <v>12</v>
          </cell>
          <cell r="E8"/>
          <cell r="F8"/>
          <cell r="G8"/>
          <cell r="H8"/>
          <cell r="I8" t="str">
            <v>Total de pagos anticipados</v>
          </cell>
          <cell r="J8">
            <v>0</v>
          </cell>
        </row>
        <row r="9">
          <cell r="A9"/>
          <cell r="B9"/>
          <cell r="C9" t="str">
            <v>Fecha inicial del préstamo</v>
          </cell>
          <cell r="D9">
            <v>43191</v>
          </cell>
          <cell r="E9"/>
          <cell r="F9"/>
          <cell r="G9"/>
          <cell r="H9"/>
          <cell r="I9" t="str">
            <v>Interés total</v>
          </cell>
          <cell r="J9">
            <v>830.55711423633738</v>
          </cell>
        </row>
        <row r="10">
          <cell r="A10"/>
          <cell r="B10"/>
          <cell r="C10" t="str">
            <v>Pagos adicionales opcionales</v>
          </cell>
          <cell r="D10"/>
          <cell r="E10">
            <v>0</v>
          </cell>
          <cell r="F10"/>
          <cell r="G10"/>
          <cell r="H10"/>
          <cell r="I10"/>
          <cell r="J10"/>
        </row>
        <row r="11">
          <cell r="A11"/>
          <cell r="B11"/>
          <cell r="C11"/>
          <cell r="D11"/>
          <cell r="E11"/>
          <cell r="F11"/>
          <cell r="G11"/>
          <cell r="H11" t="str">
            <v>Total valor requerido ya con financiamiento</v>
          </cell>
          <cell r="I11"/>
          <cell r="J11">
            <v>5481.0939124986162</v>
          </cell>
        </row>
        <row r="12">
          <cell r="A12"/>
          <cell r="B12" t="str">
            <v>Nombre de entidad de crédito:</v>
          </cell>
          <cell r="C12"/>
          <cell r="D12"/>
          <cell r="E12"/>
          <cell r="F12"/>
          <cell r="G12"/>
          <cell r="H12"/>
          <cell r="I12"/>
          <cell r="J12"/>
        </row>
        <row r="13">
          <cell r="A13"/>
          <cell r="B13"/>
          <cell r="C13"/>
          <cell r="D13"/>
          <cell r="E13"/>
          <cell r="F13"/>
          <cell r="G13"/>
          <cell r="H13"/>
          <cell r="I13"/>
          <cell r="J13"/>
        </row>
        <row r="14">
          <cell r="A14"/>
          <cell r="B14"/>
          <cell r="C14"/>
          <cell r="D14"/>
          <cell r="E14"/>
          <cell r="F14"/>
          <cell r="G14"/>
          <cell r="H14"/>
          <cell r="I14"/>
          <cell r="J14"/>
        </row>
        <row r="15">
          <cell r="A15"/>
          <cell r="B15"/>
          <cell r="C15"/>
          <cell r="D15"/>
          <cell r="E15"/>
          <cell r="F15"/>
          <cell r="G15"/>
          <cell r="H15"/>
          <cell r="I15"/>
          <cell r="J15"/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/>
          <cell r="B17"/>
          <cell r="C17"/>
          <cell r="D17"/>
          <cell r="E17"/>
          <cell r="F17"/>
          <cell r="G17"/>
          <cell r="H17"/>
          <cell r="I17"/>
          <cell r="J17"/>
        </row>
        <row r="18">
          <cell r="A18">
            <v>1</v>
          </cell>
          <cell r="B18">
            <v>43221</v>
          </cell>
          <cell r="C18">
            <v>4650.5367982622793</v>
          </cell>
          <cell r="D18">
            <v>152.25260868051714</v>
          </cell>
          <cell r="E18">
            <v>0</v>
          </cell>
          <cell r="F18">
            <v>152.25260868051714</v>
          </cell>
          <cell r="G18">
            <v>109.62268802977958</v>
          </cell>
          <cell r="H18">
            <v>42.62992065073756</v>
          </cell>
          <cell r="I18">
            <v>4540.9141102324993</v>
          </cell>
          <cell r="J18">
            <v>42.62992065073756</v>
          </cell>
        </row>
        <row r="19">
          <cell r="A19">
            <v>2</v>
          </cell>
          <cell r="B19">
            <v>43252</v>
          </cell>
          <cell r="C19">
            <v>4540.9141102324993</v>
          </cell>
          <cell r="D19">
            <v>152.25260868051714</v>
          </cell>
          <cell r="E19">
            <v>0</v>
          </cell>
          <cell r="F19">
            <v>152.25260868051714</v>
          </cell>
          <cell r="G19">
            <v>110.62756267005255</v>
          </cell>
          <cell r="H19">
            <v>41.62504601046458</v>
          </cell>
          <cell r="I19">
            <v>4430.2865475624467</v>
          </cell>
          <cell r="J19">
            <v>84.254966661202133</v>
          </cell>
        </row>
        <row r="20">
          <cell r="A20">
            <v>3</v>
          </cell>
          <cell r="B20">
            <v>43282</v>
          </cell>
          <cell r="C20">
            <v>4430.2865475624467</v>
          </cell>
          <cell r="D20">
            <v>152.25260868051714</v>
          </cell>
          <cell r="E20">
            <v>0</v>
          </cell>
          <cell r="F20">
            <v>152.25260868051714</v>
          </cell>
          <cell r="G20">
            <v>111.64164866119472</v>
          </cell>
          <cell r="H20">
            <v>40.610960019322427</v>
          </cell>
          <cell r="I20">
            <v>4318.6448989012515</v>
          </cell>
          <cell r="J20">
            <v>124.86592668052455</v>
          </cell>
        </row>
        <row r="21">
          <cell r="A21">
            <v>4</v>
          </cell>
          <cell r="B21">
            <v>43313</v>
          </cell>
          <cell r="C21">
            <v>4318.6448989012515</v>
          </cell>
          <cell r="D21">
            <v>152.25260868051714</v>
          </cell>
          <cell r="E21">
            <v>0</v>
          </cell>
          <cell r="F21">
            <v>152.25260868051714</v>
          </cell>
          <cell r="G21">
            <v>112.66503044058899</v>
          </cell>
          <cell r="H21">
            <v>39.587578239928142</v>
          </cell>
          <cell r="I21">
            <v>4205.9798684606621</v>
          </cell>
          <cell r="J21">
            <v>164.4535049204527</v>
          </cell>
        </row>
        <row r="22">
          <cell r="A22">
            <v>5</v>
          </cell>
          <cell r="B22">
            <v>43344</v>
          </cell>
          <cell r="C22">
            <v>4205.9798684606621</v>
          </cell>
          <cell r="D22">
            <v>152.25260868051714</v>
          </cell>
          <cell r="E22">
            <v>0</v>
          </cell>
          <cell r="F22">
            <v>152.25260868051714</v>
          </cell>
          <cell r="G22">
            <v>113.69779321962774</v>
          </cell>
          <cell r="H22">
            <v>38.554815460889401</v>
          </cell>
          <cell r="I22">
            <v>4092.2820752410344</v>
          </cell>
          <cell r="J22">
            <v>203.00832038134212</v>
          </cell>
        </row>
        <row r="23">
          <cell r="A23">
            <v>6</v>
          </cell>
          <cell r="B23">
            <v>43374</v>
          </cell>
          <cell r="C23">
            <v>4092.2820752410344</v>
          </cell>
          <cell r="D23">
            <v>152.25260868051714</v>
          </cell>
          <cell r="E23">
            <v>0</v>
          </cell>
          <cell r="F23">
            <v>152.25260868051714</v>
          </cell>
          <cell r="G23">
            <v>114.74002299080766</v>
          </cell>
          <cell r="H23">
            <v>37.512585689709482</v>
          </cell>
          <cell r="I23">
            <v>3977.5420522502268</v>
          </cell>
          <cell r="J23">
            <v>240.5209060710516</v>
          </cell>
        </row>
        <row r="24">
          <cell r="A24">
            <v>7</v>
          </cell>
          <cell r="B24">
            <v>43405</v>
          </cell>
          <cell r="C24">
            <v>3977.5420522502268</v>
          </cell>
          <cell r="D24">
            <v>152.25260868051714</v>
          </cell>
          <cell r="E24">
            <v>0</v>
          </cell>
          <cell r="F24">
            <v>152.25260868051714</v>
          </cell>
          <cell r="G24">
            <v>115.79180653489007</v>
          </cell>
          <cell r="H24">
            <v>36.460802145627078</v>
          </cell>
          <cell r="I24">
            <v>3861.7502457153369</v>
          </cell>
          <cell r="J24">
            <v>276.98170821667867</v>
          </cell>
        </row>
        <row r="25">
          <cell r="A25">
            <v>8</v>
          </cell>
          <cell r="B25">
            <v>43435</v>
          </cell>
          <cell r="C25">
            <v>3861.7502457153369</v>
          </cell>
          <cell r="D25">
            <v>152.25260868051714</v>
          </cell>
          <cell r="E25">
            <v>0</v>
          </cell>
          <cell r="F25">
            <v>152.25260868051714</v>
          </cell>
          <cell r="G25">
            <v>116.85323142812655</v>
          </cell>
          <cell r="H25">
            <v>35.399377252390586</v>
          </cell>
          <cell r="I25">
            <v>3744.8970142872104</v>
          </cell>
          <cell r="J25">
            <v>312.38108546906926</v>
          </cell>
        </row>
        <row r="26">
          <cell r="A26">
            <v>9</v>
          </cell>
          <cell r="B26">
            <v>43466</v>
          </cell>
          <cell r="C26">
            <v>3744.8970142872104</v>
          </cell>
          <cell r="D26">
            <v>152.25260868051714</v>
          </cell>
          <cell r="E26">
            <v>0</v>
          </cell>
          <cell r="F26">
            <v>152.25260868051714</v>
          </cell>
          <cell r="G26">
            <v>117.92438604955105</v>
          </cell>
          <cell r="H26">
            <v>34.328222630966096</v>
          </cell>
          <cell r="I26">
            <v>3626.9726282376591</v>
          </cell>
          <cell r="J26">
            <v>346.70930810003534</v>
          </cell>
        </row>
        <row r="27">
          <cell r="A27">
            <v>10</v>
          </cell>
          <cell r="B27">
            <v>43497</v>
          </cell>
          <cell r="C27">
            <v>3626.9726282376591</v>
          </cell>
          <cell r="D27">
            <v>152.25260868051714</v>
          </cell>
          <cell r="E27">
            <v>0</v>
          </cell>
          <cell r="F27">
            <v>152.25260868051714</v>
          </cell>
          <cell r="G27">
            <v>119.00535958833859</v>
          </cell>
          <cell r="H27">
            <v>33.247249092178542</v>
          </cell>
          <cell r="I27">
            <v>3507.9672686493204</v>
          </cell>
          <cell r="J27">
            <v>379.95655719221389</v>
          </cell>
        </row>
        <row r="28">
          <cell r="A28">
            <v>11</v>
          </cell>
          <cell r="B28">
            <v>43525</v>
          </cell>
          <cell r="C28">
            <v>3507.9672686493204</v>
          </cell>
          <cell r="D28">
            <v>152.25260868051714</v>
          </cell>
          <cell r="E28">
            <v>0</v>
          </cell>
          <cell r="F28">
            <v>152.25260868051714</v>
          </cell>
          <cell r="G28">
            <v>120.09624205123171</v>
          </cell>
          <cell r="H28">
            <v>32.156366629285436</v>
          </cell>
          <cell r="I28">
            <v>3387.8710265980885</v>
          </cell>
          <cell r="J28">
            <v>412.11292382149935</v>
          </cell>
        </row>
        <row r="29">
          <cell r="A29">
            <v>12</v>
          </cell>
          <cell r="B29">
            <v>43556</v>
          </cell>
          <cell r="C29">
            <v>3387.8710265980885</v>
          </cell>
          <cell r="D29">
            <v>152.25260868051714</v>
          </cell>
          <cell r="E29">
            <v>0</v>
          </cell>
          <cell r="F29">
            <v>152.25260868051714</v>
          </cell>
          <cell r="G29">
            <v>121.19712427003466</v>
          </cell>
          <cell r="H29">
            <v>31.055484410482478</v>
          </cell>
          <cell r="I29">
            <v>3266.6739023280538</v>
          </cell>
          <cell r="J29">
            <v>443.16840823198186</v>
          </cell>
        </row>
        <row r="30">
          <cell r="A30">
            <v>13</v>
          </cell>
          <cell r="B30">
            <v>43586</v>
          </cell>
          <cell r="C30">
            <v>3266.6739023280538</v>
          </cell>
          <cell r="D30">
            <v>152.25260868051714</v>
          </cell>
          <cell r="E30">
            <v>0</v>
          </cell>
          <cell r="F30">
            <v>152.25260868051714</v>
          </cell>
          <cell r="G30">
            <v>122.30809790917665</v>
          </cell>
          <cell r="H30">
            <v>29.944510771340493</v>
          </cell>
          <cell r="I30">
            <v>3144.3658044188774</v>
          </cell>
          <cell r="J30">
            <v>473.11291900332236</v>
          </cell>
        </row>
        <row r="31">
          <cell r="A31">
            <v>14</v>
          </cell>
          <cell r="B31">
            <v>43617</v>
          </cell>
          <cell r="C31">
            <v>3144.3658044188774</v>
          </cell>
          <cell r="D31">
            <v>152.25260868051714</v>
          </cell>
          <cell r="E31">
            <v>0</v>
          </cell>
          <cell r="F31">
            <v>152.25260868051714</v>
          </cell>
          <cell r="G31">
            <v>123.4292554733441</v>
          </cell>
          <cell r="H31">
            <v>28.823353207173042</v>
          </cell>
          <cell r="I31">
            <v>3020.9365489455331</v>
          </cell>
          <cell r="J31">
            <v>501.93627221049542</v>
          </cell>
        </row>
        <row r="32">
          <cell r="A32">
            <v>15</v>
          </cell>
          <cell r="B32">
            <v>43647</v>
          </cell>
          <cell r="C32">
            <v>3020.9365489455331</v>
          </cell>
          <cell r="D32">
            <v>152.25260868051714</v>
          </cell>
          <cell r="E32">
            <v>0</v>
          </cell>
          <cell r="F32">
            <v>152.25260868051714</v>
          </cell>
          <cell r="G32">
            <v>124.56069031518309</v>
          </cell>
          <cell r="H32">
            <v>27.69191836533405</v>
          </cell>
          <cell r="I32">
            <v>2896.3758586303502</v>
          </cell>
          <cell r="J32">
            <v>529.62819057582942</v>
          </cell>
        </row>
        <row r="33">
          <cell r="A33">
            <v>16</v>
          </cell>
          <cell r="B33">
            <v>43678</v>
          </cell>
          <cell r="C33">
            <v>2896.3758586303502</v>
          </cell>
          <cell r="D33">
            <v>152.25260868051714</v>
          </cell>
          <cell r="E33">
            <v>0</v>
          </cell>
          <cell r="F33">
            <v>152.25260868051714</v>
          </cell>
          <cell r="G33">
            <v>125.70249664307227</v>
          </cell>
          <cell r="H33">
            <v>26.550112037444876</v>
          </cell>
          <cell r="I33">
            <v>2770.673361987278</v>
          </cell>
          <cell r="J33">
            <v>556.17830261327435</v>
          </cell>
        </row>
        <row r="34">
          <cell r="A34">
            <v>17</v>
          </cell>
          <cell r="B34">
            <v>43709</v>
          </cell>
          <cell r="C34">
            <v>2770.673361987278</v>
          </cell>
          <cell r="D34">
            <v>152.25260868051714</v>
          </cell>
          <cell r="E34">
            <v>0</v>
          </cell>
          <cell r="F34">
            <v>152.25260868051714</v>
          </cell>
          <cell r="G34">
            <v>126.8547695289671</v>
          </cell>
          <cell r="H34">
            <v>25.397839151550048</v>
          </cell>
          <cell r="I34">
            <v>2643.8185924583108</v>
          </cell>
          <cell r="J34">
            <v>581.57614176482446</v>
          </cell>
        </row>
        <row r="35">
          <cell r="A35">
            <v>18</v>
          </cell>
          <cell r="B35">
            <v>43739</v>
          </cell>
          <cell r="C35">
            <v>2643.8185924583108</v>
          </cell>
          <cell r="D35">
            <v>152.25260868051714</v>
          </cell>
          <cell r="E35">
            <v>0</v>
          </cell>
          <cell r="F35">
            <v>152.25260868051714</v>
          </cell>
          <cell r="G35">
            <v>128.01760491631597</v>
          </cell>
          <cell r="H35">
            <v>24.235003764201181</v>
          </cell>
          <cell r="I35">
            <v>2515.8009875419948</v>
          </cell>
          <cell r="J35">
            <v>605.81114552902568</v>
          </cell>
        </row>
        <row r="36">
          <cell r="A36">
            <v>19</v>
          </cell>
          <cell r="B36">
            <v>43770</v>
          </cell>
          <cell r="C36">
            <v>2515.8009875419948</v>
          </cell>
          <cell r="D36">
            <v>152.25260868051714</v>
          </cell>
          <cell r="E36">
            <v>0</v>
          </cell>
          <cell r="F36">
            <v>152.25260868051714</v>
          </cell>
          <cell r="G36">
            <v>129.19109962804885</v>
          </cell>
          <cell r="H36">
            <v>23.061509052468285</v>
          </cell>
          <cell r="I36">
            <v>2386.6098879139458</v>
          </cell>
          <cell r="J36">
            <v>628.87265458149398</v>
          </cell>
        </row>
        <row r="37">
          <cell r="A37">
            <v>20</v>
          </cell>
          <cell r="B37">
            <v>43800</v>
          </cell>
          <cell r="C37">
            <v>2386.6098879139458</v>
          </cell>
          <cell r="D37">
            <v>152.25260868051714</v>
          </cell>
          <cell r="E37">
            <v>0</v>
          </cell>
          <cell r="F37">
            <v>152.25260868051714</v>
          </cell>
          <cell r="G37">
            <v>130.37535137463931</v>
          </cell>
          <cell r="H37">
            <v>21.877257305877837</v>
          </cell>
          <cell r="I37">
            <v>2256.2345365393066</v>
          </cell>
          <cell r="J37">
            <v>650.74991188737181</v>
          </cell>
        </row>
        <row r="38">
          <cell r="A38">
            <v>21</v>
          </cell>
          <cell r="B38">
            <v>43831</v>
          </cell>
          <cell r="C38">
            <v>2256.2345365393066</v>
          </cell>
          <cell r="D38">
            <v>152.25260868051714</v>
          </cell>
          <cell r="E38">
            <v>0</v>
          </cell>
          <cell r="F38">
            <v>152.25260868051714</v>
          </cell>
          <cell r="G38">
            <v>131.57045876224015</v>
          </cell>
          <cell r="H38">
            <v>20.682149918276977</v>
          </cell>
          <cell r="I38">
            <v>2124.6640777770663</v>
          </cell>
          <cell r="J38">
            <v>671.4320618056488</v>
          </cell>
        </row>
        <row r="39">
          <cell r="A39">
            <v>22</v>
          </cell>
          <cell r="B39">
            <v>43862</v>
          </cell>
          <cell r="C39">
            <v>2124.6640777770663</v>
          </cell>
          <cell r="D39">
            <v>152.25260868051714</v>
          </cell>
          <cell r="E39">
            <v>0</v>
          </cell>
          <cell r="F39">
            <v>152.25260868051714</v>
          </cell>
          <cell r="G39">
            <v>132.77652130089405</v>
          </cell>
          <cell r="H39">
            <v>19.476087379623106</v>
          </cell>
          <cell r="I39">
            <v>1991.8875564761722</v>
          </cell>
          <cell r="J39">
            <v>690.9081491852719</v>
          </cell>
        </row>
        <row r="40">
          <cell r="A40">
            <v>23</v>
          </cell>
          <cell r="B40">
            <v>43891</v>
          </cell>
          <cell r="C40">
            <v>1991.8875564761722</v>
          </cell>
          <cell r="D40">
            <v>152.25260868051714</v>
          </cell>
          <cell r="E40">
            <v>0</v>
          </cell>
          <cell r="F40">
            <v>152.25260868051714</v>
          </cell>
          <cell r="G40">
            <v>133.99363941281891</v>
          </cell>
          <cell r="H40">
            <v>18.258969267698244</v>
          </cell>
          <cell r="I40">
            <v>1857.8939170633532</v>
          </cell>
          <cell r="J40">
            <v>709.16711845297016</v>
          </cell>
        </row>
        <row r="41">
          <cell r="A41">
            <v>24</v>
          </cell>
          <cell r="B41">
            <v>43922</v>
          </cell>
          <cell r="C41">
            <v>1857.8939170633532</v>
          </cell>
          <cell r="D41">
            <v>152.25260868051714</v>
          </cell>
          <cell r="E41">
            <v>0</v>
          </cell>
          <cell r="F41">
            <v>152.25260868051714</v>
          </cell>
          <cell r="G41">
            <v>135.22191444076975</v>
          </cell>
          <cell r="H41">
            <v>17.030694239747405</v>
          </cell>
          <cell r="I41">
            <v>1722.6720026225835</v>
          </cell>
          <cell r="J41">
            <v>726.19781269271755</v>
          </cell>
        </row>
        <row r="42">
          <cell r="A42">
            <v>25</v>
          </cell>
          <cell r="B42">
            <v>43952</v>
          </cell>
          <cell r="C42">
            <v>1722.6720026225835</v>
          </cell>
          <cell r="D42">
            <v>152.25260868051714</v>
          </cell>
          <cell r="E42">
            <v>0</v>
          </cell>
          <cell r="F42">
            <v>152.25260868051714</v>
          </cell>
          <cell r="G42">
            <v>136.46144865647679</v>
          </cell>
          <cell r="H42">
            <v>15.79116002404035</v>
          </cell>
          <cell r="I42">
            <v>1586.2105539661068</v>
          </cell>
          <cell r="J42">
            <v>741.98897271675787</v>
          </cell>
        </row>
        <row r="43">
          <cell r="A43">
            <v>26</v>
          </cell>
          <cell r="B43">
            <v>43983</v>
          </cell>
          <cell r="C43">
            <v>1586.2105539661068</v>
          </cell>
          <cell r="D43">
            <v>152.25260868051714</v>
          </cell>
          <cell r="E43">
            <v>0</v>
          </cell>
          <cell r="F43">
            <v>152.25260868051714</v>
          </cell>
          <cell r="G43">
            <v>137.71234526916118</v>
          </cell>
          <cell r="H43">
            <v>14.54026341135598</v>
          </cell>
          <cell r="I43">
            <v>1448.4982086969455</v>
          </cell>
          <cell r="J43">
            <v>756.52923612811389</v>
          </cell>
        </row>
        <row r="44">
          <cell r="A44">
            <v>27</v>
          </cell>
          <cell r="B44">
            <v>44013</v>
          </cell>
          <cell r="C44">
            <v>1448.4982086969455</v>
          </cell>
          <cell r="D44">
            <v>152.25260868051714</v>
          </cell>
          <cell r="E44">
            <v>0</v>
          </cell>
          <cell r="F44">
            <v>152.25260868051714</v>
          </cell>
          <cell r="G44">
            <v>138.97470843412847</v>
          </cell>
          <cell r="H44">
            <v>13.277900246388668</v>
          </cell>
          <cell r="I44">
            <v>1309.5235002628172</v>
          </cell>
          <cell r="J44">
            <v>769.80713637450253</v>
          </cell>
        </row>
        <row r="45">
          <cell r="A45">
            <v>28</v>
          </cell>
          <cell r="B45">
            <v>44044</v>
          </cell>
          <cell r="C45">
            <v>1309.5235002628172</v>
          </cell>
          <cell r="D45">
            <v>152.25260868051714</v>
          </cell>
          <cell r="E45">
            <v>0</v>
          </cell>
          <cell r="F45">
            <v>152.25260868051714</v>
          </cell>
          <cell r="G45">
            <v>140.24864326144132</v>
          </cell>
          <cell r="H45">
            <v>12.003965419075824</v>
          </cell>
          <cell r="I45">
            <v>1169.2748570013759</v>
          </cell>
          <cell r="J45">
            <v>781.81110179357836</v>
          </cell>
        </row>
        <row r="46">
          <cell r="A46">
            <v>29</v>
          </cell>
          <cell r="B46">
            <v>44075</v>
          </cell>
          <cell r="C46">
            <v>1169.2748570013759</v>
          </cell>
          <cell r="D46">
            <v>152.25260868051714</v>
          </cell>
          <cell r="E46">
            <v>0</v>
          </cell>
          <cell r="F46">
            <v>152.25260868051714</v>
          </cell>
          <cell r="G46">
            <v>141.53425582467119</v>
          </cell>
          <cell r="H46">
            <v>10.718352855845945</v>
          </cell>
          <cell r="I46">
            <v>1027.7406011767048</v>
          </cell>
          <cell r="J46">
            <v>792.52945464942434</v>
          </cell>
        </row>
        <row r="47">
          <cell r="A47">
            <v>30</v>
          </cell>
          <cell r="B47">
            <v>44105</v>
          </cell>
          <cell r="C47">
            <v>1027.7406011767048</v>
          </cell>
          <cell r="D47">
            <v>152.25260868051714</v>
          </cell>
          <cell r="E47">
            <v>0</v>
          </cell>
          <cell r="F47">
            <v>152.25260868051714</v>
          </cell>
          <cell r="G47">
            <v>142.83165316973069</v>
          </cell>
          <cell r="H47">
            <v>9.4209555107864613</v>
          </cell>
          <cell r="I47">
            <v>884.90894800697413</v>
          </cell>
          <cell r="J47">
            <v>801.95041016021082</v>
          </cell>
        </row>
        <row r="48">
          <cell r="A48">
            <v>31</v>
          </cell>
          <cell r="B48">
            <v>44136</v>
          </cell>
          <cell r="C48">
            <v>884.90894800697413</v>
          </cell>
          <cell r="D48">
            <v>152.25260868051714</v>
          </cell>
          <cell r="E48">
            <v>0</v>
          </cell>
          <cell r="F48">
            <v>152.25260868051714</v>
          </cell>
          <cell r="G48">
            <v>144.14094332378656</v>
          </cell>
          <cell r="H48">
            <v>8.1116653567305956</v>
          </cell>
          <cell r="I48">
            <v>740.76800468318754</v>
          </cell>
          <cell r="J48">
            <v>810.06207551694138</v>
          </cell>
        </row>
        <row r="49">
          <cell r="A49">
            <v>32</v>
          </cell>
          <cell r="B49">
            <v>44166</v>
          </cell>
          <cell r="C49">
            <v>740.76800468318754</v>
          </cell>
          <cell r="D49">
            <v>152.25260868051714</v>
          </cell>
          <cell r="E49">
            <v>0</v>
          </cell>
          <cell r="F49">
            <v>152.25260868051714</v>
          </cell>
          <cell r="G49">
            <v>145.46223530425459</v>
          </cell>
          <cell r="H49">
            <v>6.7903733762625533</v>
          </cell>
          <cell r="I49">
            <v>595.30576937893295</v>
          </cell>
          <cell r="J49">
            <v>816.85244889320393</v>
          </cell>
        </row>
        <row r="50">
          <cell r="A50">
            <v>33</v>
          </cell>
          <cell r="B50">
            <v>44197</v>
          </cell>
          <cell r="C50">
            <v>595.30576937893295</v>
          </cell>
          <cell r="D50">
            <v>152.25260868051714</v>
          </cell>
          <cell r="E50">
            <v>0</v>
          </cell>
          <cell r="F50">
            <v>152.25260868051714</v>
          </cell>
          <cell r="G50">
            <v>146.79563912787691</v>
          </cell>
          <cell r="H50">
            <v>5.456969552640218</v>
          </cell>
          <cell r="I50">
            <v>448.51013025105601</v>
          </cell>
          <cell r="J50">
            <v>822.30941844584413</v>
          </cell>
        </row>
        <row r="51">
          <cell r="A51">
            <v>34</v>
          </cell>
          <cell r="B51">
            <v>44228</v>
          </cell>
          <cell r="C51">
            <v>448.51013025105601</v>
          </cell>
          <cell r="D51">
            <v>152.25260868051714</v>
          </cell>
          <cell r="E51">
            <v>0</v>
          </cell>
          <cell r="F51">
            <v>152.25260868051714</v>
          </cell>
          <cell r="G51">
            <v>148.14126581988245</v>
          </cell>
          <cell r="H51">
            <v>4.1113428606346796</v>
          </cell>
          <cell r="I51">
            <v>300.36886443117356</v>
          </cell>
          <cell r="J51">
            <v>826.42076130647877</v>
          </cell>
        </row>
        <row r="52">
          <cell r="A52">
            <v>35</v>
          </cell>
          <cell r="B52">
            <v>44256</v>
          </cell>
          <cell r="C52">
            <v>300.36886443117356</v>
          </cell>
          <cell r="D52">
            <v>152.25260868051714</v>
          </cell>
          <cell r="E52">
            <v>0</v>
          </cell>
          <cell r="F52">
            <v>152.25260868051714</v>
          </cell>
          <cell r="G52">
            <v>149.49922742323139</v>
          </cell>
          <cell r="H52">
            <v>2.7533812572857577</v>
          </cell>
          <cell r="I52">
            <v>150.86963700794217</v>
          </cell>
          <cell r="J52">
            <v>829.17414256376458</v>
          </cell>
        </row>
        <row r="53">
          <cell r="A53">
            <v>36</v>
          </cell>
          <cell r="B53">
            <v>44287</v>
          </cell>
          <cell r="C53">
            <v>150.86963700794217</v>
          </cell>
          <cell r="D53">
            <v>152.25260868051714</v>
          </cell>
          <cell r="E53">
            <v>0</v>
          </cell>
          <cell r="F53">
            <v>150.86963700794217</v>
          </cell>
          <cell r="G53">
            <v>149.48666533536937</v>
          </cell>
          <cell r="H53">
            <v>1.3829716725728032</v>
          </cell>
          <cell r="I53">
            <v>0</v>
          </cell>
          <cell r="J53">
            <v>830.55711423633738</v>
          </cell>
        </row>
        <row r="54">
          <cell r="A54">
            <v>37</v>
          </cell>
          <cell r="B54">
            <v>44317</v>
          </cell>
          <cell r="C54">
            <v>0</v>
          </cell>
          <cell r="D54">
            <v>152.25260868051714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830.55711423633738</v>
          </cell>
        </row>
        <row r="55">
          <cell r="A55">
            <v>38</v>
          </cell>
          <cell r="B55">
            <v>44348</v>
          </cell>
          <cell r="C55">
            <v>0</v>
          </cell>
          <cell r="D55">
            <v>152.25260868051714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830.55711423633738</v>
          </cell>
        </row>
        <row r="56">
          <cell r="A56">
            <v>39</v>
          </cell>
          <cell r="B56">
            <v>44378</v>
          </cell>
          <cell r="C56">
            <v>0</v>
          </cell>
          <cell r="D56">
            <v>152.25260868051714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830.55711423633738</v>
          </cell>
        </row>
        <row r="57">
          <cell r="A57">
            <v>40</v>
          </cell>
          <cell r="B57">
            <v>44409</v>
          </cell>
          <cell r="C57">
            <v>0</v>
          </cell>
          <cell r="D57">
            <v>152.25260868051714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830.55711423633738</v>
          </cell>
        </row>
        <row r="58">
          <cell r="A58">
            <v>41</v>
          </cell>
          <cell r="B58">
            <v>44440</v>
          </cell>
          <cell r="C58">
            <v>0</v>
          </cell>
          <cell r="D58">
            <v>152.25260868051714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830.55711423633738</v>
          </cell>
        </row>
        <row r="59">
          <cell r="A59">
            <v>42</v>
          </cell>
          <cell r="B59">
            <v>44470</v>
          </cell>
          <cell r="C59">
            <v>0</v>
          </cell>
          <cell r="D59">
            <v>152.25260868051714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830.55711423633738</v>
          </cell>
        </row>
        <row r="60">
          <cell r="A60">
            <v>43</v>
          </cell>
          <cell r="B60">
            <v>44501</v>
          </cell>
          <cell r="C60">
            <v>0</v>
          </cell>
          <cell r="D60">
            <v>152.25260868051714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830.55711423633738</v>
          </cell>
        </row>
        <row r="61">
          <cell r="A61">
            <v>44</v>
          </cell>
          <cell r="B61">
            <v>44531</v>
          </cell>
          <cell r="C61">
            <v>0</v>
          </cell>
          <cell r="D61">
            <v>152.25260868051714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830.55711423633738</v>
          </cell>
        </row>
        <row r="62">
          <cell r="A62">
            <v>45</v>
          </cell>
          <cell r="B62">
            <v>44562</v>
          </cell>
          <cell r="C62">
            <v>0</v>
          </cell>
          <cell r="D62">
            <v>152.25260868051714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830.55711423633738</v>
          </cell>
        </row>
        <row r="63">
          <cell r="A63">
            <v>46</v>
          </cell>
          <cell r="B63">
            <v>44593</v>
          </cell>
          <cell r="C63">
            <v>0</v>
          </cell>
          <cell r="D63">
            <v>152.25260868051714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830.55711423633738</v>
          </cell>
        </row>
        <row r="64">
          <cell r="A64">
            <v>47</v>
          </cell>
          <cell r="B64">
            <v>44621</v>
          </cell>
          <cell r="C64">
            <v>0</v>
          </cell>
          <cell r="D64">
            <v>152.25260868051714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830.55711423633738</v>
          </cell>
        </row>
        <row r="65">
          <cell r="A65">
            <v>48</v>
          </cell>
          <cell r="B65">
            <v>44652</v>
          </cell>
          <cell r="C65">
            <v>0</v>
          </cell>
          <cell r="D65">
            <v>152.25260868051714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830.55711423633738</v>
          </cell>
        </row>
        <row r="66">
          <cell r="A66">
            <v>49</v>
          </cell>
          <cell r="B66">
            <v>44682</v>
          </cell>
          <cell r="C66">
            <v>0</v>
          </cell>
          <cell r="D66">
            <v>152.25260868051714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830.55711423633738</v>
          </cell>
        </row>
        <row r="67">
          <cell r="A67">
            <v>50</v>
          </cell>
          <cell r="B67">
            <v>44713</v>
          </cell>
          <cell r="C67">
            <v>0</v>
          </cell>
          <cell r="D67">
            <v>152.25260868051714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830.55711423633738</v>
          </cell>
        </row>
        <row r="68">
          <cell r="A68">
            <v>51</v>
          </cell>
          <cell r="B68">
            <v>44743</v>
          </cell>
          <cell r="C68">
            <v>0</v>
          </cell>
          <cell r="D68">
            <v>152.25260868051714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830.55711423633738</v>
          </cell>
        </row>
        <row r="69">
          <cell r="A69">
            <v>52</v>
          </cell>
          <cell r="B69">
            <v>44774</v>
          </cell>
          <cell r="C69">
            <v>0</v>
          </cell>
          <cell r="D69">
            <v>152.25260868051714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830.55711423633738</v>
          </cell>
        </row>
        <row r="70">
          <cell r="A70">
            <v>53</v>
          </cell>
          <cell r="B70">
            <v>44805</v>
          </cell>
          <cell r="C70">
            <v>0</v>
          </cell>
          <cell r="D70">
            <v>152.25260868051714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830.55711423633738</v>
          </cell>
        </row>
        <row r="71">
          <cell r="A71">
            <v>54</v>
          </cell>
          <cell r="B71">
            <v>44835</v>
          </cell>
          <cell r="C71">
            <v>0</v>
          </cell>
          <cell r="D71">
            <v>152.25260868051714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830.55711423633738</v>
          </cell>
        </row>
        <row r="72">
          <cell r="A72">
            <v>55</v>
          </cell>
          <cell r="B72">
            <v>44866</v>
          </cell>
          <cell r="C72">
            <v>0</v>
          </cell>
          <cell r="D72">
            <v>152.25260868051714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830.55711423633738</v>
          </cell>
        </row>
        <row r="73">
          <cell r="A73">
            <v>56</v>
          </cell>
          <cell r="B73">
            <v>44896</v>
          </cell>
          <cell r="C73">
            <v>0</v>
          </cell>
          <cell r="D73">
            <v>152.25260868051714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830.55711423633738</v>
          </cell>
        </row>
        <row r="74">
          <cell r="A74">
            <v>57</v>
          </cell>
          <cell r="B74">
            <v>44927</v>
          </cell>
          <cell r="C74">
            <v>0</v>
          </cell>
          <cell r="D74">
            <v>152.25260868051714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830.55711423633738</v>
          </cell>
        </row>
        <row r="75">
          <cell r="A75">
            <v>58</v>
          </cell>
          <cell r="B75">
            <v>44958</v>
          </cell>
          <cell r="C75">
            <v>0</v>
          </cell>
          <cell r="D75">
            <v>152.25260868051714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830.55711423633738</v>
          </cell>
        </row>
        <row r="76">
          <cell r="A76">
            <v>59</v>
          </cell>
          <cell r="B76">
            <v>44986</v>
          </cell>
          <cell r="C76">
            <v>0</v>
          </cell>
          <cell r="D76">
            <v>152.25260868051714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830.55711423633738</v>
          </cell>
        </row>
        <row r="77">
          <cell r="A77">
            <v>60</v>
          </cell>
          <cell r="B77">
            <v>45017</v>
          </cell>
          <cell r="C77">
            <v>0</v>
          </cell>
          <cell r="D77">
            <v>152.25260868051714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830.55711423633738</v>
          </cell>
        </row>
        <row r="78">
          <cell r="A78">
            <v>61</v>
          </cell>
          <cell r="B78">
            <v>45047</v>
          </cell>
          <cell r="C78">
            <v>0</v>
          </cell>
          <cell r="D78">
            <v>152.25260868051714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830.55711423633738</v>
          </cell>
        </row>
        <row r="79">
          <cell r="A79">
            <v>62</v>
          </cell>
          <cell r="B79">
            <v>45078</v>
          </cell>
          <cell r="C79">
            <v>0</v>
          </cell>
          <cell r="D79">
            <v>152.25260868051714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830.55711423633738</v>
          </cell>
        </row>
        <row r="80">
          <cell r="A80">
            <v>63</v>
          </cell>
          <cell r="B80">
            <v>45108</v>
          </cell>
          <cell r="C80">
            <v>0</v>
          </cell>
          <cell r="D80">
            <v>152.25260868051714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830.55711423633738</v>
          </cell>
        </row>
        <row r="81">
          <cell r="A81">
            <v>64</v>
          </cell>
          <cell r="B81">
            <v>45139</v>
          </cell>
          <cell r="C81">
            <v>0</v>
          </cell>
          <cell r="D81">
            <v>152.25260868051714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830.55711423633738</v>
          </cell>
        </row>
        <row r="82">
          <cell r="A82">
            <v>65</v>
          </cell>
          <cell r="B82">
            <v>45170</v>
          </cell>
          <cell r="C82">
            <v>0</v>
          </cell>
          <cell r="D82">
            <v>152.25260868051714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830.55711423633738</v>
          </cell>
        </row>
        <row r="83">
          <cell r="A83">
            <v>66</v>
          </cell>
          <cell r="B83">
            <v>45200</v>
          </cell>
          <cell r="C83">
            <v>0</v>
          </cell>
          <cell r="D83">
            <v>152.25260868051714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830.55711423633738</v>
          </cell>
        </row>
        <row r="84">
          <cell r="A84">
            <v>67</v>
          </cell>
          <cell r="B84">
            <v>45231</v>
          </cell>
          <cell r="C84">
            <v>0</v>
          </cell>
          <cell r="D84">
            <v>152.25260868051714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830.55711423633738</v>
          </cell>
        </row>
        <row r="85">
          <cell r="A85">
            <v>68</v>
          </cell>
          <cell r="B85">
            <v>45261</v>
          </cell>
          <cell r="C85">
            <v>0</v>
          </cell>
          <cell r="D85">
            <v>152.25260868051714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830.55711423633738</v>
          </cell>
        </row>
        <row r="86">
          <cell r="A86">
            <v>69</v>
          </cell>
          <cell r="B86">
            <v>45292</v>
          </cell>
          <cell r="C86">
            <v>0</v>
          </cell>
          <cell r="D86">
            <v>152.25260868051714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830.55711423633738</v>
          </cell>
        </row>
        <row r="87">
          <cell r="A87">
            <v>70</v>
          </cell>
          <cell r="B87">
            <v>45323</v>
          </cell>
          <cell r="C87">
            <v>0</v>
          </cell>
          <cell r="D87">
            <v>152.25260868051714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830.55711423633738</v>
          </cell>
        </row>
        <row r="88">
          <cell r="A88">
            <v>71</v>
          </cell>
          <cell r="B88">
            <v>45352</v>
          </cell>
          <cell r="C88">
            <v>0</v>
          </cell>
          <cell r="D88">
            <v>152.25260868051714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830.55711423633738</v>
          </cell>
        </row>
        <row r="89">
          <cell r="A89">
            <v>72</v>
          </cell>
          <cell r="B89">
            <v>45383</v>
          </cell>
          <cell r="C89">
            <v>0</v>
          </cell>
          <cell r="D89">
            <v>152.25260868051714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830.55711423633738</v>
          </cell>
        </row>
        <row r="90">
          <cell r="A90">
            <v>73</v>
          </cell>
          <cell r="B90">
            <v>45413</v>
          </cell>
          <cell r="C90">
            <v>0</v>
          </cell>
          <cell r="D90">
            <v>152.25260868051714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830.55711423633738</v>
          </cell>
        </row>
        <row r="91">
          <cell r="A91">
            <v>74</v>
          </cell>
          <cell r="B91">
            <v>45444</v>
          </cell>
          <cell r="C91">
            <v>0</v>
          </cell>
          <cell r="D91">
            <v>152.25260868051714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830.55711423633738</v>
          </cell>
        </row>
        <row r="92">
          <cell r="A92">
            <v>75</v>
          </cell>
          <cell r="B92">
            <v>45474</v>
          </cell>
          <cell r="C92">
            <v>0</v>
          </cell>
          <cell r="D92">
            <v>152.25260868051714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830.55711423633738</v>
          </cell>
        </row>
        <row r="93">
          <cell r="A93">
            <v>76</v>
          </cell>
          <cell r="B93">
            <v>45505</v>
          </cell>
          <cell r="C93">
            <v>0</v>
          </cell>
          <cell r="D93">
            <v>152.25260868051714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830.55711423633738</v>
          </cell>
        </row>
        <row r="94">
          <cell r="A94">
            <v>77</v>
          </cell>
          <cell r="B94">
            <v>45536</v>
          </cell>
          <cell r="C94">
            <v>0</v>
          </cell>
          <cell r="D94">
            <v>152.25260868051714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830.55711423633738</v>
          </cell>
        </row>
        <row r="95">
          <cell r="A95">
            <v>78</v>
          </cell>
          <cell r="B95">
            <v>45566</v>
          </cell>
          <cell r="C95">
            <v>0</v>
          </cell>
          <cell r="D95">
            <v>152.25260868051714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830.55711423633738</v>
          </cell>
        </row>
        <row r="96">
          <cell r="A96">
            <v>79</v>
          </cell>
          <cell r="B96">
            <v>45597</v>
          </cell>
          <cell r="C96">
            <v>0</v>
          </cell>
          <cell r="D96">
            <v>152.25260868051714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830.55711423633738</v>
          </cell>
        </row>
        <row r="97">
          <cell r="A97">
            <v>80</v>
          </cell>
          <cell r="B97">
            <v>45627</v>
          </cell>
          <cell r="C97">
            <v>0</v>
          </cell>
          <cell r="D97">
            <v>152.25260868051714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830.55711423633738</v>
          </cell>
        </row>
        <row r="98">
          <cell r="A98">
            <v>81</v>
          </cell>
          <cell r="B98">
            <v>45658</v>
          </cell>
          <cell r="C98">
            <v>0</v>
          </cell>
          <cell r="D98">
            <v>152.25260868051714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830.55711423633738</v>
          </cell>
        </row>
        <row r="99">
          <cell r="A99">
            <v>82</v>
          </cell>
          <cell r="B99">
            <v>45689</v>
          </cell>
          <cell r="C99">
            <v>0</v>
          </cell>
          <cell r="D99">
            <v>152.25260868051714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830.55711423633738</v>
          </cell>
        </row>
        <row r="100">
          <cell r="A100">
            <v>83</v>
          </cell>
          <cell r="B100">
            <v>45717</v>
          </cell>
          <cell r="C100">
            <v>0</v>
          </cell>
          <cell r="D100">
            <v>152.25260868051714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830.55711423633738</v>
          </cell>
        </row>
        <row r="101">
          <cell r="A101">
            <v>84</v>
          </cell>
          <cell r="B101">
            <v>45748</v>
          </cell>
          <cell r="C101">
            <v>0</v>
          </cell>
          <cell r="D101">
            <v>152.25260868051714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830.55711423633738</v>
          </cell>
        </row>
        <row r="102">
          <cell r="A102">
            <v>85</v>
          </cell>
          <cell r="B102">
            <v>45778</v>
          </cell>
          <cell r="C102">
            <v>0</v>
          </cell>
          <cell r="D102">
            <v>152.25260868051714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830.55711423633738</v>
          </cell>
        </row>
        <row r="103">
          <cell r="A103">
            <v>86</v>
          </cell>
          <cell r="B103">
            <v>45809</v>
          </cell>
          <cell r="C103">
            <v>0</v>
          </cell>
          <cell r="D103">
            <v>152.25260868051714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830.55711423633738</v>
          </cell>
        </row>
        <row r="104">
          <cell r="A104">
            <v>87</v>
          </cell>
          <cell r="B104">
            <v>45839</v>
          </cell>
          <cell r="C104">
            <v>0</v>
          </cell>
          <cell r="D104">
            <v>152.25260868051714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830.55711423633738</v>
          </cell>
        </row>
        <row r="105">
          <cell r="A105">
            <v>88</v>
          </cell>
          <cell r="B105">
            <v>45870</v>
          </cell>
          <cell r="C105">
            <v>0</v>
          </cell>
          <cell r="D105">
            <v>152.25260868051714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830.55711423633738</v>
          </cell>
        </row>
        <row r="106">
          <cell r="A106">
            <v>89</v>
          </cell>
          <cell r="B106">
            <v>45901</v>
          </cell>
          <cell r="C106">
            <v>0</v>
          </cell>
          <cell r="D106">
            <v>152.25260868051714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830.55711423633738</v>
          </cell>
        </row>
        <row r="107">
          <cell r="A107">
            <v>90</v>
          </cell>
          <cell r="B107">
            <v>45931</v>
          </cell>
          <cell r="C107">
            <v>0</v>
          </cell>
          <cell r="D107">
            <v>152.25260868051714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830.55711423633738</v>
          </cell>
        </row>
        <row r="108">
          <cell r="A108">
            <v>91</v>
          </cell>
          <cell r="B108">
            <v>45962</v>
          </cell>
          <cell r="C108">
            <v>0</v>
          </cell>
          <cell r="D108">
            <v>152.25260868051714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830.55711423633738</v>
          </cell>
        </row>
        <row r="109">
          <cell r="A109">
            <v>92</v>
          </cell>
          <cell r="B109">
            <v>45992</v>
          </cell>
          <cell r="C109">
            <v>0</v>
          </cell>
          <cell r="D109">
            <v>152.25260868051714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830.55711423633738</v>
          </cell>
        </row>
        <row r="110">
          <cell r="A110">
            <v>93</v>
          </cell>
          <cell r="B110">
            <v>46023</v>
          </cell>
          <cell r="C110">
            <v>0</v>
          </cell>
          <cell r="D110">
            <v>152.25260868051714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830.55711423633738</v>
          </cell>
        </row>
        <row r="111">
          <cell r="A111">
            <v>94</v>
          </cell>
          <cell r="B111">
            <v>46054</v>
          </cell>
          <cell r="C111">
            <v>0</v>
          </cell>
          <cell r="D111">
            <v>152.25260868051714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830.55711423633738</v>
          </cell>
        </row>
        <row r="112">
          <cell r="A112">
            <v>95</v>
          </cell>
          <cell r="B112">
            <v>46082</v>
          </cell>
          <cell r="C112">
            <v>0</v>
          </cell>
          <cell r="D112">
            <v>152.25260868051714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830.55711423633738</v>
          </cell>
        </row>
        <row r="113">
          <cell r="A113">
            <v>96</v>
          </cell>
          <cell r="B113">
            <v>46113</v>
          </cell>
          <cell r="C113">
            <v>0</v>
          </cell>
          <cell r="D113">
            <v>152.25260868051714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830.55711423633738</v>
          </cell>
        </row>
        <row r="114">
          <cell r="A114">
            <v>97</v>
          </cell>
          <cell r="B114">
            <v>46143</v>
          </cell>
          <cell r="C114">
            <v>0</v>
          </cell>
          <cell r="D114">
            <v>152.25260868051714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830.55711423633738</v>
          </cell>
        </row>
        <row r="115">
          <cell r="A115">
            <v>98</v>
          </cell>
          <cell r="B115">
            <v>46174</v>
          </cell>
          <cell r="C115">
            <v>0</v>
          </cell>
          <cell r="D115">
            <v>152.25260868051714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830.55711423633738</v>
          </cell>
        </row>
        <row r="116">
          <cell r="A116">
            <v>99</v>
          </cell>
          <cell r="B116">
            <v>46204</v>
          </cell>
          <cell r="C116">
            <v>0</v>
          </cell>
          <cell r="D116">
            <v>152.25260868051714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830.55711423633738</v>
          </cell>
        </row>
        <row r="117">
          <cell r="A117">
            <v>100</v>
          </cell>
          <cell r="B117">
            <v>46235</v>
          </cell>
          <cell r="C117">
            <v>0</v>
          </cell>
          <cell r="D117">
            <v>152.25260868051714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830.55711423633738</v>
          </cell>
        </row>
        <row r="118">
          <cell r="A118">
            <v>101</v>
          </cell>
          <cell r="B118">
            <v>46266</v>
          </cell>
          <cell r="C118">
            <v>0</v>
          </cell>
          <cell r="D118">
            <v>152.25260868051714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830.55711423633738</v>
          </cell>
        </row>
        <row r="119">
          <cell r="A119">
            <v>102</v>
          </cell>
          <cell r="B119">
            <v>46296</v>
          </cell>
          <cell r="C119">
            <v>0</v>
          </cell>
          <cell r="D119">
            <v>152.25260868051714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830.55711423633738</v>
          </cell>
        </row>
        <row r="120">
          <cell r="A120">
            <v>103</v>
          </cell>
          <cell r="B120">
            <v>46327</v>
          </cell>
          <cell r="C120">
            <v>0</v>
          </cell>
          <cell r="D120">
            <v>152.25260868051714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830.55711423633738</v>
          </cell>
        </row>
        <row r="121">
          <cell r="A121">
            <v>104</v>
          </cell>
          <cell r="B121">
            <v>46357</v>
          </cell>
          <cell r="C121">
            <v>0</v>
          </cell>
          <cell r="D121">
            <v>152.25260868051714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830.55711423633738</v>
          </cell>
        </row>
        <row r="122">
          <cell r="A122">
            <v>105</v>
          </cell>
          <cell r="B122">
            <v>46388</v>
          </cell>
          <cell r="C122">
            <v>0</v>
          </cell>
          <cell r="D122">
            <v>152.25260868051714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830.55711423633738</v>
          </cell>
        </row>
        <row r="123">
          <cell r="A123">
            <v>106</v>
          </cell>
          <cell r="B123">
            <v>46419</v>
          </cell>
          <cell r="C123">
            <v>0</v>
          </cell>
          <cell r="D123">
            <v>152.25260868051714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830.55711423633738</v>
          </cell>
        </row>
        <row r="124">
          <cell r="A124">
            <v>107</v>
          </cell>
          <cell r="B124">
            <v>46447</v>
          </cell>
          <cell r="C124">
            <v>0</v>
          </cell>
          <cell r="D124">
            <v>152.25260868051714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830.55711423633738</v>
          </cell>
        </row>
        <row r="125">
          <cell r="A125">
            <v>108</v>
          </cell>
          <cell r="B125">
            <v>46478</v>
          </cell>
          <cell r="C125">
            <v>0</v>
          </cell>
          <cell r="D125">
            <v>152.25260868051714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830.55711423633738</v>
          </cell>
        </row>
        <row r="126">
          <cell r="A126">
            <v>109</v>
          </cell>
          <cell r="B126">
            <v>46508</v>
          </cell>
          <cell r="C126">
            <v>0</v>
          </cell>
          <cell r="D126">
            <v>152.25260868051714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830.55711423633738</v>
          </cell>
        </row>
        <row r="127">
          <cell r="A127">
            <v>110</v>
          </cell>
          <cell r="B127">
            <v>46539</v>
          </cell>
          <cell r="C127">
            <v>0</v>
          </cell>
          <cell r="D127">
            <v>152.25260868051714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830.55711423633738</v>
          </cell>
        </row>
        <row r="128">
          <cell r="A128">
            <v>111</v>
          </cell>
          <cell r="B128">
            <v>46569</v>
          </cell>
          <cell r="C128">
            <v>0</v>
          </cell>
          <cell r="D128">
            <v>152.25260868051714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830.55711423633738</v>
          </cell>
        </row>
        <row r="129">
          <cell r="A129">
            <v>112</v>
          </cell>
          <cell r="B129">
            <v>46600</v>
          </cell>
          <cell r="C129">
            <v>0</v>
          </cell>
          <cell r="D129">
            <v>152.25260868051714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830.55711423633738</v>
          </cell>
        </row>
        <row r="130">
          <cell r="A130">
            <v>113</v>
          </cell>
          <cell r="B130">
            <v>46631</v>
          </cell>
          <cell r="C130">
            <v>0</v>
          </cell>
          <cell r="D130">
            <v>152.25260868051714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830.55711423633738</v>
          </cell>
        </row>
        <row r="131">
          <cell r="A131">
            <v>114</v>
          </cell>
          <cell r="B131">
            <v>46661</v>
          </cell>
          <cell r="C131">
            <v>0</v>
          </cell>
          <cell r="D131">
            <v>152.25260868051714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830.55711423633738</v>
          </cell>
        </row>
        <row r="132">
          <cell r="A132">
            <v>115</v>
          </cell>
          <cell r="B132">
            <v>46692</v>
          </cell>
          <cell r="C132">
            <v>0</v>
          </cell>
          <cell r="D132">
            <v>152.25260868051714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830.55711423633738</v>
          </cell>
        </row>
        <row r="133">
          <cell r="A133">
            <v>116</v>
          </cell>
          <cell r="B133">
            <v>46722</v>
          </cell>
          <cell r="C133">
            <v>0</v>
          </cell>
          <cell r="D133">
            <v>152.25260868051714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830.55711423633738</v>
          </cell>
        </row>
        <row r="134">
          <cell r="A134">
            <v>117</v>
          </cell>
          <cell r="B134">
            <v>46753</v>
          </cell>
          <cell r="C134">
            <v>0</v>
          </cell>
          <cell r="D134">
            <v>152.25260868051714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830.55711423633738</v>
          </cell>
        </row>
        <row r="135">
          <cell r="A135">
            <v>118</v>
          </cell>
          <cell r="B135">
            <v>46784</v>
          </cell>
          <cell r="C135">
            <v>0</v>
          </cell>
          <cell r="D135">
            <v>152.25260868051714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830.55711423633738</v>
          </cell>
        </row>
        <row r="136">
          <cell r="A136">
            <v>119</v>
          </cell>
          <cell r="B136">
            <v>46813</v>
          </cell>
          <cell r="C136">
            <v>0</v>
          </cell>
          <cell r="D136">
            <v>152.25260868051714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830.55711423633738</v>
          </cell>
        </row>
        <row r="137">
          <cell r="A137">
            <v>120</v>
          </cell>
          <cell r="B137">
            <v>46844</v>
          </cell>
          <cell r="C137">
            <v>0</v>
          </cell>
          <cell r="D137">
            <v>152.25260868051714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830.55711423633738</v>
          </cell>
        </row>
        <row r="138">
          <cell r="A138">
            <v>121</v>
          </cell>
          <cell r="B138">
            <v>46874</v>
          </cell>
          <cell r="C138">
            <v>0</v>
          </cell>
          <cell r="D138">
            <v>152.25260868051714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830.55711423633738</v>
          </cell>
        </row>
        <row r="139">
          <cell r="A139">
            <v>122</v>
          </cell>
          <cell r="B139">
            <v>46905</v>
          </cell>
          <cell r="C139">
            <v>0</v>
          </cell>
          <cell r="D139">
            <v>152.25260868051714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830.55711423633738</v>
          </cell>
        </row>
        <row r="140">
          <cell r="A140">
            <v>123</v>
          </cell>
          <cell r="B140">
            <v>46935</v>
          </cell>
          <cell r="C140">
            <v>0</v>
          </cell>
          <cell r="D140">
            <v>152.25260868051714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830.55711423633738</v>
          </cell>
        </row>
        <row r="141">
          <cell r="A141">
            <v>124</v>
          </cell>
          <cell r="B141">
            <v>46966</v>
          </cell>
          <cell r="C141">
            <v>0</v>
          </cell>
          <cell r="D141">
            <v>152.25260868051714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830.55711423633738</v>
          </cell>
        </row>
        <row r="142">
          <cell r="A142">
            <v>125</v>
          </cell>
          <cell r="B142">
            <v>46997</v>
          </cell>
          <cell r="C142">
            <v>0</v>
          </cell>
          <cell r="D142">
            <v>152.25260868051714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830.55711423633738</v>
          </cell>
        </row>
        <row r="143">
          <cell r="A143">
            <v>126</v>
          </cell>
          <cell r="B143">
            <v>47027</v>
          </cell>
          <cell r="C143">
            <v>0</v>
          </cell>
          <cell r="D143">
            <v>152.25260868051714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830.55711423633738</v>
          </cell>
        </row>
        <row r="144">
          <cell r="A144">
            <v>127</v>
          </cell>
          <cell r="B144">
            <v>47058</v>
          </cell>
          <cell r="C144">
            <v>0</v>
          </cell>
          <cell r="D144">
            <v>152.25260868051714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830.55711423633738</v>
          </cell>
        </row>
        <row r="145">
          <cell r="A145">
            <v>128</v>
          </cell>
          <cell r="B145">
            <v>47088</v>
          </cell>
          <cell r="C145">
            <v>0</v>
          </cell>
          <cell r="D145">
            <v>152.25260868051714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830.55711423633738</v>
          </cell>
        </row>
        <row r="146">
          <cell r="A146">
            <v>129</v>
          </cell>
          <cell r="B146">
            <v>47119</v>
          </cell>
          <cell r="C146">
            <v>0</v>
          </cell>
          <cell r="D146">
            <v>152.25260868051714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830.55711423633738</v>
          </cell>
        </row>
        <row r="147">
          <cell r="A147">
            <v>130</v>
          </cell>
          <cell r="B147">
            <v>47150</v>
          </cell>
          <cell r="C147">
            <v>0</v>
          </cell>
          <cell r="D147">
            <v>152.25260868051714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830.55711423633738</v>
          </cell>
        </row>
        <row r="148">
          <cell r="A148">
            <v>131</v>
          </cell>
          <cell r="B148">
            <v>47178</v>
          </cell>
          <cell r="C148">
            <v>0</v>
          </cell>
          <cell r="D148">
            <v>152.25260868051714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830.55711423633738</v>
          </cell>
        </row>
        <row r="149">
          <cell r="A149">
            <v>132</v>
          </cell>
          <cell r="B149">
            <v>47209</v>
          </cell>
          <cell r="C149">
            <v>0</v>
          </cell>
          <cell r="D149">
            <v>152.25260868051714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830.55711423633738</v>
          </cell>
        </row>
        <row r="150">
          <cell r="A150">
            <v>133</v>
          </cell>
          <cell r="B150">
            <v>47239</v>
          </cell>
          <cell r="C150">
            <v>0</v>
          </cell>
          <cell r="D150">
            <v>152.25260868051714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830.55711423633738</v>
          </cell>
        </row>
        <row r="151">
          <cell r="A151">
            <v>134</v>
          </cell>
          <cell r="B151">
            <v>47270</v>
          </cell>
          <cell r="C151">
            <v>0</v>
          </cell>
          <cell r="D151">
            <v>152.25260868051714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830.55711423633738</v>
          </cell>
        </row>
        <row r="152">
          <cell r="A152">
            <v>135</v>
          </cell>
          <cell r="B152">
            <v>47300</v>
          </cell>
          <cell r="C152">
            <v>0</v>
          </cell>
          <cell r="D152">
            <v>152.25260868051714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830.55711423633738</v>
          </cell>
        </row>
        <row r="153">
          <cell r="A153">
            <v>136</v>
          </cell>
          <cell r="B153">
            <v>47331</v>
          </cell>
          <cell r="C153">
            <v>0</v>
          </cell>
          <cell r="D153">
            <v>152.25260868051714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830.55711423633738</v>
          </cell>
        </row>
        <row r="154">
          <cell r="A154">
            <v>137</v>
          </cell>
          <cell r="B154">
            <v>47362</v>
          </cell>
          <cell r="C154">
            <v>0</v>
          </cell>
          <cell r="D154">
            <v>152.25260868051714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830.55711423633738</v>
          </cell>
        </row>
        <row r="155">
          <cell r="A155">
            <v>138</v>
          </cell>
          <cell r="B155">
            <v>47392</v>
          </cell>
          <cell r="C155">
            <v>0</v>
          </cell>
          <cell r="D155">
            <v>152.25260868051714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830.55711423633738</v>
          </cell>
        </row>
        <row r="156">
          <cell r="A156">
            <v>139</v>
          </cell>
          <cell r="B156">
            <v>47423</v>
          </cell>
          <cell r="C156">
            <v>0</v>
          </cell>
          <cell r="D156">
            <v>152.25260868051714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830.55711423633738</v>
          </cell>
        </row>
        <row r="157">
          <cell r="A157">
            <v>140</v>
          </cell>
          <cell r="B157">
            <v>47453</v>
          </cell>
          <cell r="C157">
            <v>0</v>
          </cell>
          <cell r="D157">
            <v>152.25260868051714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830.55711423633738</v>
          </cell>
        </row>
        <row r="158">
          <cell r="A158">
            <v>141</v>
          </cell>
          <cell r="B158">
            <v>47484</v>
          </cell>
          <cell r="C158">
            <v>0</v>
          </cell>
          <cell r="D158">
            <v>152.25260868051714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830.55711423633738</v>
          </cell>
        </row>
        <row r="159">
          <cell r="A159">
            <v>142</v>
          </cell>
          <cell r="B159">
            <v>47515</v>
          </cell>
          <cell r="C159">
            <v>0</v>
          </cell>
          <cell r="D159">
            <v>152.25260868051714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830.55711423633738</v>
          </cell>
        </row>
        <row r="160">
          <cell r="A160">
            <v>143</v>
          </cell>
          <cell r="B160">
            <v>47543</v>
          </cell>
          <cell r="C160">
            <v>0</v>
          </cell>
          <cell r="D160">
            <v>152.25260868051714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830.55711423633738</v>
          </cell>
        </row>
        <row r="161">
          <cell r="A161">
            <v>144</v>
          </cell>
          <cell r="B161">
            <v>47574</v>
          </cell>
          <cell r="C161">
            <v>0</v>
          </cell>
          <cell r="D161">
            <v>152.25260868051714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830.55711423633738</v>
          </cell>
        </row>
        <row r="162">
          <cell r="A162">
            <v>145</v>
          </cell>
          <cell r="B162">
            <v>47604</v>
          </cell>
          <cell r="C162">
            <v>0</v>
          </cell>
          <cell r="D162">
            <v>152.25260868051714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830.55711423633738</v>
          </cell>
        </row>
        <row r="163">
          <cell r="A163">
            <v>146</v>
          </cell>
          <cell r="B163">
            <v>47635</v>
          </cell>
          <cell r="C163">
            <v>0</v>
          </cell>
          <cell r="D163">
            <v>152.25260868051714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830.55711423633738</v>
          </cell>
        </row>
        <row r="164">
          <cell r="A164">
            <v>147</v>
          </cell>
          <cell r="B164">
            <v>47665</v>
          </cell>
          <cell r="C164">
            <v>0</v>
          </cell>
          <cell r="D164">
            <v>152.25260868051714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830.55711423633738</v>
          </cell>
        </row>
        <row r="165">
          <cell r="A165">
            <v>148</v>
          </cell>
          <cell r="B165">
            <v>47696</v>
          </cell>
          <cell r="C165">
            <v>0</v>
          </cell>
          <cell r="D165">
            <v>152.25260868051714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830.55711423633738</v>
          </cell>
        </row>
        <row r="166">
          <cell r="A166">
            <v>149</v>
          </cell>
          <cell r="B166">
            <v>47727</v>
          </cell>
          <cell r="C166">
            <v>0</v>
          </cell>
          <cell r="D166">
            <v>152.25260868051714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830.55711423633738</v>
          </cell>
        </row>
        <row r="167">
          <cell r="A167">
            <v>150</v>
          </cell>
          <cell r="B167">
            <v>47757</v>
          </cell>
          <cell r="C167">
            <v>0</v>
          </cell>
          <cell r="D167">
            <v>152.25260868051714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830.55711423633738</v>
          </cell>
        </row>
        <row r="168">
          <cell r="A168">
            <v>151</v>
          </cell>
          <cell r="B168">
            <v>47788</v>
          </cell>
          <cell r="C168">
            <v>0</v>
          </cell>
          <cell r="D168">
            <v>152.25260868051714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830.55711423633738</v>
          </cell>
        </row>
        <row r="169">
          <cell r="A169">
            <v>152</v>
          </cell>
          <cell r="B169">
            <v>47818</v>
          </cell>
          <cell r="C169">
            <v>0</v>
          </cell>
          <cell r="D169">
            <v>152.25260868051714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830.55711423633738</v>
          </cell>
        </row>
        <row r="170">
          <cell r="A170">
            <v>153</v>
          </cell>
          <cell r="B170">
            <v>47849</v>
          </cell>
          <cell r="C170">
            <v>0</v>
          </cell>
          <cell r="D170">
            <v>152.25260868051714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830.55711423633738</v>
          </cell>
        </row>
        <row r="171">
          <cell r="A171">
            <v>154</v>
          </cell>
          <cell r="B171">
            <v>47880</v>
          </cell>
          <cell r="C171">
            <v>0</v>
          </cell>
          <cell r="D171">
            <v>152.25260868051714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830.55711423633738</v>
          </cell>
        </row>
        <row r="172">
          <cell r="A172">
            <v>155</v>
          </cell>
          <cell r="B172">
            <v>47908</v>
          </cell>
          <cell r="C172">
            <v>0</v>
          </cell>
          <cell r="D172">
            <v>152.25260868051714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830.55711423633738</v>
          </cell>
        </row>
        <row r="173">
          <cell r="A173">
            <v>156</v>
          </cell>
          <cell r="B173">
            <v>47939</v>
          </cell>
          <cell r="C173">
            <v>0</v>
          </cell>
          <cell r="D173">
            <v>152.25260868051714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830.55711423633738</v>
          </cell>
        </row>
        <row r="174">
          <cell r="A174">
            <v>157</v>
          </cell>
          <cell r="B174">
            <v>47969</v>
          </cell>
          <cell r="C174">
            <v>0</v>
          </cell>
          <cell r="D174">
            <v>152.25260868051714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830.55711423633738</v>
          </cell>
        </row>
        <row r="175">
          <cell r="A175">
            <v>158</v>
          </cell>
          <cell r="B175">
            <v>48000</v>
          </cell>
          <cell r="C175">
            <v>0</v>
          </cell>
          <cell r="D175">
            <v>152.25260868051714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830.55711423633738</v>
          </cell>
        </row>
        <row r="176">
          <cell r="A176">
            <v>159</v>
          </cell>
          <cell r="B176">
            <v>48030</v>
          </cell>
          <cell r="C176">
            <v>0</v>
          </cell>
          <cell r="D176">
            <v>152.25260868051714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830.55711423633738</v>
          </cell>
        </row>
        <row r="177">
          <cell r="A177">
            <v>160</v>
          </cell>
          <cell r="B177">
            <v>48061</v>
          </cell>
          <cell r="C177">
            <v>0</v>
          </cell>
          <cell r="D177">
            <v>152.25260868051714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830.55711423633738</v>
          </cell>
        </row>
        <row r="178">
          <cell r="A178">
            <v>161</v>
          </cell>
          <cell r="B178">
            <v>48092</v>
          </cell>
          <cell r="C178">
            <v>0</v>
          </cell>
          <cell r="D178">
            <v>152.25260868051714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830.55711423633738</v>
          </cell>
        </row>
        <row r="179">
          <cell r="A179">
            <v>162</v>
          </cell>
          <cell r="B179">
            <v>48122</v>
          </cell>
          <cell r="C179">
            <v>0</v>
          </cell>
          <cell r="D179">
            <v>152.25260868051714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830.55711423633738</v>
          </cell>
        </row>
        <row r="180">
          <cell r="A180">
            <v>163</v>
          </cell>
          <cell r="B180">
            <v>48153</v>
          </cell>
          <cell r="C180">
            <v>0</v>
          </cell>
          <cell r="D180">
            <v>152.25260868051714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830.55711423633738</v>
          </cell>
        </row>
        <row r="181">
          <cell r="A181">
            <v>164</v>
          </cell>
          <cell r="B181">
            <v>48183</v>
          </cell>
          <cell r="C181">
            <v>0</v>
          </cell>
          <cell r="D181">
            <v>152.25260868051714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830.55711423633738</v>
          </cell>
        </row>
        <row r="182">
          <cell r="A182">
            <v>165</v>
          </cell>
          <cell r="B182">
            <v>48214</v>
          </cell>
          <cell r="C182">
            <v>0</v>
          </cell>
          <cell r="D182">
            <v>152.25260868051714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830.55711423633738</v>
          </cell>
        </row>
        <row r="183">
          <cell r="A183">
            <v>166</v>
          </cell>
          <cell r="B183">
            <v>48245</v>
          </cell>
          <cell r="C183">
            <v>0</v>
          </cell>
          <cell r="D183">
            <v>152.25260868051714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830.55711423633738</v>
          </cell>
        </row>
        <row r="184">
          <cell r="A184">
            <v>167</v>
          </cell>
          <cell r="B184">
            <v>48274</v>
          </cell>
          <cell r="C184">
            <v>0</v>
          </cell>
          <cell r="D184">
            <v>152.25260868051714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830.55711423633738</v>
          </cell>
        </row>
        <row r="185">
          <cell r="A185">
            <v>168</v>
          </cell>
          <cell r="B185">
            <v>48305</v>
          </cell>
          <cell r="C185">
            <v>0</v>
          </cell>
          <cell r="D185">
            <v>152.25260868051714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830.55711423633738</v>
          </cell>
        </row>
        <row r="186">
          <cell r="A186">
            <v>169</v>
          </cell>
          <cell r="B186">
            <v>48335</v>
          </cell>
          <cell r="C186">
            <v>0</v>
          </cell>
          <cell r="D186">
            <v>152.25260868051714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830.55711423633738</v>
          </cell>
        </row>
        <row r="187">
          <cell r="A187">
            <v>170</v>
          </cell>
          <cell r="B187">
            <v>48366</v>
          </cell>
          <cell r="C187">
            <v>0</v>
          </cell>
          <cell r="D187">
            <v>152.25260868051714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830.55711423633738</v>
          </cell>
        </row>
        <row r="188">
          <cell r="A188">
            <v>171</v>
          </cell>
          <cell r="B188">
            <v>48396</v>
          </cell>
          <cell r="C188">
            <v>0</v>
          </cell>
          <cell r="D188">
            <v>152.25260868051714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830.55711423633738</v>
          </cell>
        </row>
        <row r="189">
          <cell r="A189">
            <v>172</v>
          </cell>
          <cell r="B189">
            <v>48427</v>
          </cell>
          <cell r="C189">
            <v>0</v>
          </cell>
          <cell r="D189">
            <v>152.25260868051714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830.55711423633738</v>
          </cell>
        </row>
        <row r="190">
          <cell r="A190">
            <v>173</v>
          </cell>
          <cell r="B190">
            <v>48458</v>
          </cell>
          <cell r="C190">
            <v>0</v>
          </cell>
          <cell r="D190">
            <v>152.25260868051714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830.55711423633738</v>
          </cell>
        </row>
        <row r="191">
          <cell r="A191">
            <v>174</v>
          </cell>
          <cell r="B191">
            <v>48488</v>
          </cell>
          <cell r="C191">
            <v>0</v>
          </cell>
          <cell r="D191">
            <v>152.25260868051714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830.55711423633738</v>
          </cell>
        </row>
        <row r="192">
          <cell r="A192">
            <v>175</v>
          </cell>
          <cell r="B192">
            <v>48519</v>
          </cell>
          <cell r="C192">
            <v>0</v>
          </cell>
          <cell r="D192">
            <v>152.25260868051714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830.55711423633738</v>
          </cell>
        </row>
        <row r="193">
          <cell r="A193">
            <v>176</v>
          </cell>
          <cell r="B193">
            <v>48549</v>
          </cell>
          <cell r="C193">
            <v>0</v>
          </cell>
          <cell r="D193">
            <v>152.25260868051714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830.55711423633738</v>
          </cell>
        </row>
        <row r="194">
          <cell r="A194">
            <v>177</v>
          </cell>
          <cell r="B194">
            <v>48580</v>
          </cell>
          <cell r="C194">
            <v>0</v>
          </cell>
          <cell r="D194">
            <v>152.25260868051714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830.55711423633738</v>
          </cell>
        </row>
        <row r="195">
          <cell r="A195">
            <v>178</v>
          </cell>
          <cell r="B195">
            <v>48611</v>
          </cell>
          <cell r="C195">
            <v>0</v>
          </cell>
          <cell r="D195">
            <v>152.25260868051714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830.55711423633738</v>
          </cell>
        </row>
        <row r="196">
          <cell r="A196">
            <v>179</v>
          </cell>
          <cell r="B196">
            <v>48639</v>
          </cell>
          <cell r="C196">
            <v>0</v>
          </cell>
          <cell r="D196">
            <v>152.25260868051714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830.55711423633738</v>
          </cell>
        </row>
        <row r="197">
          <cell r="A197">
            <v>180</v>
          </cell>
          <cell r="B197">
            <v>48670</v>
          </cell>
          <cell r="C197">
            <v>0</v>
          </cell>
          <cell r="D197">
            <v>152.25260868051714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830.55711423633738</v>
          </cell>
        </row>
        <row r="198">
          <cell r="A198">
            <v>181</v>
          </cell>
          <cell r="B198">
            <v>48700</v>
          </cell>
          <cell r="C198">
            <v>0</v>
          </cell>
          <cell r="D198">
            <v>152.25260868051714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830.55711423633738</v>
          </cell>
        </row>
        <row r="199">
          <cell r="A199">
            <v>182</v>
          </cell>
          <cell r="B199">
            <v>48731</v>
          </cell>
          <cell r="C199">
            <v>0</v>
          </cell>
          <cell r="D199">
            <v>152.25260868051714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830.55711423633738</v>
          </cell>
        </row>
        <row r="200">
          <cell r="A200">
            <v>183</v>
          </cell>
          <cell r="B200">
            <v>48761</v>
          </cell>
          <cell r="C200">
            <v>0</v>
          </cell>
          <cell r="D200">
            <v>152.25260868051714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830.55711423633738</v>
          </cell>
        </row>
        <row r="201">
          <cell r="A201">
            <v>184</v>
          </cell>
          <cell r="B201">
            <v>48792</v>
          </cell>
          <cell r="C201">
            <v>0</v>
          </cell>
          <cell r="D201">
            <v>152.25260868051714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830.55711423633738</v>
          </cell>
        </row>
        <row r="202">
          <cell r="A202">
            <v>185</v>
          </cell>
          <cell r="B202">
            <v>48823</v>
          </cell>
          <cell r="C202">
            <v>0</v>
          </cell>
          <cell r="D202">
            <v>152.25260868051714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830.55711423633738</v>
          </cell>
        </row>
        <row r="203">
          <cell r="A203">
            <v>186</v>
          </cell>
          <cell r="B203">
            <v>48853</v>
          </cell>
          <cell r="C203">
            <v>0</v>
          </cell>
          <cell r="D203">
            <v>152.25260868051714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830.55711423633738</v>
          </cell>
        </row>
        <row r="204">
          <cell r="A204">
            <v>187</v>
          </cell>
          <cell r="B204">
            <v>48884</v>
          </cell>
          <cell r="C204">
            <v>0</v>
          </cell>
          <cell r="D204">
            <v>152.25260868051714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830.55711423633738</v>
          </cell>
        </row>
        <row r="205">
          <cell r="A205">
            <v>188</v>
          </cell>
          <cell r="B205">
            <v>48914</v>
          </cell>
          <cell r="C205">
            <v>0</v>
          </cell>
          <cell r="D205">
            <v>152.25260868051714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830.55711423633738</v>
          </cell>
        </row>
        <row r="206">
          <cell r="A206">
            <v>189</v>
          </cell>
          <cell r="B206">
            <v>48945</v>
          </cell>
          <cell r="C206">
            <v>0</v>
          </cell>
          <cell r="D206">
            <v>152.25260868051714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830.55711423633738</v>
          </cell>
        </row>
        <row r="207">
          <cell r="A207">
            <v>190</v>
          </cell>
          <cell r="B207">
            <v>48976</v>
          </cell>
          <cell r="C207">
            <v>0</v>
          </cell>
          <cell r="D207">
            <v>152.25260868051714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830.55711423633738</v>
          </cell>
        </row>
        <row r="208">
          <cell r="A208">
            <v>191</v>
          </cell>
          <cell r="B208">
            <v>49004</v>
          </cell>
          <cell r="C208">
            <v>0</v>
          </cell>
          <cell r="D208">
            <v>152.25260868051714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830.55711423633738</v>
          </cell>
        </row>
        <row r="209">
          <cell r="A209">
            <v>192</v>
          </cell>
          <cell r="B209">
            <v>49035</v>
          </cell>
          <cell r="C209">
            <v>0</v>
          </cell>
          <cell r="D209">
            <v>152.25260868051714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830.55711423633738</v>
          </cell>
        </row>
        <row r="210">
          <cell r="A210">
            <v>193</v>
          </cell>
          <cell r="B210">
            <v>49065</v>
          </cell>
          <cell r="C210">
            <v>0</v>
          </cell>
          <cell r="D210">
            <v>152.25260868051714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830.55711423633738</v>
          </cell>
        </row>
        <row r="211">
          <cell r="A211">
            <v>194</v>
          </cell>
          <cell r="B211">
            <v>49096</v>
          </cell>
          <cell r="C211">
            <v>0</v>
          </cell>
          <cell r="D211">
            <v>152.25260868051714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830.55711423633738</v>
          </cell>
        </row>
        <row r="212">
          <cell r="A212">
            <v>195</v>
          </cell>
          <cell r="B212">
            <v>49126</v>
          </cell>
          <cell r="C212">
            <v>0</v>
          </cell>
          <cell r="D212">
            <v>152.25260868051714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830.55711423633738</v>
          </cell>
        </row>
        <row r="213">
          <cell r="A213">
            <v>196</v>
          </cell>
          <cell r="B213">
            <v>49157</v>
          </cell>
          <cell r="C213">
            <v>0</v>
          </cell>
          <cell r="D213">
            <v>152.25260868051714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830.55711423633738</v>
          </cell>
        </row>
        <row r="214">
          <cell r="A214">
            <v>197</v>
          </cell>
          <cell r="B214">
            <v>49188</v>
          </cell>
          <cell r="C214">
            <v>0</v>
          </cell>
          <cell r="D214">
            <v>152.25260868051714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830.55711423633738</v>
          </cell>
        </row>
        <row r="215">
          <cell r="A215">
            <v>198</v>
          </cell>
          <cell r="B215">
            <v>49218</v>
          </cell>
          <cell r="C215">
            <v>0</v>
          </cell>
          <cell r="D215">
            <v>152.25260868051714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830.55711423633738</v>
          </cell>
        </row>
        <row r="216">
          <cell r="A216">
            <v>199</v>
          </cell>
          <cell r="B216">
            <v>49249</v>
          </cell>
          <cell r="C216">
            <v>0</v>
          </cell>
          <cell r="D216">
            <v>152.25260868051714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830.55711423633738</v>
          </cell>
        </row>
        <row r="217">
          <cell r="A217">
            <v>200</v>
          </cell>
          <cell r="B217">
            <v>49279</v>
          </cell>
          <cell r="C217">
            <v>0</v>
          </cell>
          <cell r="D217">
            <v>152.25260868051714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830.55711423633738</v>
          </cell>
        </row>
        <row r="218">
          <cell r="A218">
            <v>201</v>
          </cell>
          <cell r="B218">
            <v>49310</v>
          </cell>
          <cell r="C218">
            <v>0</v>
          </cell>
          <cell r="D218">
            <v>152.25260868051714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830.55711423633738</v>
          </cell>
        </row>
        <row r="219">
          <cell r="A219">
            <v>202</v>
          </cell>
          <cell r="B219">
            <v>49341</v>
          </cell>
          <cell r="C219">
            <v>0</v>
          </cell>
          <cell r="D219">
            <v>152.25260868051714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830.55711423633738</v>
          </cell>
        </row>
        <row r="220">
          <cell r="A220">
            <v>203</v>
          </cell>
          <cell r="B220">
            <v>49369</v>
          </cell>
          <cell r="C220">
            <v>0</v>
          </cell>
          <cell r="D220">
            <v>152.25260868051714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830.55711423633738</v>
          </cell>
        </row>
        <row r="221">
          <cell r="A221">
            <v>204</v>
          </cell>
          <cell r="B221">
            <v>49400</v>
          </cell>
          <cell r="C221">
            <v>0</v>
          </cell>
          <cell r="D221">
            <v>152.25260868051714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830.55711423633738</v>
          </cell>
        </row>
        <row r="222">
          <cell r="A222">
            <v>205</v>
          </cell>
          <cell r="B222">
            <v>49430</v>
          </cell>
          <cell r="C222">
            <v>0</v>
          </cell>
          <cell r="D222">
            <v>152.25260868051714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830.55711423633738</v>
          </cell>
        </row>
        <row r="223">
          <cell r="A223">
            <v>206</v>
          </cell>
          <cell r="B223">
            <v>49461</v>
          </cell>
          <cell r="C223">
            <v>0</v>
          </cell>
          <cell r="D223">
            <v>152.25260868051714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830.55711423633738</v>
          </cell>
        </row>
        <row r="224">
          <cell r="A224">
            <v>207</v>
          </cell>
          <cell r="B224">
            <v>49491</v>
          </cell>
          <cell r="C224">
            <v>0</v>
          </cell>
          <cell r="D224">
            <v>152.25260868051714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830.55711423633738</v>
          </cell>
        </row>
        <row r="225">
          <cell r="A225">
            <v>208</v>
          </cell>
          <cell r="B225">
            <v>49522</v>
          </cell>
          <cell r="C225">
            <v>0</v>
          </cell>
          <cell r="D225">
            <v>152.25260868051714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830.55711423633738</v>
          </cell>
        </row>
        <row r="226">
          <cell r="A226">
            <v>209</v>
          </cell>
          <cell r="B226">
            <v>49553</v>
          </cell>
          <cell r="C226">
            <v>0</v>
          </cell>
          <cell r="D226">
            <v>152.25260868051714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830.55711423633738</v>
          </cell>
        </row>
        <row r="227">
          <cell r="A227">
            <v>210</v>
          </cell>
          <cell r="B227">
            <v>49583</v>
          </cell>
          <cell r="C227">
            <v>0</v>
          </cell>
          <cell r="D227">
            <v>152.25260868051714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830.55711423633738</v>
          </cell>
        </row>
        <row r="228">
          <cell r="A228">
            <v>211</v>
          </cell>
          <cell r="B228">
            <v>49614</v>
          </cell>
          <cell r="C228">
            <v>0</v>
          </cell>
          <cell r="D228">
            <v>152.25260868051714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830.55711423633738</v>
          </cell>
        </row>
        <row r="229">
          <cell r="A229">
            <v>212</v>
          </cell>
          <cell r="B229">
            <v>49644</v>
          </cell>
          <cell r="C229">
            <v>0</v>
          </cell>
          <cell r="D229">
            <v>152.25260868051714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830.55711423633738</v>
          </cell>
        </row>
        <row r="230">
          <cell r="A230">
            <v>213</v>
          </cell>
          <cell r="B230">
            <v>49675</v>
          </cell>
          <cell r="C230">
            <v>0</v>
          </cell>
          <cell r="D230">
            <v>152.25260868051714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830.55711423633738</v>
          </cell>
        </row>
        <row r="231">
          <cell r="A231">
            <v>214</v>
          </cell>
          <cell r="B231">
            <v>49706</v>
          </cell>
          <cell r="C231">
            <v>0</v>
          </cell>
          <cell r="D231">
            <v>152.25260868051714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830.55711423633738</v>
          </cell>
        </row>
        <row r="232">
          <cell r="A232">
            <v>215</v>
          </cell>
          <cell r="B232">
            <v>49735</v>
          </cell>
          <cell r="C232">
            <v>0</v>
          </cell>
          <cell r="D232">
            <v>152.25260868051714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830.55711423633738</v>
          </cell>
        </row>
        <row r="233">
          <cell r="A233">
            <v>216</v>
          </cell>
          <cell r="B233">
            <v>49766</v>
          </cell>
          <cell r="C233">
            <v>0</v>
          </cell>
          <cell r="D233">
            <v>152.25260868051714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830.55711423633738</v>
          </cell>
        </row>
        <row r="234">
          <cell r="A234">
            <v>217</v>
          </cell>
          <cell r="B234">
            <v>49796</v>
          </cell>
          <cell r="C234">
            <v>0</v>
          </cell>
          <cell r="D234">
            <v>152.25260868051714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830.55711423633738</v>
          </cell>
        </row>
        <row r="235">
          <cell r="A235">
            <v>218</v>
          </cell>
          <cell r="B235">
            <v>49827</v>
          </cell>
          <cell r="C235">
            <v>0</v>
          </cell>
          <cell r="D235">
            <v>152.25260868051714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830.55711423633738</v>
          </cell>
        </row>
        <row r="236">
          <cell r="A236">
            <v>219</v>
          </cell>
          <cell r="B236">
            <v>49857</v>
          </cell>
          <cell r="C236">
            <v>0</v>
          </cell>
          <cell r="D236">
            <v>152.25260868051714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830.55711423633738</v>
          </cell>
        </row>
        <row r="237">
          <cell r="A237">
            <v>220</v>
          </cell>
          <cell r="B237">
            <v>49888</v>
          </cell>
          <cell r="C237">
            <v>0</v>
          </cell>
          <cell r="D237">
            <v>152.25260868051714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830.55711423633738</v>
          </cell>
        </row>
        <row r="238">
          <cell r="A238">
            <v>221</v>
          </cell>
          <cell r="B238">
            <v>49919</v>
          </cell>
          <cell r="C238">
            <v>0</v>
          </cell>
          <cell r="D238">
            <v>152.25260868051714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830.55711423633738</v>
          </cell>
        </row>
        <row r="239">
          <cell r="A239">
            <v>222</v>
          </cell>
          <cell r="B239">
            <v>49949</v>
          </cell>
          <cell r="C239">
            <v>0</v>
          </cell>
          <cell r="D239">
            <v>152.25260868051714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830.55711423633738</v>
          </cell>
        </row>
        <row r="240">
          <cell r="A240">
            <v>223</v>
          </cell>
          <cell r="B240">
            <v>49980</v>
          </cell>
          <cell r="C240">
            <v>0</v>
          </cell>
          <cell r="D240">
            <v>152.25260868051714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830.55711423633738</v>
          </cell>
        </row>
        <row r="241">
          <cell r="A241">
            <v>224</v>
          </cell>
          <cell r="B241">
            <v>50010</v>
          </cell>
          <cell r="C241">
            <v>0</v>
          </cell>
          <cell r="D241">
            <v>152.25260868051714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830.55711423633738</v>
          </cell>
        </row>
        <row r="242">
          <cell r="A242">
            <v>225</v>
          </cell>
          <cell r="B242">
            <v>50041</v>
          </cell>
          <cell r="C242">
            <v>0</v>
          </cell>
          <cell r="D242">
            <v>152.25260868051714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830.55711423633738</v>
          </cell>
        </row>
        <row r="243">
          <cell r="A243">
            <v>226</v>
          </cell>
          <cell r="B243">
            <v>50072</v>
          </cell>
          <cell r="C243">
            <v>0</v>
          </cell>
          <cell r="D243">
            <v>152.25260868051714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830.55711423633738</v>
          </cell>
        </row>
        <row r="244">
          <cell r="A244">
            <v>227</v>
          </cell>
          <cell r="B244">
            <v>50100</v>
          </cell>
          <cell r="C244">
            <v>0</v>
          </cell>
          <cell r="D244">
            <v>152.25260868051714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830.55711423633738</v>
          </cell>
        </row>
        <row r="245">
          <cell r="A245">
            <v>228</v>
          </cell>
          <cell r="B245">
            <v>50131</v>
          </cell>
          <cell r="C245">
            <v>0</v>
          </cell>
          <cell r="D245">
            <v>152.25260868051714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830.55711423633738</v>
          </cell>
        </row>
        <row r="246">
          <cell r="A246">
            <v>229</v>
          </cell>
          <cell r="B246">
            <v>50161</v>
          </cell>
          <cell r="C246">
            <v>0</v>
          </cell>
          <cell r="D246">
            <v>152.25260868051714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830.55711423633738</v>
          </cell>
        </row>
        <row r="247">
          <cell r="A247">
            <v>230</v>
          </cell>
          <cell r="B247">
            <v>50192</v>
          </cell>
          <cell r="C247">
            <v>0</v>
          </cell>
          <cell r="D247">
            <v>152.25260868051714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830.55711423633738</v>
          </cell>
        </row>
        <row r="248">
          <cell r="A248">
            <v>231</v>
          </cell>
          <cell r="B248">
            <v>50222</v>
          </cell>
          <cell r="C248">
            <v>0</v>
          </cell>
          <cell r="D248">
            <v>152.25260868051714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830.55711423633738</v>
          </cell>
        </row>
        <row r="249">
          <cell r="A249">
            <v>232</v>
          </cell>
          <cell r="B249">
            <v>50253</v>
          </cell>
          <cell r="C249">
            <v>0</v>
          </cell>
          <cell r="D249">
            <v>152.25260868051714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830.55711423633738</v>
          </cell>
        </row>
        <row r="250">
          <cell r="A250">
            <v>233</v>
          </cell>
          <cell r="B250">
            <v>50284</v>
          </cell>
          <cell r="C250">
            <v>0</v>
          </cell>
          <cell r="D250">
            <v>152.25260868051714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830.55711423633738</v>
          </cell>
        </row>
        <row r="251">
          <cell r="A251">
            <v>234</v>
          </cell>
          <cell r="B251">
            <v>50314</v>
          </cell>
          <cell r="C251">
            <v>0</v>
          </cell>
          <cell r="D251">
            <v>152.25260868051714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830.55711423633738</v>
          </cell>
        </row>
        <row r="252">
          <cell r="A252">
            <v>235</v>
          </cell>
          <cell r="B252">
            <v>50345</v>
          </cell>
          <cell r="C252">
            <v>0</v>
          </cell>
          <cell r="D252">
            <v>152.25260868051714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830.55711423633738</v>
          </cell>
        </row>
        <row r="253">
          <cell r="A253">
            <v>236</v>
          </cell>
          <cell r="B253">
            <v>50375</v>
          </cell>
          <cell r="C253">
            <v>0</v>
          </cell>
          <cell r="D253">
            <v>152.25260868051714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830.55711423633738</v>
          </cell>
        </row>
        <row r="254">
          <cell r="A254">
            <v>237</v>
          </cell>
          <cell r="B254">
            <v>50406</v>
          </cell>
          <cell r="C254">
            <v>0</v>
          </cell>
          <cell r="D254">
            <v>152.25260868051714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830.55711423633738</v>
          </cell>
        </row>
        <row r="255">
          <cell r="A255">
            <v>238</v>
          </cell>
          <cell r="B255">
            <v>50437</v>
          </cell>
          <cell r="C255">
            <v>0</v>
          </cell>
          <cell r="D255">
            <v>152.25260868051714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830.55711423633738</v>
          </cell>
        </row>
        <row r="256">
          <cell r="A256">
            <v>239</v>
          </cell>
          <cell r="B256">
            <v>50465</v>
          </cell>
          <cell r="C256">
            <v>0</v>
          </cell>
          <cell r="D256">
            <v>152.25260868051714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830.55711423633738</v>
          </cell>
        </row>
        <row r="257">
          <cell r="A257">
            <v>240</v>
          </cell>
          <cell r="B257">
            <v>50496</v>
          </cell>
          <cell r="C257">
            <v>0</v>
          </cell>
          <cell r="D257">
            <v>152.25260868051714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830.55711423633738</v>
          </cell>
        </row>
        <row r="258">
          <cell r="A258">
            <v>241</v>
          </cell>
          <cell r="B258">
            <v>50526</v>
          </cell>
          <cell r="C258">
            <v>0</v>
          </cell>
          <cell r="D258">
            <v>152.25260868051714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830.55711423633738</v>
          </cell>
        </row>
        <row r="259">
          <cell r="A259">
            <v>242</v>
          </cell>
          <cell r="B259">
            <v>50557</v>
          </cell>
          <cell r="C259">
            <v>0</v>
          </cell>
          <cell r="D259">
            <v>152.25260868051714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830.55711423633738</v>
          </cell>
        </row>
        <row r="260">
          <cell r="A260">
            <v>243</v>
          </cell>
          <cell r="B260">
            <v>50587</v>
          </cell>
          <cell r="C260">
            <v>0</v>
          </cell>
          <cell r="D260">
            <v>152.25260868051714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830.55711423633738</v>
          </cell>
        </row>
        <row r="261">
          <cell r="A261">
            <v>244</v>
          </cell>
          <cell r="B261">
            <v>50618</v>
          </cell>
          <cell r="C261">
            <v>0</v>
          </cell>
          <cell r="D261">
            <v>152.25260868051714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830.55711423633738</v>
          </cell>
        </row>
        <row r="262">
          <cell r="A262">
            <v>245</v>
          </cell>
          <cell r="B262">
            <v>50649</v>
          </cell>
          <cell r="C262">
            <v>0</v>
          </cell>
          <cell r="D262">
            <v>152.25260868051714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830.55711423633738</v>
          </cell>
        </row>
        <row r="263">
          <cell r="A263">
            <v>246</v>
          </cell>
          <cell r="B263">
            <v>50679</v>
          </cell>
          <cell r="C263">
            <v>0</v>
          </cell>
          <cell r="D263">
            <v>152.25260868051714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830.55711423633738</v>
          </cell>
        </row>
        <row r="264">
          <cell r="A264">
            <v>247</v>
          </cell>
          <cell r="B264">
            <v>50710</v>
          </cell>
          <cell r="C264">
            <v>0</v>
          </cell>
          <cell r="D264">
            <v>152.25260868051714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830.55711423633738</v>
          </cell>
        </row>
        <row r="265">
          <cell r="A265">
            <v>248</v>
          </cell>
          <cell r="B265">
            <v>50740</v>
          </cell>
          <cell r="C265">
            <v>0</v>
          </cell>
          <cell r="D265">
            <v>152.25260868051714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830.55711423633738</v>
          </cell>
        </row>
        <row r="266">
          <cell r="A266">
            <v>249</v>
          </cell>
          <cell r="B266">
            <v>50771</v>
          </cell>
          <cell r="C266">
            <v>0</v>
          </cell>
          <cell r="D266">
            <v>152.25260868051714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830.55711423633738</v>
          </cell>
        </row>
        <row r="267">
          <cell r="A267">
            <v>250</v>
          </cell>
          <cell r="B267">
            <v>50802</v>
          </cell>
          <cell r="C267">
            <v>0</v>
          </cell>
          <cell r="D267">
            <v>152.25260868051714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830.55711423633738</v>
          </cell>
        </row>
        <row r="268">
          <cell r="A268">
            <v>251</v>
          </cell>
          <cell r="B268">
            <v>50830</v>
          </cell>
          <cell r="C268">
            <v>0</v>
          </cell>
          <cell r="D268">
            <v>152.25260868051714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830.55711423633738</v>
          </cell>
        </row>
        <row r="269">
          <cell r="A269">
            <v>252</v>
          </cell>
          <cell r="B269">
            <v>50861</v>
          </cell>
          <cell r="C269">
            <v>0</v>
          </cell>
          <cell r="D269">
            <v>152.25260868051714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830.55711423633738</v>
          </cell>
        </row>
        <row r="270">
          <cell r="A270">
            <v>253</v>
          </cell>
          <cell r="B270">
            <v>50891</v>
          </cell>
          <cell r="C270">
            <v>0</v>
          </cell>
          <cell r="D270">
            <v>152.25260868051714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830.55711423633738</v>
          </cell>
        </row>
        <row r="271">
          <cell r="A271">
            <v>254</v>
          </cell>
          <cell r="B271">
            <v>50922</v>
          </cell>
          <cell r="C271">
            <v>0</v>
          </cell>
          <cell r="D271">
            <v>152.25260868051714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830.55711423633738</v>
          </cell>
        </row>
        <row r="272">
          <cell r="A272">
            <v>255</v>
          </cell>
          <cell r="B272">
            <v>50952</v>
          </cell>
          <cell r="C272">
            <v>0</v>
          </cell>
          <cell r="D272">
            <v>152.25260868051714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830.55711423633738</v>
          </cell>
        </row>
        <row r="273">
          <cell r="A273">
            <v>256</v>
          </cell>
          <cell r="B273">
            <v>50983</v>
          </cell>
          <cell r="C273">
            <v>0</v>
          </cell>
          <cell r="D273">
            <v>152.25260868051714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830.55711423633738</v>
          </cell>
        </row>
        <row r="274">
          <cell r="A274">
            <v>257</v>
          </cell>
          <cell r="B274">
            <v>51014</v>
          </cell>
          <cell r="C274">
            <v>0</v>
          </cell>
          <cell r="D274">
            <v>152.25260868051714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830.55711423633738</v>
          </cell>
        </row>
        <row r="275">
          <cell r="A275">
            <v>258</v>
          </cell>
          <cell r="B275">
            <v>51044</v>
          </cell>
          <cell r="C275">
            <v>0</v>
          </cell>
          <cell r="D275">
            <v>152.25260868051714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830.55711423633738</v>
          </cell>
        </row>
        <row r="276">
          <cell r="A276">
            <v>259</v>
          </cell>
          <cell r="B276">
            <v>51075</v>
          </cell>
          <cell r="C276">
            <v>0</v>
          </cell>
          <cell r="D276">
            <v>152.25260868051714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830.55711423633738</v>
          </cell>
        </row>
        <row r="277">
          <cell r="A277">
            <v>260</v>
          </cell>
          <cell r="B277">
            <v>51105</v>
          </cell>
          <cell r="C277">
            <v>0</v>
          </cell>
          <cell r="D277">
            <v>152.25260868051714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830.55711423633738</v>
          </cell>
        </row>
        <row r="278">
          <cell r="A278">
            <v>261</v>
          </cell>
          <cell r="B278">
            <v>51136</v>
          </cell>
          <cell r="C278">
            <v>0</v>
          </cell>
          <cell r="D278">
            <v>152.25260868051714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830.55711423633738</v>
          </cell>
        </row>
        <row r="279">
          <cell r="A279">
            <v>262</v>
          </cell>
          <cell r="B279">
            <v>51167</v>
          </cell>
          <cell r="C279">
            <v>0</v>
          </cell>
          <cell r="D279">
            <v>152.25260868051714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830.55711423633738</v>
          </cell>
        </row>
        <row r="280">
          <cell r="A280">
            <v>263</v>
          </cell>
          <cell r="B280">
            <v>51196</v>
          </cell>
          <cell r="C280">
            <v>0</v>
          </cell>
          <cell r="D280">
            <v>152.25260868051714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830.55711423633738</v>
          </cell>
        </row>
        <row r="281">
          <cell r="A281">
            <v>264</v>
          </cell>
          <cell r="B281">
            <v>51227</v>
          </cell>
          <cell r="C281">
            <v>0</v>
          </cell>
          <cell r="D281">
            <v>152.25260868051714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830.55711423633738</v>
          </cell>
        </row>
        <row r="282">
          <cell r="A282">
            <v>265</v>
          </cell>
          <cell r="B282">
            <v>51257</v>
          </cell>
          <cell r="C282">
            <v>0</v>
          </cell>
          <cell r="D282">
            <v>152.25260868051714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830.55711423633738</v>
          </cell>
        </row>
        <row r="283">
          <cell r="A283">
            <v>266</v>
          </cell>
          <cell r="B283">
            <v>51288</v>
          </cell>
          <cell r="C283">
            <v>0</v>
          </cell>
          <cell r="D283">
            <v>152.25260868051714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830.55711423633738</v>
          </cell>
        </row>
        <row r="284">
          <cell r="A284">
            <v>267</v>
          </cell>
          <cell r="B284">
            <v>51318</v>
          </cell>
          <cell r="C284">
            <v>0</v>
          </cell>
          <cell r="D284">
            <v>152.25260868051714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830.55711423633738</v>
          </cell>
        </row>
        <row r="285">
          <cell r="A285">
            <v>268</v>
          </cell>
          <cell r="B285">
            <v>51349</v>
          </cell>
          <cell r="C285">
            <v>0</v>
          </cell>
          <cell r="D285">
            <v>152.25260868051714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830.55711423633738</v>
          </cell>
        </row>
        <row r="286">
          <cell r="A286">
            <v>269</v>
          </cell>
          <cell r="B286">
            <v>51380</v>
          </cell>
          <cell r="C286">
            <v>0</v>
          </cell>
          <cell r="D286">
            <v>152.25260868051714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830.55711423633738</v>
          </cell>
        </row>
        <row r="287">
          <cell r="A287">
            <v>270</v>
          </cell>
          <cell r="B287">
            <v>51410</v>
          </cell>
          <cell r="C287">
            <v>0</v>
          </cell>
          <cell r="D287">
            <v>152.25260868051714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830.55711423633738</v>
          </cell>
        </row>
        <row r="288">
          <cell r="A288">
            <v>271</v>
          </cell>
          <cell r="B288">
            <v>51441</v>
          </cell>
          <cell r="C288">
            <v>0</v>
          </cell>
          <cell r="D288">
            <v>152.25260868051714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830.55711423633738</v>
          </cell>
        </row>
        <row r="289">
          <cell r="A289">
            <v>272</v>
          </cell>
          <cell r="B289">
            <v>51471</v>
          </cell>
          <cell r="C289">
            <v>0</v>
          </cell>
          <cell r="D289">
            <v>152.25260868051714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830.55711423633738</v>
          </cell>
        </row>
        <row r="290">
          <cell r="A290">
            <v>273</v>
          </cell>
          <cell r="B290">
            <v>51502</v>
          </cell>
          <cell r="C290">
            <v>0</v>
          </cell>
          <cell r="D290">
            <v>152.25260868051714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830.55711423633738</v>
          </cell>
        </row>
        <row r="291">
          <cell r="A291">
            <v>274</v>
          </cell>
          <cell r="B291">
            <v>51533</v>
          </cell>
          <cell r="C291">
            <v>0</v>
          </cell>
          <cell r="D291">
            <v>152.25260868051714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830.55711423633738</v>
          </cell>
        </row>
        <row r="292">
          <cell r="A292">
            <v>275</v>
          </cell>
          <cell r="B292">
            <v>51561</v>
          </cell>
          <cell r="C292">
            <v>0</v>
          </cell>
          <cell r="D292">
            <v>152.25260868051714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830.55711423633738</v>
          </cell>
        </row>
        <row r="293">
          <cell r="A293">
            <v>276</v>
          </cell>
          <cell r="B293">
            <v>51592</v>
          </cell>
          <cell r="C293">
            <v>0</v>
          </cell>
          <cell r="D293">
            <v>152.25260868051714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830.55711423633738</v>
          </cell>
        </row>
        <row r="294">
          <cell r="A294">
            <v>277</v>
          </cell>
          <cell r="B294">
            <v>51622</v>
          </cell>
          <cell r="C294">
            <v>0</v>
          </cell>
          <cell r="D294">
            <v>152.25260868051714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830.55711423633738</v>
          </cell>
        </row>
        <row r="295">
          <cell r="A295">
            <v>278</v>
          </cell>
          <cell r="B295">
            <v>51653</v>
          </cell>
          <cell r="C295">
            <v>0</v>
          </cell>
          <cell r="D295">
            <v>152.25260868051714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830.55711423633738</v>
          </cell>
        </row>
        <row r="296">
          <cell r="A296">
            <v>279</v>
          </cell>
          <cell r="B296">
            <v>51683</v>
          </cell>
          <cell r="C296">
            <v>0</v>
          </cell>
          <cell r="D296">
            <v>152.25260868051714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830.55711423633738</v>
          </cell>
        </row>
        <row r="297">
          <cell r="A297">
            <v>280</v>
          </cell>
          <cell r="B297">
            <v>51714</v>
          </cell>
          <cell r="C297">
            <v>0</v>
          </cell>
          <cell r="D297">
            <v>152.25260868051714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830.55711423633738</v>
          </cell>
        </row>
        <row r="298">
          <cell r="A298">
            <v>281</v>
          </cell>
          <cell r="B298">
            <v>51745</v>
          </cell>
          <cell r="C298">
            <v>0</v>
          </cell>
          <cell r="D298">
            <v>152.25260868051714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830.55711423633738</v>
          </cell>
        </row>
        <row r="299">
          <cell r="A299">
            <v>282</v>
          </cell>
          <cell r="B299">
            <v>51775</v>
          </cell>
          <cell r="C299">
            <v>0</v>
          </cell>
          <cell r="D299">
            <v>152.25260868051714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830.55711423633738</v>
          </cell>
        </row>
        <row r="300">
          <cell r="A300">
            <v>283</v>
          </cell>
          <cell r="B300">
            <v>51806</v>
          </cell>
          <cell r="C300">
            <v>0</v>
          </cell>
          <cell r="D300">
            <v>152.25260868051714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830.55711423633738</v>
          </cell>
        </row>
        <row r="301">
          <cell r="A301">
            <v>284</v>
          </cell>
          <cell r="B301">
            <v>51836</v>
          </cell>
          <cell r="C301">
            <v>0</v>
          </cell>
          <cell r="D301">
            <v>152.25260868051714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830.55711423633738</v>
          </cell>
        </row>
        <row r="302">
          <cell r="A302">
            <v>285</v>
          </cell>
          <cell r="B302">
            <v>51867</v>
          </cell>
          <cell r="C302">
            <v>0</v>
          </cell>
          <cell r="D302">
            <v>152.25260868051714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830.55711423633738</v>
          </cell>
        </row>
        <row r="303">
          <cell r="A303">
            <v>286</v>
          </cell>
          <cell r="B303">
            <v>51898</v>
          </cell>
          <cell r="C303">
            <v>0</v>
          </cell>
          <cell r="D303">
            <v>152.25260868051714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830.55711423633738</v>
          </cell>
        </row>
        <row r="304">
          <cell r="A304">
            <v>287</v>
          </cell>
          <cell r="B304">
            <v>51926</v>
          </cell>
          <cell r="C304">
            <v>0</v>
          </cell>
          <cell r="D304">
            <v>152.25260868051714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830.55711423633738</v>
          </cell>
        </row>
        <row r="305">
          <cell r="A305">
            <v>288</v>
          </cell>
          <cell r="B305">
            <v>51957</v>
          </cell>
          <cell r="C305">
            <v>0</v>
          </cell>
          <cell r="D305">
            <v>152.25260868051714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830.55711423633738</v>
          </cell>
        </row>
        <row r="306">
          <cell r="A306">
            <v>289</v>
          </cell>
          <cell r="B306">
            <v>51987</v>
          </cell>
          <cell r="C306">
            <v>0</v>
          </cell>
          <cell r="D306">
            <v>152.25260868051714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830.55711423633738</v>
          </cell>
        </row>
        <row r="307">
          <cell r="A307">
            <v>290</v>
          </cell>
          <cell r="B307">
            <v>52018</v>
          </cell>
          <cell r="C307">
            <v>0</v>
          </cell>
          <cell r="D307">
            <v>152.25260868051714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830.55711423633738</v>
          </cell>
        </row>
        <row r="308">
          <cell r="A308">
            <v>291</v>
          </cell>
          <cell r="B308">
            <v>52048</v>
          </cell>
          <cell r="C308">
            <v>0</v>
          </cell>
          <cell r="D308">
            <v>152.25260868051714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830.55711423633738</v>
          </cell>
        </row>
        <row r="309">
          <cell r="A309">
            <v>292</v>
          </cell>
          <cell r="B309">
            <v>52079</v>
          </cell>
          <cell r="C309">
            <v>0</v>
          </cell>
          <cell r="D309">
            <v>152.25260868051714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830.55711423633738</v>
          </cell>
        </row>
        <row r="310">
          <cell r="A310">
            <v>293</v>
          </cell>
          <cell r="B310">
            <v>52110</v>
          </cell>
          <cell r="C310">
            <v>0</v>
          </cell>
          <cell r="D310">
            <v>152.25260868051714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830.55711423633738</v>
          </cell>
        </row>
        <row r="311">
          <cell r="A311">
            <v>294</v>
          </cell>
          <cell r="B311">
            <v>52140</v>
          </cell>
          <cell r="C311">
            <v>0</v>
          </cell>
          <cell r="D311">
            <v>152.25260868051714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830.55711423633738</v>
          </cell>
        </row>
        <row r="312">
          <cell r="A312">
            <v>295</v>
          </cell>
          <cell r="B312">
            <v>52171</v>
          </cell>
          <cell r="C312">
            <v>0</v>
          </cell>
          <cell r="D312">
            <v>152.25260868051714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830.55711423633738</v>
          </cell>
        </row>
        <row r="313">
          <cell r="A313">
            <v>296</v>
          </cell>
          <cell r="B313">
            <v>52201</v>
          </cell>
          <cell r="C313">
            <v>0</v>
          </cell>
          <cell r="D313">
            <v>152.25260868051714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830.55711423633738</v>
          </cell>
        </row>
        <row r="314">
          <cell r="A314">
            <v>297</v>
          </cell>
          <cell r="B314">
            <v>52232</v>
          </cell>
          <cell r="C314">
            <v>0</v>
          </cell>
          <cell r="D314">
            <v>152.25260868051714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830.55711423633738</v>
          </cell>
        </row>
        <row r="315">
          <cell r="A315">
            <v>298</v>
          </cell>
          <cell r="B315">
            <v>52263</v>
          </cell>
          <cell r="C315">
            <v>0</v>
          </cell>
          <cell r="D315">
            <v>152.25260868051714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830.55711423633738</v>
          </cell>
        </row>
        <row r="316">
          <cell r="A316">
            <v>299</v>
          </cell>
          <cell r="B316">
            <v>52291</v>
          </cell>
          <cell r="C316">
            <v>0</v>
          </cell>
          <cell r="D316">
            <v>152.25260868051714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830.55711423633738</v>
          </cell>
        </row>
        <row r="317">
          <cell r="A317">
            <v>300</v>
          </cell>
          <cell r="B317">
            <v>52322</v>
          </cell>
          <cell r="C317">
            <v>0</v>
          </cell>
          <cell r="D317">
            <v>152.25260868051714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830.55711423633738</v>
          </cell>
        </row>
        <row r="318">
          <cell r="A318">
            <v>301</v>
          </cell>
          <cell r="B318">
            <v>52352</v>
          </cell>
          <cell r="C318">
            <v>0</v>
          </cell>
          <cell r="D318">
            <v>152.25260868051714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830.55711423633738</v>
          </cell>
        </row>
        <row r="319">
          <cell r="A319">
            <v>302</v>
          </cell>
          <cell r="B319">
            <v>52383</v>
          </cell>
          <cell r="C319">
            <v>0</v>
          </cell>
          <cell r="D319">
            <v>152.25260868051714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830.55711423633738</v>
          </cell>
        </row>
        <row r="320">
          <cell r="A320">
            <v>303</v>
          </cell>
          <cell r="B320">
            <v>52413</v>
          </cell>
          <cell r="C320">
            <v>0</v>
          </cell>
          <cell r="D320">
            <v>152.25260868051714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830.55711423633738</v>
          </cell>
        </row>
        <row r="321">
          <cell r="A321">
            <v>304</v>
          </cell>
          <cell r="B321">
            <v>52444</v>
          </cell>
          <cell r="C321">
            <v>0</v>
          </cell>
          <cell r="D321">
            <v>152.25260868051714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830.55711423633738</v>
          </cell>
        </row>
        <row r="322">
          <cell r="A322">
            <v>305</v>
          </cell>
          <cell r="B322">
            <v>52475</v>
          </cell>
          <cell r="C322">
            <v>0</v>
          </cell>
          <cell r="D322">
            <v>152.25260868051714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830.55711423633738</v>
          </cell>
        </row>
        <row r="323">
          <cell r="A323">
            <v>306</v>
          </cell>
          <cell r="B323">
            <v>52505</v>
          </cell>
          <cell r="C323">
            <v>0</v>
          </cell>
          <cell r="D323">
            <v>152.25260868051714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830.55711423633738</v>
          </cell>
        </row>
        <row r="324">
          <cell r="A324">
            <v>307</v>
          </cell>
          <cell r="B324">
            <v>52536</v>
          </cell>
          <cell r="C324">
            <v>0</v>
          </cell>
          <cell r="D324">
            <v>152.25260868051714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830.55711423633738</v>
          </cell>
        </row>
        <row r="325">
          <cell r="A325">
            <v>308</v>
          </cell>
          <cell r="B325">
            <v>52566</v>
          </cell>
          <cell r="C325">
            <v>0</v>
          </cell>
          <cell r="D325">
            <v>152.25260868051714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830.55711423633738</v>
          </cell>
        </row>
        <row r="326">
          <cell r="A326">
            <v>309</v>
          </cell>
          <cell r="B326">
            <v>52597</v>
          </cell>
          <cell r="C326">
            <v>0</v>
          </cell>
          <cell r="D326">
            <v>152.25260868051714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830.55711423633738</v>
          </cell>
        </row>
        <row r="327">
          <cell r="A327">
            <v>310</v>
          </cell>
          <cell r="B327">
            <v>52628</v>
          </cell>
          <cell r="C327">
            <v>0</v>
          </cell>
          <cell r="D327">
            <v>152.25260868051714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830.55711423633738</v>
          </cell>
        </row>
        <row r="328">
          <cell r="A328">
            <v>311</v>
          </cell>
          <cell r="B328">
            <v>52657</v>
          </cell>
          <cell r="C328">
            <v>0</v>
          </cell>
          <cell r="D328">
            <v>152.25260868051714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830.55711423633738</v>
          </cell>
        </row>
        <row r="329">
          <cell r="A329">
            <v>312</v>
          </cell>
          <cell r="B329">
            <v>52688</v>
          </cell>
          <cell r="C329">
            <v>0</v>
          </cell>
          <cell r="D329">
            <v>152.25260868051714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830.55711423633738</v>
          </cell>
        </row>
        <row r="330">
          <cell r="A330">
            <v>313</v>
          </cell>
          <cell r="B330">
            <v>52718</v>
          </cell>
          <cell r="C330">
            <v>0</v>
          </cell>
          <cell r="D330">
            <v>152.25260868051714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830.55711423633738</v>
          </cell>
        </row>
        <row r="331">
          <cell r="A331">
            <v>314</v>
          </cell>
          <cell r="B331">
            <v>52749</v>
          </cell>
          <cell r="C331">
            <v>0</v>
          </cell>
          <cell r="D331">
            <v>152.25260868051714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830.55711423633738</v>
          </cell>
        </row>
        <row r="332">
          <cell r="A332">
            <v>315</v>
          </cell>
          <cell r="B332">
            <v>52779</v>
          </cell>
          <cell r="C332">
            <v>0</v>
          </cell>
          <cell r="D332">
            <v>152.25260868051714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830.55711423633738</v>
          </cell>
        </row>
        <row r="333">
          <cell r="A333">
            <v>316</v>
          </cell>
          <cell r="B333">
            <v>52810</v>
          </cell>
          <cell r="C333">
            <v>0</v>
          </cell>
          <cell r="D333">
            <v>152.25260868051714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830.55711423633738</v>
          </cell>
        </row>
        <row r="334">
          <cell r="A334">
            <v>317</v>
          </cell>
          <cell r="B334">
            <v>52841</v>
          </cell>
          <cell r="C334">
            <v>0</v>
          </cell>
          <cell r="D334">
            <v>152.25260868051714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830.55711423633738</v>
          </cell>
        </row>
        <row r="335">
          <cell r="A335">
            <v>318</v>
          </cell>
          <cell r="B335">
            <v>52871</v>
          </cell>
          <cell r="C335">
            <v>0</v>
          </cell>
          <cell r="D335">
            <v>152.25260868051714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830.55711423633738</v>
          </cell>
        </row>
        <row r="336">
          <cell r="A336">
            <v>319</v>
          </cell>
          <cell r="B336">
            <v>52902</v>
          </cell>
          <cell r="C336">
            <v>0</v>
          </cell>
          <cell r="D336">
            <v>152.25260868051714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830.55711423633738</v>
          </cell>
        </row>
        <row r="337">
          <cell r="A337">
            <v>320</v>
          </cell>
          <cell r="B337">
            <v>52932</v>
          </cell>
          <cell r="C337">
            <v>0</v>
          </cell>
          <cell r="D337">
            <v>152.25260868051714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830.55711423633738</v>
          </cell>
        </row>
        <row r="338">
          <cell r="A338">
            <v>321</v>
          </cell>
          <cell r="B338">
            <v>52963</v>
          </cell>
          <cell r="C338">
            <v>0</v>
          </cell>
          <cell r="D338">
            <v>152.25260868051714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830.55711423633738</v>
          </cell>
        </row>
        <row r="339">
          <cell r="A339">
            <v>322</v>
          </cell>
          <cell r="B339">
            <v>52994</v>
          </cell>
          <cell r="C339">
            <v>0</v>
          </cell>
          <cell r="D339">
            <v>152.25260868051714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830.55711423633738</v>
          </cell>
        </row>
        <row r="340">
          <cell r="A340">
            <v>323</v>
          </cell>
          <cell r="B340">
            <v>53022</v>
          </cell>
          <cell r="C340">
            <v>0</v>
          </cell>
          <cell r="D340">
            <v>152.25260868051714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830.55711423633738</v>
          </cell>
        </row>
        <row r="341">
          <cell r="A341">
            <v>324</v>
          </cell>
          <cell r="B341">
            <v>53053</v>
          </cell>
          <cell r="C341">
            <v>0</v>
          </cell>
          <cell r="D341">
            <v>152.25260868051714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830.55711423633738</v>
          </cell>
        </row>
        <row r="342">
          <cell r="A342">
            <v>325</v>
          </cell>
          <cell r="B342">
            <v>53083</v>
          </cell>
          <cell r="C342">
            <v>0</v>
          </cell>
          <cell r="D342">
            <v>152.25260868051714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830.55711423633738</v>
          </cell>
        </row>
        <row r="343">
          <cell r="A343">
            <v>326</v>
          </cell>
          <cell r="B343">
            <v>53114</v>
          </cell>
          <cell r="C343">
            <v>0</v>
          </cell>
          <cell r="D343">
            <v>152.25260868051714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830.55711423633738</v>
          </cell>
        </row>
        <row r="344">
          <cell r="A344">
            <v>327</v>
          </cell>
          <cell r="B344">
            <v>53144</v>
          </cell>
          <cell r="C344">
            <v>0</v>
          </cell>
          <cell r="D344">
            <v>152.25260868051714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830.55711423633738</v>
          </cell>
        </row>
        <row r="345">
          <cell r="A345">
            <v>328</v>
          </cell>
          <cell r="B345">
            <v>53175</v>
          </cell>
          <cell r="C345">
            <v>0</v>
          </cell>
          <cell r="D345">
            <v>152.25260868051714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830.55711423633738</v>
          </cell>
        </row>
        <row r="346">
          <cell r="A346">
            <v>329</v>
          </cell>
          <cell r="B346">
            <v>53206</v>
          </cell>
          <cell r="C346">
            <v>0</v>
          </cell>
          <cell r="D346">
            <v>152.25260868051714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830.55711423633738</v>
          </cell>
        </row>
        <row r="347">
          <cell r="A347">
            <v>330</v>
          </cell>
          <cell r="B347">
            <v>53236</v>
          </cell>
          <cell r="C347">
            <v>0</v>
          </cell>
          <cell r="D347">
            <v>152.25260868051714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830.55711423633738</v>
          </cell>
        </row>
        <row r="348">
          <cell r="A348">
            <v>331</v>
          </cell>
          <cell r="B348">
            <v>53267</v>
          </cell>
          <cell r="C348">
            <v>0</v>
          </cell>
          <cell r="D348">
            <v>152.25260868051714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830.55711423633738</v>
          </cell>
        </row>
        <row r="349">
          <cell r="A349">
            <v>332</v>
          </cell>
          <cell r="B349">
            <v>53297</v>
          </cell>
          <cell r="C349">
            <v>0</v>
          </cell>
          <cell r="D349">
            <v>152.25260868051714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830.55711423633738</v>
          </cell>
        </row>
        <row r="350">
          <cell r="A350">
            <v>333</v>
          </cell>
          <cell r="B350">
            <v>53328</v>
          </cell>
          <cell r="C350">
            <v>0</v>
          </cell>
          <cell r="D350">
            <v>152.25260868051714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830.55711423633738</v>
          </cell>
        </row>
        <row r="351">
          <cell r="A351">
            <v>334</v>
          </cell>
          <cell r="B351">
            <v>53359</v>
          </cell>
          <cell r="C351">
            <v>0</v>
          </cell>
          <cell r="D351">
            <v>152.25260868051714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830.55711423633738</v>
          </cell>
        </row>
        <row r="352">
          <cell r="A352">
            <v>335</v>
          </cell>
          <cell r="B352">
            <v>53387</v>
          </cell>
          <cell r="C352">
            <v>0</v>
          </cell>
          <cell r="D352">
            <v>152.25260868051714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830.55711423633738</v>
          </cell>
        </row>
        <row r="353">
          <cell r="A353">
            <v>336</v>
          </cell>
          <cell r="B353">
            <v>53418</v>
          </cell>
          <cell r="C353">
            <v>0</v>
          </cell>
          <cell r="D353">
            <v>152.25260868051714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830.55711423633738</v>
          </cell>
        </row>
        <row r="354">
          <cell r="A354">
            <v>337</v>
          </cell>
          <cell r="B354">
            <v>53448</v>
          </cell>
          <cell r="C354">
            <v>0</v>
          </cell>
          <cell r="D354">
            <v>152.25260868051714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830.55711423633738</v>
          </cell>
        </row>
        <row r="355">
          <cell r="A355">
            <v>338</v>
          </cell>
          <cell r="B355">
            <v>53479</v>
          </cell>
          <cell r="C355">
            <v>0</v>
          </cell>
          <cell r="D355">
            <v>152.25260868051714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830.55711423633738</v>
          </cell>
        </row>
        <row r="356">
          <cell r="A356">
            <v>339</v>
          </cell>
          <cell r="B356">
            <v>53509</v>
          </cell>
          <cell r="C356">
            <v>0</v>
          </cell>
          <cell r="D356">
            <v>152.25260868051714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830.55711423633738</v>
          </cell>
        </row>
        <row r="357">
          <cell r="A357">
            <v>340</v>
          </cell>
          <cell r="B357">
            <v>53540</v>
          </cell>
          <cell r="C357">
            <v>0</v>
          </cell>
          <cell r="D357">
            <v>152.25260868051714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830.55711423633738</v>
          </cell>
        </row>
        <row r="358">
          <cell r="A358">
            <v>341</v>
          </cell>
          <cell r="B358">
            <v>53571</v>
          </cell>
          <cell r="C358">
            <v>0</v>
          </cell>
          <cell r="D358">
            <v>152.25260868051714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830.55711423633738</v>
          </cell>
        </row>
        <row r="359">
          <cell r="A359">
            <v>342</v>
          </cell>
          <cell r="B359">
            <v>53601</v>
          </cell>
          <cell r="C359">
            <v>0</v>
          </cell>
          <cell r="D359">
            <v>152.25260868051714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830.55711423633738</v>
          </cell>
        </row>
        <row r="360">
          <cell r="A360">
            <v>343</v>
          </cell>
          <cell r="B360">
            <v>53632</v>
          </cell>
          <cell r="C360">
            <v>0</v>
          </cell>
          <cell r="D360">
            <v>152.25260868051714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830.55711423633738</v>
          </cell>
        </row>
        <row r="361">
          <cell r="A361">
            <v>344</v>
          </cell>
          <cell r="B361">
            <v>53662</v>
          </cell>
          <cell r="C361">
            <v>0</v>
          </cell>
          <cell r="D361">
            <v>152.25260868051714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830.55711423633738</v>
          </cell>
        </row>
        <row r="362">
          <cell r="A362">
            <v>345</v>
          </cell>
          <cell r="B362">
            <v>53693</v>
          </cell>
          <cell r="C362">
            <v>0</v>
          </cell>
          <cell r="D362">
            <v>152.25260868051714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830.55711423633738</v>
          </cell>
        </row>
        <row r="363">
          <cell r="A363">
            <v>346</v>
          </cell>
          <cell r="B363">
            <v>53724</v>
          </cell>
          <cell r="C363">
            <v>0</v>
          </cell>
          <cell r="D363">
            <v>152.25260868051714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830.55711423633738</v>
          </cell>
        </row>
        <row r="364">
          <cell r="A364">
            <v>347</v>
          </cell>
          <cell r="B364">
            <v>53752</v>
          </cell>
          <cell r="C364">
            <v>0</v>
          </cell>
          <cell r="D364">
            <v>152.25260868051714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830.55711423633738</v>
          </cell>
        </row>
        <row r="365">
          <cell r="A365">
            <v>348</v>
          </cell>
          <cell r="B365">
            <v>53783</v>
          </cell>
          <cell r="C365">
            <v>0</v>
          </cell>
          <cell r="D365">
            <v>152.25260868051714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830.55711423633738</v>
          </cell>
        </row>
        <row r="366">
          <cell r="A366">
            <v>349</v>
          </cell>
          <cell r="B366">
            <v>53813</v>
          </cell>
          <cell r="C366">
            <v>0</v>
          </cell>
          <cell r="D366">
            <v>152.25260868051714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830.55711423633738</v>
          </cell>
        </row>
        <row r="367">
          <cell r="A367">
            <v>350</v>
          </cell>
          <cell r="B367">
            <v>53844</v>
          </cell>
          <cell r="C367">
            <v>0</v>
          </cell>
          <cell r="D367">
            <v>152.25260868051714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830.55711423633738</v>
          </cell>
        </row>
        <row r="368">
          <cell r="A368">
            <v>351</v>
          </cell>
          <cell r="B368">
            <v>53874</v>
          </cell>
          <cell r="C368">
            <v>0</v>
          </cell>
          <cell r="D368">
            <v>152.25260868051714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830.55711423633738</v>
          </cell>
        </row>
        <row r="369">
          <cell r="A369">
            <v>352</v>
          </cell>
          <cell r="B369">
            <v>53905</v>
          </cell>
          <cell r="C369">
            <v>0</v>
          </cell>
          <cell r="D369">
            <v>152.25260868051714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830.55711423633738</v>
          </cell>
        </row>
        <row r="370">
          <cell r="A370">
            <v>353</v>
          </cell>
          <cell r="B370">
            <v>53936</v>
          </cell>
          <cell r="C370">
            <v>0</v>
          </cell>
          <cell r="D370">
            <v>152.25260868051714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830.55711423633738</v>
          </cell>
        </row>
        <row r="371">
          <cell r="A371">
            <v>354</v>
          </cell>
          <cell r="B371">
            <v>53966</v>
          </cell>
          <cell r="C371">
            <v>0</v>
          </cell>
          <cell r="D371">
            <v>152.25260868051714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830.55711423633738</v>
          </cell>
        </row>
        <row r="372">
          <cell r="A372">
            <v>355</v>
          </cell>
          <cell r="B372">
            <v>53997</v>
          </cell>
          <cell r="C372">
            <v>0</v>
          </cell>
          <cell r="D372">
            <v>152.25260868051714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830.55711423633738</v>
          </cell>
        </row>
        <row r="373">
          <cell r="A373">
            <v>356</v>
          </cell>
          <cell r="B373">
            <v>54027</v>
          </cell>
          <cell r="C373">
            <v>0</v>
          </cell>
          <cell r="D373">
            <v>152.25260868051714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830.55711423633738</v>
          </cell>
        </row>
        <row r="374">
          <cell r="A374">
            <v>357</v>
          </cell>
          <cell r="B374">
            <v>54058</v>
          </cell>
          <cell r="C374">
            <v>0</v>
          </cell>
          <cell r="D374">
            <v>152.25260868051714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830.55711423633738</v>
          </cell>
        </row>
        <row r="375">
          <cell r="A375">
            <v>358</v>
          </cell>
          <cell r="B375">
            <v>54089</v>
          </cell>
          <cell r="C375">
            <v>0</v>
          </cell>
          <cell r="D375">
            <v>152.25260868051714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830.55711423633738</v>
          </cell>
        </row>
        <row r="376">
          <cell r="A376">
            <v>359</v>
          </cell>
          <cell r="B376">
            <v>54118</v>
          </cell>
          <cell r="C376">
            <v>0</v>
          </cell>
          <cell r="D376">
            <v>152.25260868051714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830.55711423633738</v>
          </cell>
        </row>
        <row r="377">
          <cell r="A377">
            <v>360</v>
          </cell>
          <cell r="B377">
            <v>54149</v>
          </cell>
          <cell r="C377">
            <v>0</v>
          </cell>
          <cell r="D377">
            <v>152.25260868051714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830.55711423633738</v>
          </cell>
        </row>
        <row r="378">
          <cell r="A378">
            <v>361</v>
          </cell>
          <cell r="B378">
            <v>54179</v>
          </cell>
          <cell r="C378">
            <v>0</v>
          </cell>
          <cell r="D378">
            <v>152.25260868051714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830.55711423633738</v>
          </cell>
        </row>
        <row r="379">
          <cell r="A379">
            <v>362</v>
          </cell>
          <cell r="B379">
            <v>54210</v>
          </cell>
          <cell r="C379">
            <v>0</v>
          </cell>
          <cell r="D379">
            <v>152.25260868051714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830.55711423633738</v>
          </cell>
        </row>
        <row r="380">
          <cell r="A380">
            <v>363</v>
          </cell>
          <cell r="B380">
            <v>54240</v>
          </cell>
          <cell r="C380">
            <v>0</v>
          </cell>
          <cell r="D380">
            <v>152.25260868051714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830.55711423633738</v>
          </cell>
        </row>
        <row r="381">
          <cell r="A381">
            <v>364</v>
          </cell>
          <cell r="B381">
            <v>54271</v>
          </cell>
          <cell r="C381">
            <v>0</v>
          </cell>
          <cell r="D381">
            <v>152.25260868051714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830.55711423633738</v>
          </cell>
        </row>
        <row r="382">
          <cell r="A382">
            <v>365</v>
          </cell>
          <cell r="B382">
            <v>54302</v>
          </cell>
          <cell r="C382">
            <v>0</v>
          </cell>
          <cell r="D382">
            <v>152.25260868051714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830.55711423633738</v>
          </cell>
        </row>
        <row r="383">
          <cell r="A383">
            <v>366</v>
          </cell>
          <cell r="B383">
            <v>54332</v>
          </cell>
          <cell r="C383">
            <v>0</v>
          </cell>
          <cell r="D383">
            <v>152.25260868051714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830.55711423633738</v>
          </cell>
        </row>
        <row r="384">
          <cell r="A384">
            <v>367</v>
          </cell>
          <cell r="B384">
            <v>54363</v>
          </cell>
          <cell r="C384">
            <v>0</v>
          </cell>
          <cell r="D384">
            <v>152.25260868051714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830.55711423633738</v>
          </cell>
        </row>
        <row r="385">
          <cell r="A385">
            <v>368</v>
          </cell>
          <cell r="B385">
            <v>54393</v>
          </cell>
          <cell r="C385">
            <v>0</v>
          </cell>
          <cell r="D385">
            <v>152.25260868051714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830.55711423633738</v>
          </cell>
        </row>
        <row r="386">
          <cell r="A386">
            <v>369</v>
          </cell>
          <cell r="B386">
            <v>54424</v>
          </cell>
          <cell r="C386">
            <v>0</v>
          </cell>
          <cell r="D386">
            <v>152.25260868051714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830.55711423633738</v>
          </cell>
        </row>
        <row r="387">
          <cell r="A387">
            <v>370</v>
          </cell>
          <cell r="B387">
            <v>54455</v>
          </cell>
          <cell r="C387">
            <v>0</v>
          </cell>
          <cell r="D387">
            <v>152.25260868051714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830.55711423633738</v>
          </cell>
        </row>
        <row r="388">
          <cell r="A388">
            <v>371</v>
          </cell>
          <cell r="B388">
            <v>54483</v>
          </cell>
          <cell r="C388">
            <v>0</v>
          </cell>
          <cell r="D388">
            <v>152.25260868051714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830.55711423633738</v>
          </cell>
        </row>
        <row r="389">
          <cell r="A389">
            <v>372</v>
          </cell>
          <cell r="B389">
            <v>54514</v>
          </cell>
          <cell r="C389">
            <v>0</v>
          </cell>
          <cell r="D389">
            <v>152.25260868051714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830.55711423633738</v>
          </cell>
        </row>
        <row r="390">
          <cell r="A390">
            <v>373</v>
          </cell>
          <cell r="B390">
            <v>54544</v>
          </cell>
          <cell r="C390">
            <v>0</v>
          </cell>
          <cell r="D390">
            <v>152.25260868051714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830.55711423633738</v>
          </cell>
        </row>
        <row r="391">
          <cell r="A391">
            <v>374</v>
          </cell>
          <cell r="B391">
            <v>54575</v>
          </cell>
          <cell r="C391">
            <v>0</v>
          </cell>
          <cell r="D391">
            <v>152.25260868051714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830.55711423633738</v>
          </cell>
        </row>
        <row r="392">
          <cell r="A392">
            <v>375</v>
          </cell>
          <cell r="B392">
            <v>54605</v>
          </cell>
          <cell r="C392">
            <v>0</v>
          </cell>
          <cell r="D392">
            <v>152.25260868051714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830.55711423633738</v>
          </cell>
        </row>
        <row r="393">
          <cell r="A393">
            <v>376</v>
          </cell>
          <cell r="B393">
            <v>54636</v>
          </cell>
          <cell r="C393">
            <v>0</v>
          </cell>
          <cell r="D393">
            <v>152.25260868051714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830.55711423633738</v>
          </cell>
        </row>
        <row r="394">
          <cell r="A394">
            <v>377</v>
          </cell>
          <cell r="B394">
            <v>54667</v>
          </cell>
          <cell r="C394">
            <v>0</v>
          </cell>
          <cell r="D394">
            <v>152.25260868051714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830.55711423633738</v>
          </cell>
        </row>
        <row r="395">
          <cell r="A395">
            <v>378</v>
          </cell>
          <cell r="B395">
            <v>54697</v>
          </cell>
          <cell r="C395">
            <v>0</v>
          </cell>
          <cell r="D395">
            <v>152.25260868051714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830.55711423633738</v>
          </cell>
        </row>
        <row r="396">
          <cell r="A396">
            <v>379</v>
          </cell>
          <cell r="B396">
            <v>54728</v>
          </cell>
          <cell r="C396">
            <v>0</v>
          </cell>
          <cell r="D396">
            <v>152.25260868051714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830.55711423633738</v>
          </cell>
        </row>
        <row r="397">
          <cell r="A397">
            <v>380</v>
          </cell>
          <cell r="B397">
            <v>54758</v>
          </cell>
          <cell r="C397">
            <v>0</v>
          </cell>
          <cell r="D397">
            <v>152.25260868051714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830.55711423633738</v>
          </cell>
        </row>
        <row r="398">
          <cell r="A398">
            <v>381</v>
          </cell>
          <cell r="B398">
            <v>54789</v>
          </cell>
          <cell r="C398">
            <v>0</v>
          </cell>
          <cell r="D398">
            <v>152.25260868051714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830.55711423633738</v>
          </cell>
        </row>
        <row r="399">
          <cell r="A399">
            <v>382</v>
          </cell>
          <cell r="B399">
            <v>54820</v>
          </cell>
          <cell r="C399">
            <v>0</v>
          </cell>
          <cell r="D399">
            <v>152.25260868051714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830.55711423633738</v>
          </cell>
        </row>
        <row r="400">
          <cell r="A400">
            <v>383</v>
          </cell>
          <cell r="B400">
            <v>54848</v>
          </cell>
          <cell r="C400">
            <v>0</v>
          </cell>
          <cell r="D400">
            <v>152.25260868051714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830.55711423633738</v>
          </cell>
        </row>
        <row r="401">
          <cell r="A401">
            <v>384</v>
          </cell>
          <cell r="B401">
            <v>54879</v>
          </cell>
          <cell r="C401">
            <v>0</v>
          </cell>
          <cell r="D401">
            <v>152.25260868051714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830.55711423633738</v>
          </cell>
        </row>
        <row r="402">
          <cell r="A402">
            <v>385</v>
          </cell>
          <cell r="B402">
            <v>54909</v>
          </cell>
          <cell r="C402">
            <v>0</v>
          </cell>
          <cell r="D402">
            <v>152.25260868051714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830.55711423633738</v>
          </cell>
        </row>
        <row r="403">
          <cell r="A403">
            <v>386</v>
          </cell>
          <cell r="B403">
            <v>54940</v>
          </cell>
          <cell r="C403">
            <v>0</v>
          </cell>
          <cell r="D403">
            <v>152.25260868051714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830.55711423633738</v>
          </cell>
        </row>
        <row r="404">
          <cell r="A404">
            <v>387</v>
          </cell>
          <cell r="B404">
            <v>54970</v>
          </cell>
          <cell r="C404">
            <v>0</v>
          </cell>
          <cell r="D404">
            <v>152.25260868051714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830.55711423633738</v>
          </cell>
        </row>
        <row r="405">
          <cell r="A405">
            <v>388</v>
          </cell>
          <cell r="B405">
            <v>55001</v>
          </cell>
          <cell r="C405">
            <v>0</v>
          </cell>
          <cell r="D405">
            <v>152.25260868051714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830.55711423633738</v>
          </cell>
        </row>
        <row r="406">
          <cell r="A406">
            <v>389</v>
          </cell>
          <cell r="B406">
            <v>55032</v>
          </cell>
          <cell r="C406">
            <v>0</v>
          </cell>
          <cell r="D406">
            <v>152.25260868051714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830.55711423633738</v>
          </cell>
        </row>
        <row r="407">
          <cell r="A407">
            <v>390</v>
          </cell>
          <cell r="B407">
            <v>55062</v>
          </cell>
          <cell r="C407">
            <v>0</v>
          </cell>
          <cell r="D407">
            <v>152.25260868051714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830.55711423633738</v>
          </cell>
        </row>
        <row r="408">
          <cell r="A408">
            <v>391</v>
          </cell>
          <cell r="B408">
            <v>55093</v>
          </cell>
          <cell r="C408">
            <v>0</v>
          </cell>
          <cell r="D408">
            <v>152.25260868051714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830.55711423633738</v>
          </cell>
        </row>
        <row r="409">
          <cell r="A409">
            <v>392</v>
          </cell>
          <cell r="B409">
            <v>55123</v>
          </cell>
          <cell r="C409">
            <v>0</v>
          </cell>
          <cell r="D409">
            <v>152.25260868051714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830.55711423633738</v>
          </cell>
        </row>
        <row r="410">
          <cell r="A410">
            <v>393</v>
          </cell>
          <cell r="B410">
            <v>55154</v>
          </cell>
          <cell r="C410">
            <v>0</v>
          </cell>
          <cell r="D410">
            <v>152.25260868051714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830.55711423633738</v>
          </cell>
        </row>
        <row r="411">
          <cell r="A411">
            <v>394</v>
          </cell>
          <cell r="B411">
            <v>55185</v>
          </cell>
          <cell r="C411">
            <v>0</v>
          </cell>
          <cell r="D411">
            <v>152.25260868051714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830.55711423633738</v>
          </cell>
        </row>
        <row r="412">
          <cell r="A412">
            <v>395</v>
          </cell>
          <cell r="B412">
            <v>55213</v>
          </cell>
          <cell r="C412">
            <v>0</v>
          </cell>
          <cell r="D412">
            <v>152.25260868051714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830.55711423633738</v>
          </cell>
        </row>
        <row r="413">
          <cell r="A413">
            <v>396</v>
          </cell>
          <cell r="B413">
            <v>55244</v>
          </cell>
          <cell r="C413">
            <v>0</v>
          </cell>
          <cell r="D413">
            <v>152.25260868051714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830.55711423633738</v>
          </cell>
        </row>
        <row r="414">
          <cell r="A414">
            <v>397</v>
          </cell>
          <cell r="B414">
            <v>55274</v>
          </cell>
          <cell r="C414">
            <v>0</v>
          </cell>
          <cell r="D414">
            <v>152.25260868051714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830.55711423633738</v>
          </cell>
        </row>
        <row r="415">
          <cell r="A415">
            <v>398</v>
          </cell>
          <cell r="B415">
            <v>55305</v>
          </cell>
          <cell r="C415">
            <v>0</v>
          </cell>
          <cell r="D415">
            <v>152.25260868051714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830.55711423633738</v>
          </cell>
        </row>
        <row r="416">
          <cell r="A416">
            <v>399</v>
          </cell>
          <cell r="B416">
            <v>55335</v>
          </cell>
          <cell r="C416">
            <v>0</v>
          </cell>
          <cell r="D416">
            <v>152.25260868051714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830.55711423633738</v>
          </cell>
        </row>
        <row r="417">
          <cell r="A417">
            <v>400</v>
          </cell>
          <cell r="B417">
            <v>55366</v>
          </cell>
          <cell r="C417">
            <v>0</v>
          </cell>
          <cell r="D417">
            <v>152.25260868051714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830.55711423633738</v>
          </cell>
        </row>
        <row r="418">
          <cell r="A418">
            <v>401</v>
          </cell>
          <cell r="B418">
            <v>55397</v>
          </cell>
          <cell r="C418">
            <v>0</v>
          </cell>
          <cell r="D418">
            <v>152.25260868051714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830.55711423633738</v>
          </cell>
        </row>
        <row r="419">
          <cell r="A419">
            <v>402</v>
          </cell>
          <cell r="B419">
            <v>55427</v>
          </cell>
          <cell r="C419">
            <v>0</v>
          </cell>
          <cell r="D419">
            <v>152.25260868051714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830.55711423633738</v>
          </cell>
        </row>
        <row r="420">
          <cell r="A420">
            <v>403</v>
          </cell>
          <cell r="B420">
            <v>55458</v>
          </cell>
          <cell r="C420">
            <v>0</v>
          </cell>
          <cell r="D420">
            <v>152.25260868051714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830.55711423633738</v>
          </cell>
        </row>
        <row r="421">
          <cell r="A421">
            <v>404</v>
          </cell>
          <cell r="B421">
            <v>55488</v>
          </cell>
          <cell r="C421">
            <v>0</v>
          </cell>
          <cell r="D421">
            <v>152.25260868051714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830.55711423633738</v>
          </cell>
        </row>
        <row r="422">
          <cell r="A422">
            <v>405</v>
          </cell>
          <cell r="B422">
            <v>55519</v>
          </cell>
          <cell r="C422">
            <v>0</v>
          </cell>
          <cell r="D422">
            <v>152.25260868051714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830.55711423633738</v>
          </cell>
        </row>
        <row r="423">
          <cell r="A423">
            <v>406</v>
          </cell>
          <cell r="B423">
            <v>55550</v>
          </cell>
          <cell r="C423">
            <v>0</v>
          </cell>
          <cell r="D423">
            <v>152.25260868051714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830.55711423633738</v>
          </cell>
        </row>
        <row r="424">
          <cell r="A424">
            <v>407</v>
          </cell>
          <cell r="B424">
            <v>55579</v>
          </cell>
          <cell r="C424">
            <v>0</v>
          </cell>
          <cell r="D424">
            <v>152.25260868051714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830.55711423633738</v>
          </cell>
        </row>
        <row r="425">
          <cell r="A425">
            <v>408</v>
          </cell>
          <cell r="B425">
            <v>55610</v>
          </cell>
          <cell r="C425">
            <v>0</v>
          </cell>
          <cell r="D425">
            <v>152.25260868051714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830.55711423633738</v>
          </cell>
        </row>
        <row r="426">
          <cell r="A426">
            <v>409</v>
          </cell>
          <cell r="B426">
            <v>55640</v>
          </cell>
          <cell r="C426">
            <v>0</v>
          </cell>
          <cell r="D426">
            <v>152.25260868051714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830.55711423633738</v>
          </cell>
        </row>
        <row r="427">
          <cell r="A427">
            <v>410</v>
          </cell>
          <cell r="B427">
            <v>55671</v>
          </cell>
          <cell r="C427">
            <v>0</v>
          </cell>
          <cell r="D427">
            <v>152.25260868051714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830.55711423633738</v>
          </cell>
        </row>
        <row r="428">
          <cell r="A428">
            <v>411</v>
          </cell>
          <cell r="B428">
            <v>55701</v>
          </cell>
          <cell r="C428">
            <v>0</v>
          </cell>
          <cell r="D428">
            <v>152.25260868051714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830.55711423633738</v>
          </cell>
        </row>
        <row r="429">
          <cell r="A429">
            <v>412</v>
          </cell>
          <cell r="B429">
            <v>55732</v>
          </cell>
          <cell r="C429">
            <v>0</v>
          </cell>
          <cell r="D429">
            <v>152.25260868051714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830.55711423633738</v>
          </cell>
        </row>
        <row r="430">
          <cell r="A430">
            <v>413</v>
          </cell>
          <cell r="B430">
            <v>55763</v>
          </cell>
          <cell r="C430">
            <v>0</v>
          </cell>
          <cell r="D430">
            <v>152.25260868051714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830.55711423633738</v>
          </cell>
        </row>
        <row r="431">
          <cell r="A431">
            <v>414</v>
          </cell>
          <cell r="B431">
            <v>55793</v>
          </cell>
          <cell r="C431">
            <v>0</v>
          </cell>
          <cell r="D431">
            <v>152.25260868051714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830.55711423633738</v>
          </cell>
        </row>
        <row r="432">
          <cell r="A432">
            <v>415</v>
          </cell>
          <cell r="B432">
            <v>55824</v>
          </cell>
          <cell r="C432">
            <v>0</v>
          </cell>
          <cell r="D432">
            <v>152.25260868051714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830.55711423633738</v>
          </cell>
        </row>
        <row r="433">
          <cell r="A433">
            <v>416</v>
          </cell>
          <cell r="B433">
            <v>55854</v>
          </cell>
          <cell r="C433">
            <v>0</v>
          </cell>
          <cell r="D433">
            <v>152.25260868051714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830.55711423633738</v>
          </cell>
        </row>
        <row r="434">
          <cell r="A434">
            <v>417</v>
          </cell>
          <cell r="B434">
            <v>55885</v>
          </cell>
          <cell r="C434">
            <v>0</v>
          </cell>
          <cell r="D434">
            <v>152.25260868051714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830.55711423633738</v>
          </cell>
        </row>
        <row r="435">
          <cell r="A435">
            <v>418</v>
          </cell>
          <cell r="B435">
            <v>55916</v>
          </cell>
          <cell r="C435">
            <v>0</v>
          </cell>
          <cell r="D435">
            <v>152.25260868051714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830.55711423633738</v>
          </cell>
        </row>
        <row r="436">
          <cell r="A436">
            <v>419</v>
          </cell>
          <cell r="B436">
            <v>55944</v>
          </cell>
          <cell r="C436">
            <v>0</v>
          </cell>
          <cell r="D436">
            <v>152.25260868051714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830.55711423633738</v>
          </cell>
        </row>
        <row r="437">
          <cell r="A437">
            <v>420</v>
          </cell>
          <cell r="B437">
            <v>55975</v>
          </cell>
          <cell r="C437">
            <v>0</v>
          </cell>
          <cell r="D437">
            <v>152.25260868051714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830.55711423633738</v>
          </cell>
        </row>
        <row r="438">
          <cell r="A438">
            <v>421</v>
          </cell>
          <cell r="B438">
            <v>56005</v>
          </cell>
          <cell r="C438">
            <v>0</v>
          </cell>
          <cell r="D438">
            <v>152.25260868051714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830.55711423633738</v>
          </cell>
        </row>
        <row r="439">
          <cell r="A439">
            <v>422</v>
          </cell>
          <cell r="B439">
            <v>56036</v>
          </cell>
          <cell r="C439">
            <v>0</v>
          </cell>
          <cell r="D439">
            <v>152.25260868051714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830.55711423633738</v>
          </cell>
        </row>
        <row r="440">
          <cell r="A440">
            <v>423</v>
          </cell>
          <cell r="B440">
            <v>56066</v>
          </cell>
          <cell r="C440">
            <v>0</v>
          </cell>
          <cell r="D440">
            <v>152.25260868051714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830.55711423633738</v>
          </cell>
        </row>
        <row r="441">
          <cell r="A441">
            <v>424</v>
          </cell>
          <cell r="B441">
            <v>56097</v>
          </cell>
          <cell r="C441">
            <v>0</v>
          </cell>
          <cell r="D441">
            <v>152.25260868051714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830.55711423633738</v>
          </cell>
        </row>
        <row r="442">
          <cell r="A442">
            <v>425</v>
          </cell>
          <cell r="B442">
            <v>56128</v>
          </cell>
          <cell r="C442">
            <v>0</v>
          </cell>
          <cell r="D442">
            <v>152.25260868051714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830.55711423633738</v>
          </cell>
        </row>
        <row r="443">
          <cell r="A443">
            <v>426</v>
          </cell>
          <cell r="B443">
            <v>56158</v>
          </cell>
          <cell r="C443">
            <v>0</v>
          </cell>
          <cell r="D443">
            <v>152.25260868051714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830.55711423633738</v>
          </cell>
        </row>
        <row r="444">
          <cell r="A444">
            <v>427</v>
          </cell>
          <cell r="B444">
            <v>56189</v>
          </cell>
          <cell r="C444">
            <v>0</v>
          </cell>
          <cell r="D444">
            <v>152.25260868051714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830.55711423633738</v>
          </cell>
        </row>
        <row r="445">
          <cell r="A445">
            <v>428</v>
          </cell>
          <cell r="B445">
            <v>56219</v>
          </cell>
          <cell r="C445">
            <v>0</v>
          </cell>
          <cell r="D445">
            <v>152.25260868051714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830.55711423633738</v>
          </cell>
        </row>
        <row r="446">
          <cell r="A446">
            <v>429</v>
          </cell>
          <cell r="B446">
            <v>56250</v>
          </cell>
          <cell r="C446">
            <v>0</v>
          </cell>
          <cell r="D446">
            <v>152.25260868051714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830.55711423633738</v>
          </cell>
        </row>
        <row r="447">
          <cell r="A447">
            <v>430</v>
          </cell>
          <cell r="B447">
            <v>56281</v>
          </cell>
          <cell r="C447">
            <v>0</v>
          </cell>
          <cell r="D447">
            <v>152.25260868051714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830.55711423633738</v>
          </cell>
        </row>
        <row r="448">
          <cell r="A448">
            <v>431</v>
          </cell>
          <cell r="B448">
            <v>56309</v>
          </cell>
          <cell r="C448">
            <v>0</v>
          </cell>
          <cell r="D448">
            <v>152.25260868051714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830.55711423633738</v>
          </cell>
        </row>
        <row r="449">
          <cell r="A449">
            <v>432</v>
          </cell>
          <cell r="B449">
            <v>56340</v>
          </cell>
          <cell r="C449">
            <v>0</v>
          </cell>
          <cell r="D449">
            <v>152.25260868051714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830.55711423633738</v>
          </cell>
        </row>
        <row r="450">
          <cell r="A450">
            <v>433</v>
          </cell>
          <cell r="B450">
            <v>56370</v>
          </cell>
          <cell r="C450">
            <v>0</v>
          </cell>
          <cell r="D450">
            <v>152.25260868051714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830.55711423633738</v>
          </cell>
        </row>
        <row r="451">
          <cell r="A451">
            <v>434</v>
          </cell>
          <cell r="B451">
            <v>56401</v>
          </cell>
          <cell r="C451">
            <v>0</v>
          </cell>
          <cell r="D451">
            <v>152.25260868051714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830.55711423633738</v>
          </cell>
        </row>
        <row r="452">
          <cell r="A452">
            <v>435</v>
          </cell>
          <cell r="B452">
            <v>56431</v>
          </cell>
          <cell r="C452">
            <v>0</v>
          </cell>
          <cell r="D452">
            <v>152.25260868051714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830.55711423633738</v>
          </cell>
        </row>
        <row r="453">
          <cell r="A453">
            <v>436</v>
          </cell>
          <cell r="B453">
            <v>56462</v>
          </cell>
          <cell r="C453">
            <v>0</v>
          </cell>
          <cell r="D453">
            <v>152.25260868051714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830.55711423633738</v>
          </cell>
        </row>
        <row r="454">
          <cell r="A454">
            <v>437</v>
          </cell>
          <cell r="B454">
            <v>56493</v>
          </cell>
          <cell r="C454">
            <v>0</v>
          </cell>
          <cell r="D454">
            <v>152.25260868051714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830.55711423633738</v>
          </cell>
        </row>
        <row r="455">
          <cell r="A455">
            <v>438</v>
          </cell>
          <cell r="B455">
            <v>56523</v>
          </cell>
          <cell r="C455">
            <v>0</v>
          </cell>
          <cell r="D455">
            <v>152.25260868051714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830.55711423633738</v>
          </cell>
        </row>
        <row r="456">
          <cell r="A456">
            <v>439</v>
          </cell>
          <cell r="B456">
            <v>56554</v>
          </cell>
          <cell r="C456">
            <v>0</v>
          </cell>
          <cell r="D456">
            <v>152.25260868051714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830.55711423633738</v>
          </cell>
        </row>
        <row r="457">
          <cell r="A457">
            <v>440</v>
          </cell>
          <cell r="B457">
            <v>56584</v>
          </cell>
          <cell r="C457">
            <v>0</v>
          </cell>
          <cell r="D457">
            <v>152.25260868051714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830.55711423633738</v>
          </cell>
        </row>
        <row r="458">
          <cell r="A458">
            <v>441</v>
          </cell>
          <cell r="B458">
            <v>56615</v>
          </cell>
          <cell r="C458">
            <v>0</v>
          </cell>
          <cell r="D458">
            <v>152.25260868051714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830.55711423633738</v>
          </cell>
        </row>
        <row r="459">
          <cell r="A459">
            <v>442</v>
          </cell>
          <cell r="B459">
            <v>56646</v>
          </cell>
          <cell r="C459">
            <v>0</v>
          </cell>
          <cell r="D459">
            <v>152.25260868051714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830.55711423633738</v>
          </cell>
        </row>
        <row r="460">
          <cell r="A460">
            <v>443</v>
          </cell>
          <cell r="B460">
            <v>56674</v>
          </cell>
          <cell r="C460">
            <v>0</v>
          </cell>
          <cell r="D460">
            <v>152.25260868051714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830.55711423633738</v>
          </cell>
        </row>
        <row r="461">
          <cell r="A461">
            <v>444</v>
          </cell>
          <cell r="B461">
            <v>56705</v>
          </cell>
          <cell r="C461">
            <v>0</v>
          </cell>
          <cell r="D461">
            <v>152.25260868051714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830.55711423633738</v>
          </cell>
        </row>
        <row r="462">
          <cell r="A462">
            <v>445</v>
          </cell>
          <cell r="B462">
            <v>56735</v>
          </cell>
          <cell r="C462">
            <v>0</v>
          </cell>
          <cell r="D462">
            <v>152.25260868051714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830.55711423633738</v>
          </cell>
        </row>
        <row r="463">
          <cell r="A463">
            <v>446</v>
          </cell>
          <cell r="B463">
            <v>56766</v>
          </cell>
          <cell r="C463">
            <v>0</v>
          </cell>
          <cell r="D463">
            <v>152.25260868051714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830.55711423633738</v>
          </cell>
        </row>
        <row r="464">
          <cell r="A464">
            <v>447</v>
          </cell>
          <cell r="B464">
            <v>56796</v>
          </cell>
          <cell r="C464">
            <v>0</v>
          </cell>
          <cell r="D464">
            <v>152.25260868051714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830.55711423633738</v>
          </cell>
        </row>
        <row r="465">
          <cell r="A465">
            <v>448</v>
          </cell>
          <cell r="B465">
            <v>56827</v>
          </cell>
          <cell r="C465">
            <v>0</v>
          </cell>
          <cell r="D465">
            <v>152.25260868051714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830.55711423633738</v>
          </cell>
        </row>
        <row r="466">
          <cell r="A466">
            <v>449</v>
          </cell>
          <cell r="B466">
            <v>56858</v>
          </cell>
          <cell r="C466">
            <v>0</v>
          </cell>
          <cell r="D466">
            <v>152.25260868051714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830.55711423633738</v>
          </cell>
        </row>
        <row r="467">
          <cell r="A467">
            <v>450</v>
          </cell>
          <cell r="B467">
            <v>56888</v>
          </cell>
          <cell r="C467">
            <v>0</v>
          </cell>
          <cell r="D467">
            <v>152.25260868051714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830.55711423633738</v>
          </cell>
        </row>
        <row r="468">
          <cell r="A468">
            <v>451</v>
          </cell>
          <cell r="B468">
            <v>56919</v>
          </cell>
          <cell r="C468">
            <v>0</v>
          </cell>
          <cell r="D468">
            <v>152.25260868051714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830.55711423633738</v>
          </cell>
        </row>
        <row r="469">
          <cell r="A469">
            <v>452</v>
          </cell>
          <cell r="B469">
            <v>56949</v>
          </cell>
          <cell r="C469">
            <v>0</v>
          </cell>
          <cell r="D469">
            <v>152.25260868051714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830.55711423633738</v>
          </cell>
        </row>
        <row r="470">
          <cell r="A470">
            <v>453</v>
          </cell>
          <cell r="B470">
            <v>56980</v>
          </cell>
          <cell r="C470">
            <v>0</v>
          </cell>
          <cell r="D470">
            <v>152.25260868051714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830.55711423633738</v>
          </cell>
        </row>
        <row r="471">
          <cell r="A471">
            <v>454</v>
          </cell>
          <cell r="B471">
            <v>57011</v>
          </cell>
          <cell r="C471">
            <v>0</v>
          </cell>
          <cell r="D471">
            <v>152.25260868051714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830.55711423633738</v>
          </cell>
        </row>
        <row r="472">
          <cell r="A472">
            <v>455</v>
          </cell>
          <cell r="B472">
            <v>57040</v>
          </cell>
          <cell r="C472">
            <v>0</v>
          </cell>
          <cell r="D472">
            <v>152.25260868051714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830.55711423633738</v>
          </cell>
        </row>
        <row r="473">
          <cell r="A473">
            <v>456</v>
          </cell>
          <cell r="B473">
            <v>57071</v>
          </cell>
          <cell r="C473">
            <v>0</v>
          </cell>
          <cell r="D473">
            <v>152.25260868051714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830.55711423633738</v>
          </cell>
        </row>
        <row r="474">
          <cell r="A474">
            <v>457</v>
          </cell>
          <cell r="B474">
            <v>57101</v>
          </cell>
          <cell r="C474">
            <v>0</v>
          </cell>
          <cell r="D474">
            <v>152.25260868051714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830.55711423633738</v>
          </cell>
        </row>
        <row r="475">
          <cell r="A475">
            <v>458</v>
          </cell>
          <cell r="B475">
            <v>57132</v>
          </cell>
          <cell r="C475">
            <v>0</v>
          </cell>
          <cell r="D475">
            <v>152.25260868051714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830.55711423633738</v>
          </cell>
        </row>
        <row r="476">
          <cell r="A476">
            <v>459</v>
          </cell>
          <cell r="B476">
            <v>57162</v>
          </cell>
          <cell r="C476">
            <v>0</v>
          </cell>
          <cell r="D476">
            <v>152.25260868051714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830.55711423633738</v>
          </cell>
        </row>
        <row r="477">
          <cell r="A477">
            <v>460</v>
          </cell>
          <cell r="B477">
            <v>57193</v>
          </cell>
          <cell r="C477">
            <v>0</v>
          </cell>
          <cell r="D477">
            <v>152.25260868051714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830.55711423633738</v>
          </cell>
        </row>
        <row r="478">
          <cell r="A478">
            <v>461</v>
          </cell>
          <cell r="B478">
            <v>57224</v>
          </cell>
          <cell r="C478">
            <v>0</v>
          </cell>
          <cell r="D478">
            <v>152.25260868051714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830.55711423633738</v>
          </cell>
        </row>
        <row r="479">
          <cell r="A479">
            <v>462</v>
          </cell>
          <cell r="B479">
            <v>57254</v>
          </cell>
          <cell r="C479">
            <v>0</v>
          </cell>
          <cell r="D479">
            <v>152.25260868051714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830.55711423633738</v>
          </cell>
        </row>
        <row r="480">
          <cell r="A480">
            <v>463</v>
          </cell>
          <cell r="B480">
            <v>57285</v>
          </cell>
          <cell r="C480">
            <v>0</v>
          </cell>
          <cell r="D480">
            <v>152.25260868051714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830.55711423633738</v>
          </cell>
        </row>
        <row r="481">
          <cell r="A481">
            <v>464</v>
          </cell>
          <cell r="B481">
            <v>57315</v>
          </cell>
          <cell r="C481">
            <v>0</v>
          </cell>
          <cell r="D481">
            <v>152.25260868051714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830.55711423633738</v>
          </cell>
        </row>
        <row r="482">
          <cell r="A482">
            <v>465</v>
          </cell>
          <cell r="B482">
            <v>57346</v>
          </cell>
          <cell r="C482">
            <v>0</v>
          </cell>
          <cell r="D482">
            <v>152.25260868051714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830.55711423633738</v>
          </cell>
        </row>
        <row r="483">
          <cell r="A483">
            <v>466</v>
          </cell>
          <cell r="B483">
            <v>57377</v>
          </cell>
          <cell r="C483">
            <v>0</v>
          </cell>
          <cell r="D483">
            <v>152.25260868051714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830.55711423633738</v>
          </cell>
        </row>
        <row r="484">
          <cell r="A484">
            <v>467</v>
          </cell>
          <cell r="B484">
            <v>57405</v>
          </cell>
          <cell r="C484">
            <v>0</v>
          </cell>
          <cell r="D484">
            <v>152.25260868051714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830.55711423633738</v>
          </cell>
        </row>
        <row r="485">
          <cell r="A485">
            <v>468</v>
          </cell>
          <cell r="B485">
            <v>57436</v>
          </cell>
          <cell r="C485">
            <v>0</v>
          </cell>
          <cell r="D485">
            <v>152.25260868051714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830.55711423633738</v>
          </cell>
        </row>
        <row r="486">
          <cell r="A486">
            <v>469</v>
          </cell>
          <cell r="B486">
            <v>57466</v>
          </cell>
          <cell r="C486">
            <v>0</v>
          </cell>
          <cell r="D486">
            <v>152.25260868051714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830.55711423633738</v>
          </cell>
        </row>
        <row r="487">
          <cell r="A487">
            <v>470</v>
          </cell>
          <cell r="B487">
            <v>57497</v>
          </cell>
          <cell r="C487">
            <v>0</v>
          </cell>
          <cell r="D487">
            <v>152.25260868051714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830.55711423633738</v>
          </cell>
        </row>
        <row r="488">
          <cell r="A488">
            <v>471</v>
          </cell>
          <cell r="B488">
            <v>57527</v>
          </cell>
          <cell r="C488">
            <v>0</v>
          </cell>
          <cell r="D488">
            <v>152.25260868051714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830.55711423633738</v>
          </cell>
        </row>
        <row r="489">
          <cell r="A489">
            <v>472</v>
          </cell>
          <cell r="B489">
            <v>57558</v>
          </cell>
          <cell r="C489">
            <v>0</v>
          </cell>
          <cell r="D489">
            <v>152.25260868051714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830.55711423633738</v>
          </cell>
        </row>
        <row r="490">
          <cell r="A490">
            <v>473</v>
          </cell>
          <cell r="B490">
            <v>57589</v>
          </cell>
          <cell r="C490">
            <v>0</v>
          </cell>
          <cell r="D490">
            <v>152.25260868051714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830.55711423633738</v>
          </cell>
        </row>
        <row r="491">
          <cell r="A491">
            <v>474</v>
          </cell>
          <cell r="B491">
            <v>57619</v>
          </cell>
          <cell r="C491">
            <v>0</v>
          </cell>
          <cell r="D491">
            <v>152.25260868051714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830.55711423633738</v>
          </cell>
        </row>
        <row r="492">
          <cell r="A492">
            <v>475</v>
          </cell>
          <cell r="B492">
            <v>57650</v>
          </cell>
          <cell r="C492">
            <v>0</v>
          </cell>
          <cell r="D492">
            <v>152.25260868051714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830.55711423633738</v>
          </cell>
        </row>
        <row r="493">
          <cell r="A493">
            <v>476</v>
          </cell>
          <cell r="B493">
            <v>57680</v>
          </cell>
          <cell r="C493">
            <v>0</v>
          </cell>
          <cell r="D493">
            <v>152.25260868051714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830.55711423633738</v>
          </cell>
        </row>
        <row r="494">
          <cell r="A494">
            <v>477</v>
          </cell>
          <cell r="B494">
            <v>57711</v>
          </cell>
          <cell r="C494">
            <v>0</v>
          </cell>
          <cell r="D494">
            <v>152.25260868051714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830.55711423633738</v>
          </cell>
        </row>
        <row r="495">
          <cell r="A495">
            <v>478</v>
          </cell>
          <cell r="B495">
            <v>57742</v>
          </cell>
          <cell r="C495">
            <v>0</v>
          </cell>
          <cell r="D495">
            <v>152.25260868051714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830.55711423633738</v>
          </cell>
        </row>
        <row r="496">
          <cell r="A496">
            <v>479</v>
          </cell>
          <cell r="B496">
            <v>57770</v>
          </cell>
          <cell r="C496">
            <v>0</v>
          </cell>
          <cell r="D496">
            <v>152.25260868051714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830.55711423633738</v>
          </cell>
        </row>
        <row r="497">
          <cell r="A497">
            <v>480</v>
          </cell>
          <cell r="B497">
            <v>57801</v>
          </cell>
          <cell r="C497">
            <v>0</v>
          </cell>
          <cell r="D497">
            <v>152.25260868051714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830.55711423633738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Hoja1"/>
      <sheetName val="Hoja2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Estado de Flujo de Caj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Resumen"/>
      <sheetName val="Cash Flow"/>
      <sheetName val="Detalles de Inversion"/>
      <sheetName val="Plan de Desembolsos"/>
      <sheetName val="Precios Energía Primaria"/>
      <sheetName val="Precios Energia Secundaria"/>
      <sheetName val="Fuel-USCG"/>
      <sheetName val="Financiamiento"/>
      <sheetName val="Amortizacion"/>
      <sheetName val="Performance"/>
      <sheetName val="IDC"/>
      <sheetName val="O&amp;M"/>
      <sheetName val="Labor O&amp;M"/>
      <sheetName val="Ingresos y Costos"/>
      <sheetName val="Transporte Terminal"/>
      <sheetName val="Pricing Terminal"/>
      <sheetName val="Invers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cenarios"/>
      <sheetName val="Base"/>
      <sheetName val="CF"/>
      <sheetName val="Capex"/>
      <sheetName val="Generacion"/>
      <sheetName val="O&amp;M"/>
      <sheetName val="IDC"/>
      <sheetName val="Debt"/>
      <sheetName val="Mezzanine"/>
      <sheetName val="Deprec"/>
      <sheetName val="am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A4359E-1477-4E95-97A3-94769FA81DB2}" name="Tabla22" displayName="Tabla22" ref="B3:K15" totalsRowShown="0" headerRowDxfId="35" dataDxfId="33" headerRowBorderDxfId="34">
  <tableColumns count="10">
    <tableColumn id="1" xr3:uid="{5368EB3B-6918-4618-8BB0-CF3E56463251}" name="Resumen del Proyecto" dataDxfId="32" totalsRowDxfId="31"/>
    <tableColumn id="9" xr3:uid="{C10142B2-0A47-4973-B737-0EF89BE7B7E6}" name="Cantidad total para proyecto" totalsRowDxfId="30"/>
    <tableColumn id="8" xr3:uid="{013A2879-C2FB-4AA7-A709-4B7B5B5C34C8}" name="Costo Unitario" totalsRowDxfId="29"/>
    <tableColumn id="2" xr3:uid="{B308F15D-5974-47F6-8D5C-853299A387A5}" name="Costo total" dataDxfId="28"/>
    <tableColumn id="3" xr3:uid="{C3D146A9-6CCC-4565-98E1-552B11B2EB35}" name="% del costo" dataDxfId="27"/>
    <tableColumn id="10" xr3:uid="{23F821D9-BF50-44E2-B6E8-7ACA6D120F9D}" name="Venta Unitario" dataDxfId="26"/>
    <tableColumn id="5" xr3:uid="{419626AA-09A9-4EF3-8251-42DC7A4ED9A4}" name="P. Venta total" dataDxfId="25"/>
    <tableColumn id="6" xr3:uid="{86F3DDE9-7F25-4C2F-9F65-039401B183B8}" name="Costo Mensual (4 años) " dataDxfId="24"/>
    <tableColumn id="11" xr3:uid="{A1023F84-9BA3-48A7-8E65-E4986AF4EAAD}" name="Venta mensual (4 años) Unitaria" dataDxfId="23"/>
    <tableColumn id="12" xr3:uid="{8DB11FCD-6D9A-461B-A0DD-6590A2160C4C}" name="Venta mensual total " dataDxfId="22">
      <calculatedColumnFormula>Tabla22[[#This Row],[Venta mensual (4 años) Unitaria]]*Tabla22[[#This Row],[Cantidad total para proyecto]]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B3:G28" totalsRowShown="0" headerRowDxfId="21" dataDxfId="19" headerRowBorderDxfId="20">
  <tableColumns count="6">
    <tableColumn id="1" xr3:uid="{00000000-0010-0000-0000-000001000000}" name="Resumen del Proyecto" dataDxfId="18" totalsRowDxfId="17"/>
    <tableColumn id="2" xr3:uid="{00000000-0010-0000-0000-000002000000}" name="Costo" dataDxfId="16"/>
    <tableColumn id="3" xr3:uid="{00000000-0010-0000-0000-000003000000}" name="% del costo" dataDxfId="15"/>
    <tableColumn id="4" xr3:uid="{00000000-0010-0000-0000-000004000000}" name="% de venta" dataDxfId="14"/>
    <tableColumn id="5" xr3:uid="{00000000-0010-0000-0000-000005000000}" name="P. Venta " dataDxfId="13"/>
    <tableColumn id="6" xr3:uid="{00000000-0010-0000-0000-000006000000}" name="Margen X Componente" dataDxfId="1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C5DB90-01BB-45CF-A1EA-118C141375E2}" name="Tabla24" displayName="Tabla24" ref="B3:G28" totalsRowShown="0" headerRowDxfId="11" dataDxfId="9" headerRowBorderDxfId="10">
  <tableColumns count="6">
    <tableColumn id="1" xr3:uid="{537B03A0-2C23-416A-AF5B-E6ADD909FCAA}" name="Resumen del Proyecto" dataDxfId="8" totalsRowDxfId="7"/>
    <tableColumn id="2" xr3:uid="{1B8520EC-58AD-4B7E-A295-1E5013A58461}" name="Costo" dataDxfId="6"/>
    <tableColumn id="3" xr3:uid="{46550BCA-C462-4104-8445-D7F18A4DEAE3}" name="% del costo" dataDxfId="5"/>
    <tableColumn id="4" xr3:uid="{9572AAF8-9F15-4B15-8B1D-A37F48F1C326}" name="% de venta" dataDxfId="4"/>
    <tableColumn id="5" xr3:uid="{5B5A9EF9-2DA7-48C0-A8E5-90D96442665A}" name="P. Venta " dataDxfId="3"/>
    <tableColumn id="6" xr3:uid="{00524EC1-8078-486B-9E00-DDC32042D459}" name="Margen X Componente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grupovision.org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249977111117893"/>
    <pageSetUpPr fitToPage="1"/>
  </sheetPr>
  <dimension ref="B1:P161"/>
  <sheetViews>
    <sheetView workbookViewId="0"/>
  </sheetViews>
  <sheetFormatPr baseColWidth="10" defaultColWidth="11.5703125" defaultRowHeight="12.75"/>
  <cols>
    <col min="1" max="1" width="11.42578125" customWidth="1"/>
    <col min="2" max="2" width="47.85546875" customWidth="1"/>
    <col min="3" max="4" width="11.42578125" customWidth="1"/>
    <col min="5" max="5" width="4" style="12" bestFit="1" customWidth="1"/>
    <col min="6" max="6" width="36" style="12" customWidth="1"/>
    <col min="7" max="7" width="34.42578125" style="12" bestFit="1" customWidth="1"/>
    <col min="8" max="9" width="14.7109375" customWidth="1"/>
    <col min="10" max="15" width="22.42578125" style="12" customWidth="1"/>
    <col min="16" max="16" width="58.85546875" customWidth="1"/>
  </cols>
  <sheetData>
    <row r="1" spans="2:16">
      <c r="B1" s="28" t="s">
        <v>0</v>
      </c>
      <c r="C1" s="28" t="s">
        <v>1</v>
      </c>
      <c r="J1" s="514" t="s">
        <v>2</v>
      </c>
      <c r="K1" s="515"/>
      <c r="L1" s="515"/>
      <c r="M1" s="515"/>
      <c r="N1" s="515"/>
      <c r="O1" s="515"/>
    </row>
    <row r="2" spans="2:16">
      <c r="B2" s="87" t="s">
        <v>3</v>
      </c>
      <c r="C2" s="88"/>
      <c r="E2" s="90" t="s">
        <v>4</v>
      </c>
      <c r="F2" s="90" t="s">
        <v>5</v>
      </c>
      <c r="G2" s="90" t="s">
        <v>6</v>
      </c>
      <c r="H2" s="90" t="s">
        <v>7</v>
      </c>
      <c r="I2" s="90" t="s">
        <v>8</v>
      </c>
      <c r="J2" s="92" t="s">
        <v>9</v>
      </c>
      <c r="K2" s="92" t="s">
        <v>10</v>
      </c>
      <c r="L2" s="92" t="s">
        <v>11</v>
      </c>
      <c r="M2" s="92" t="s">
        <v>12</v>
      </c>
      <c r="N2" s="92" t="s">
        <v>13</v>
      </c>
      <c r="O2" s="92" t="s">
        <v>14</v>
      </c>
      <c r="P2" s="90" t="s">
        <v>15</v>
      </c>
    </row>
    <row r="3" spans="2:16" ht="132">
      <c r="B3" s="441" t="s">
        <v>16</v>
      </c>
      <c r="C3" s="442">
        <v>48</v>
      </c>
      <c r="E3" s="89">
        <v>1</v>
      </c>
      <c r="F3" s="91" t="s">
        <v>17</v>
      </c>
      <c r="G3" s="91" t="s">
        <v>18</v>
      </c>
      <c r="H3" s="91" t="s">
        <v>19</v>
      </c>
      <c r="I3" s="89">
        <f>C3+C13</f>
        <v>103</v>
      </c>
      <c r="J3" s="93" t="s">
        <v>20</v>
      </c>
      <c r="K3" s="93" t="s">
        <v>21</v>
      </c>
      <c r="L3" s="93"/>
      <c r="M3" s="93"/>
      <c r="N3" s="93"/>
      <c r="O3" s="94" t="s">
        <v>22</v>
      </c>
      <c r="P3" s="95" t="s">
        <v>23</v>
      </c>
    </row>
    <row r="4" spans="2:16" ht="132">
      <c r="B4" s="441" t="s">
        <v>24</v>
      </c>
      <c r="C4" s="442">
        <v>30</v>
      </c>
      <c r="E4" s="89">
        <v>2</v>
      </c>
      <c r="F4" s="91" t="s">
        <v>25</v>
      </c>
      <c r="G4" s="91" t="s">
        <v>26</v>
      </c>
      <c r="H4" s="91" t="s">
        <v>19</v>
      </c>
      <c r="I4" s="89">
        <f>C4+C12</f>
        <v>272</v>
      </c>
      <c r="J4" s="93" t="s">
        <v>27</v>
      </c>
      <c r="K4" s="93" t="s">
        <v>28</v>
      </c>
      <c r="L4" s="93"/>
      <c r="M4" s="93"/>
      <c r="N4" s="93"/>
      <c r="O4" s="94" t="s">
        <v>29</v>
      </c>
      <c r="P4" s="95" t="s">
        <v>30</v>
      </c>
    </row>
    <row r="5" spans="2:16" ht="132">
      <c r="B5" s="443" t="s">
        <v>31</v>
      </c>
      <c r="C5" s="442">
        <v>15</v>
      </c>
      <c r="E5" s="89">
        <v>3</v>
      </c>
      <c r="F5" s="91" t="s">
        <v>32</v>
      </c>
      <c r="G5" s="91" t="s">
        <v>33</v>
      </c>
      <c r="H5" s="91" t="s">
        <v>19</v>
      </c>
      <c r="I5" s="89">
        <f>C5+C6</f>
        <v>27</v>
      </c>
      <c r="J5" s="93" t="s">
        <v>34</v>
      </c>
      <c r="K5" s="93" t="s">
        <v>35</v>
      </c>
      <c r="L5" s="93"/>
      <c r="M5" s="93"/>
      <c r="N5" s="93"/>
      <c r="O5" s="94" t="s">
        <v>36</v>
      </c>
      <c r="P5" s="95" t="s">
        <v>30</v>
      </c>
    </row>
    <row r="6" spans="2:16" ht="72">
      <c r="B6" s="443" t="s">
        <v>37</v>
      </c>
      <c r="C6" s="442">
        <v>12</v>
      </c>
      <c r="E6" s="89">
        <v>4</v>
      </c>
      <c r="F6" s="91" t="s">
        <v>38</v>
      </c>
      <c r="G6" s="91" t="s">
        <v>39</v>
      </c>
      <c r="H6" s="91" t="s">
        <v>40</v>
      </c>
      <c r="I6" s="89">
        <f>C7</f>
        <v>9</v>
      </c>
      <c r="J6" s="93" t="s">
        <v>41</v>
      </c>
      <c r="K6" s="93" t="s">
        <v>42</v>
      </c>
      <c r="L6" s="93"/>
      <c r="M6" s="93"/>
      <c r="N6" s="93"/>
      <c r="O6" s="94" t="s">
        <v>43</v>
      </c>
      <c r="P6" s="95" t="s">
        <v>44</v>
      </c>
    </row>
    <row r="7" spans="2:16" ht="96">
      <c r="B7" s="443" t="s">
        <v>45</v>
      </c>
      <c r="C7" s="442">
        <v>9</v>
      </c>
      <c r="E7" s="89">
        <v>5</v>
      </c>
      <c r="F7" s="91" t="s">
        <v>46</v>
      </c>
      <c r="G7" s="91" t="s">
        <v>47</v>
      </c>
      <c r="H7" s="91" t="s">
        <v>48</v>
      </c>
      <c r="I7" s="89">
        <f>C8+C17</f>
        <v>27</v>
      </c>
      <c r="J7" s="93" t="s">
        <v>49</v>
      </c>
      <c r="K7" s="93" t="s">
        <v>50</v>
      </c>
      <c r="L7" s="93"/>
      <c r="M7" s="93"/>
      <c r="N7" s="93"/>
      <c r="O7" s="94" t="s">
        <v>51</v>
      </c>
      <c r="P7" s="95" t="s">
        <v>52</v>
      </c>
    </row>
    <row r="8" spans="2:16" ht="96">
      <c r="B8" s="443" t="s">
        <v>53</v>
      </c>
      <c r="C8" s="442">
        <v>20</v>
      </c>
      <c r="E8" s="89">
        <v>6</v>
      </c>
      <c r="F8" s="91" t="s">
        <v>54</v>
      </c>
      <c r="G8" s="91" t="s">
        <v>55</v>
      </c>
      <c r="H8" s="91" t="s">
        <v>56</v>
      </c>
      <c r="I8" s="89">
        <f>C9+C15+C14</f>
        <v>23</v>
      </c>
      <c r="J8" s="93" t="s">
        <v>57</v>
      </c>
      <c r="K8" s="93" t="s">
        <v>58</v>
      </c>
      <c r="L8" s="93"/>
      <c r="M8" s="93"/>
      <c r="N8" s="93"/>
      <c r="O8" s="94" t="s">
        <v>59</v>
      </c>
      <c r="P8" s="95" t="s">
        <v>60</v>
      </c>
    </row>
    <row r="9" spans="2:16" ht="108">
      <c r="B9" s="443" t="s">
        <v>61</v>
      </c>
      <c r="C9" s="442">
        <v>14</v>
      </c>
      <c r="E9" s="89">
        <v>7</v>
      </c>
      <c r="F9" s="91" t="s">
        <v>62</v>
      </c>
      <c r="G9" s="91" t="s">
        <v>63</v>
      </c>
      <c r="H9" s="91" t="s">
        <v>19</v>
      </c>
      <c r="I9" s="89">
        <f>C10</f>
        <v>19</v>
      </c>
      <c r="J9" s="93" t="s">
        <v>64</v>
      </c>
      <c r="K9" s="93" t="s">
        <v>65</v>
      </c>
      <c r="L9" s="93"/>
      <c r="M9" s="93"/>
      <c r="N9" s="93"/>
      <c r="O9" s="94" t="s">
        <v>66</v>
      </c>
      <c r="P9" s="95" t="s">
        <v>67</v>
      </c>
    </row>
    <row r="10" spans="2:16" ht="108">
      <c r="B10" s="436" t="s">
        <v>68</v>
      </c>
      <c r="C10" s="442">
        <v>19</v>
      </c>
      <c r="E10" s="89">
        <v>8</v>
      </c>
      <c r="F10" s="91" t="s">
        <v>69</v>
      </c>
      <c r="G10" s="91" t="s">
        <v>70</v>
      </c>
      <c r="H10" s="91" t="s">
        <v>19</v>
      </c>
      <c r="I10" s="89">
        <f>C18</f>
        <v>2</v>
      </c>
      <c r="J10" s="93" t="s">
        <v>71</v>
      </c>
      <c r="K10" s="93" t="s">
        <v>72</v>
      </c>
      <c r="L10" s="93"/>
      <c r="M10" s="93"/>
      <c r="N10" s="93"/>
      <c r="O10" s="94" t="s">
        <v>73</v>
      </c>
      <c r="P10" s="95" t="s">
        <v>67</v>
      </c>
    </row>
    <row r="11" spans="2:16" ht="108">
      <c r="B11" s="87" t="s">
        <v>74</v>
      </c>
      <c r="C11" s="88"/>
      <c r="E11" s="89">
        <v>9</v>
      </c>
      <c r="F11" s="91" t="s">
        <v>75</v>
      </c>
      <c r="G11" s="91" t="s">
        <v>76</v>
      </c>
      <c r="H11" s="91" t="s">
        <v>77</v>
      </c>
      <c r="I11" s="89">
        <f>C16</f>
        <v>21</v>
      </c>
      <c r="J11" s="93" t="s">
        <v>78</v>
      </c>
      <c r="K11" s="93" t="s">
        <v>79</v>
      </c>
      <c r="L11" s="93"/>
      <c r="M11" s="93"/>
      <c r="N11" s="93"/>
      <c r="O11" s="94" t="s">
        <v>80</v>
      </c>
      <c r="P11" s="95" t="s">
        <v>81</v>
      </c>
    </row>
    <row r="12" spans="2:16" ht="25.5">
      <c r="B12" s="443" t="s">
        <v>82</v>
      </c>
      <c r="C12" s="442">
        <v>242</v>
      </c>
      <c r="E12"/>
      <c r="F12"/>
      <c r="G12"/>
      <c r="J12"/>
      <c r="K12"/>
      <c r="L12"/>
      <c r="M12"/>
      <c r="N12"/>
      <c r="O12"/>
    </row>
    <row r="13" spans="2:16" ht="25.5">
      <c r="B13" s="443" t="s">
        <v>83</v>
      </c>
      <c r="C13" s="442">
        <v>55</v>
      </c>
    </row>
    <row r="14" spans="2:16" ht="25.5">
      <c r="B14" s="436" t="s">
        <v>84</v>
      </c>
      <c r="C14" s="442">
        <v>7</v>
      </c>
      <c r="F14" s="37" t="s">
        <v>85</v>
      </c>
    </row>
    <row r="15" spans="2:16" ht="25.5">
      <c r="B15" s="436" t="s">
        <v>86</v>
      </c>
      <c r="C15" s="442">
        <v>2</v>
      </c>
      <c r="G15" s="18" t="s">
        <v>87</v>
      </c>
    </row>
    <row r="16" spans="2:16" ht="25.5">
      <c r="B16" s="436" t="s">
        <v>88</v>
      </c>
      <c r="C16" s="442">
        <v>21</v>
      </c>
    </row>
    <row r="17" spans="2:15" ht="26.25" thickBot="1">
      <c r="B17" s="436" t="s">
        <v>89</v>
      </c>
      <c r="C17" s="442">
        <v>7</v>
      </c>
    </row>
    <row r="18" spans="2:15" ht="25.5">
      <c r="B18" s="443" t="s">
        <v>90</v>
      </c>
      <c r="C18" s="442">
        <v>2</v>
      </c>
      <c r="F18" s="521" t="s">
        <v>91</v>
      </c>
      <c r="G18" s="522"/>
      <c r="H18" s="522"/>
      <c r="I18" s="522"/>
      <c r="J18" s="522"/>
      <c r="K18" s="522"/>
      <c r="L18" s="522"/>
      <c r="M18" s="522"/>
      <c r="N18" s="523"/>
      <c r="O18"/>
    </row>
    <row r="19" spans="2:15" ht="25.5">
      <c r="B19" s="443" t="s">
        <v>92</v>
      </c>
      <c r="C19" s="442">
        <v>6</v>
      </c>
      <c r="F19" s="516" t="s">
        <v>91</v>
      </c>
      <c r="G19" s="517"/>
      <c r="H19" s="517"/>
      <c r="J19" s="517" t="s">
        <v>93</v>
      </c>
      <c r="K19" s="517"/>
      <c r="L19" s="517"/>
      <c r="M19"/>
      <c r="N19" s="49"/>
      <c r="O19"/>
    </row>
    <row r="20" spans="2:15">
      <c r="F20" s="102" t="s">
        <v>94</v>
      </c>
      <c r="G20" s="101" t="s">
        <v>95</v>
      </c>
      <c r="H20" s="101" t="s">
        <v>8</v>
      </c>
      <c r="J20" s="90" t="s">
        <v>4</v>
      </c>
      <c r="K20" s="90" t="s">
        <v>5</v>
      </c>
      <c r="L20" s="90" t="s">
        <v>8</v>
      </c>
      <c r="M20"/>
      <c r="N20" s="49"/>
      <c r="O20"/>
    </row>
    <row r="21" spans="2:15" ht="25.5">
      <c r="F21" s="103" t="s">
        <v>17</v>
      </c>
      <c r="G21" s="96" t="s">
        <v>96</v>
      </c>
      <c r="H21" s="97">
        <v>50</v>
      </c>
      <c r="J21" s="89">
        <v>1</v>
      </c>
      <c r="K21" s="99" t="s">
        <v>97</v>
      </c>
      <c r="L21" s="89">
        <f>SUM(M21:M26)</f>
        <v>149</v>
      </c>
      <c r="M21" s="444">
        <v>95</v>
      </c>
      <c r="N21" s="445" t="s">
        <v>97</v>
      </c>
      <c r="O21"/>
    </row>
    <row r="22" spans="2:15" ht="25.5">
      <c r="F22" s="104">
        <v>103</v>
      </c>
      <c r="G22" s="96" t="s">
        <v>98</v>
      </c>
      <c r="H22" s="97">
        <f>H21</f>
        <v>50</v>
      </c>
      <c r="J22" s="89">
        <v>2</v>
      </c>
      <c r="K22" s="99" t="s">
        <v>99</v>
      </c>
      <c r="L22" s="89">
        <f>SUM(M27:M32)</f>
        <v>149</v>
      </c>
      <c r="M22" s="444">
        <v>9</v>
      </c>
      <c r="N22" s="445" t="s">
        <v>97</v>
      </c>
      <c r="O22"/>
    </row>
    <row r="23" spans="2:15" ht="25.5">
      <c r="F23" s="104"/>
      <c r="G23" s="98" t="s">
        <v>96</v>
      </c>
      <c r="H23" s="97">
        <f>F22-H21</f>
        <v>53</v>
      </c>
      <c r="J23" s="89">
        <v>3</v>
      </c>
      <c r="K23" s="99" t="s">
        <v>100</v>
      </c>
      <c r="L23" s="89">
        <f>SUM(M33)</f>
        <v>95</v>
      </c>
      <c r="M23" s="444">
        <v>15</v>
      </c>
      <c r="N23" s="445" t="s">
        <v>97</v>
      </c>
      <c r="O23"/>
    </row>
    <row r="24" spans="2:15" ht="25.5">
      <c r="F24" s="104"/>
      <c r="G24" s="98" t="s">
        <v>101</v>
      </c>
      <c r="H24" s="97">
        <f>H23</f>
        <v>53</v>
      </c>
      <c r="J24" s="89">
        <v>4</v>
      </c>
      <c r="K24" s="99" t="s">
        <v>102</v>
      </c>
      <c r="L24" s="89">
        <f>M34</f>
        <v>9</v>
      </c>
      <c r="M24" s="444">
        <v>10</v>
      </c>
      <c r="N24" s="445" t="s">
        <v>97</v>
      </c>
      <c r="O24"/>
    </row>
    <row r="25" spans="2:15" ht="25.5">
      <c r="F25" s="104"/>
      <c r="G25" s="98" t="s">
        <v>103</v>
      </c>
      <c r="H25" s="97">
        <f>H23</f>
        <v>53</v>
      </c>
      <c r="J25" s="89">
        <v>5</v>
      </c>
      <c r="K25" s="99" t="s">
        <v>104</v>
      </c>
      <c r="L25" s="89">
        <f>M35</f>
        <v>15</v>
      </c>
      <c r="M25" s="444">
        <v>10</v>
      </c>
      <c r="N25" s="445" t="s">
        <v>97</v>
      </c>
      <c r="O25"/>
    </row>
    <row r="26" spans="2:15" ht="25.5">
      <c r="F26" s="103" t="s">
        <v>25</v>
      </c>
      <c r="G26" s="99" t="s">
        <v>96</v>
      </c>
      <c r="H26" s="97">
        <v>95</v>
      </c>
      <c r="J26" s="89">
        <v>6</v>
      </c>
      <c r="K26" s="99" t="s">
        <v>105</v>
      </c>
      <c r="L26" s="89">
        <f>M37</f>
        <v>10</v>
      </c>
      <c r="M26" s="444">
        <v>10</v>
      </c>
      <c r="N26" s="445" t="s">
        <v>97</v>
      </c>
      <c r="O26"/>
    </row>
    <row r="27" spans="2:15" ht="25.5">
      <c r="F27" s="104">
        <v>272</v>
      </c>
      <c r="G27" s="99" t="s">
        <v>97</v>
      </c>
      <c r="H27" s="97">
        <f>H26</f>
        <v>95</v>
      </c>
      <c r="J27" s="89">
        <v>7</v>
      </c>
      <c r="K27" s="96" t="s">
        <v>96</v>
      </c>
      <c r="L27" s="89">
        <f>SUM(M39:M42)</f>
        <v>375</v>
      </c>
      <c r="M27" s="444">
        <v>95</v>
      </c>
      <c r="N27" s="445" t="s">
        <v>99</v>
      </c>
      <c r="O27"/>
    </row>
    <row r="28" spans="2:15" ht="25.5">
      <c r="F28" s="104"/>
      <c r="G28" s="99" t="s">
        <v>99</v>
      </c>
      <c r="H28" s="97">
        <f>H26</f>
        <v>95</v>
      </c>
      <c r="J28" s="89">
        <v>8</v>
      </c>
      <c r="K28" s="98" t="s">
        <v>103</v>
      </c>
      <c r="L28" s="89">
        <f>SUM(M43:M49)</f>
        <v>277</v>
      </c>
      <c r="M28" s="444">
        <v>9</v>
      </c>
      <c r="N28" s="445" t="s">
        <v>99</v>
      </c>
      <c r="O28"/>
    </row>
    <row r="29" spans="2:15" ht="25.5">
      <c r="F29" s="104"/>
      <c r="G29" s="99" t="s">
        <v>100</v>
      </c>
      <c r="H29" s="97">
        <f>H27</f>
        <v>95</v>
      </c>
      <c r="J29" s="89">
        <v>9</v>
      </c>
      <c r="K29" s="100" t="s">
        <v>106</v>
      </c>
      <c r="L29" s="89">
        <f>M50</f>
        <v>92</v>
      </c>
      <c r="M29" s="444">
        <v>15</v>
      </c>
      <c r="N29" s="445" t="s">
        <v>99</v>
      </c>
      <c r="O29"/>
    </row>
    <row r="30" spans="2:15" ht="25.5">
      <c r="F30" s="104"/>
      <c r="G30" s="98" t="s">
        <v>96</v>
      </c>
      <c r="H30" s="97">
        <f>F27-H26</f>
        <v>177</v>
      </c>
      <c r="J30" s="89">
        <v>10</v>
      </c>
      <c r="K30" s="100" t="s">
        <v>107</v>
      </c>
      <c r="L30" s="89">
        <f>M51</f>
        <v>108</v>
      </c>
      <c r="M30" s="444">
        <v>10</v>
      </c>
      <c r="N30" s="445" t="s">
        <v>99</v>
      </c>
      <c r="O30"/>
    </row>
    <row r="31" spans="2:15" ht="25.5">
      <c r="F31" s="104"/>
      <c r="G31" s="98" t="s">
        <v>101</v>
      </c>
      <c r="H31" s="97">
        <f>H30</f>
        <v>177</v>
      </c>
      <c r="J31" s="89">
        <v>11</v>
      </c>
      <c r="K31" s="96" t="s">
        <v>98</v>
      </c>
      <c r="L31" s="89">
        <f>M52</f>
        <v>50</v>
      </c>
      <c r="M31" s="444">
        <v>10</v>
      </c>
      <c r="N31" s="445" t="s">
        <v>99</v>
      </c>
      <c r="O31"/>
    </row>
    <row r="32" spans="2:15" ht="25.5">
      <c r="F32" s="104"/>
      <c r="G32" s="98" t="s">
        <v>103</v>
      </c>
      <c r="H32" s="97">
        <f>H30</f>
        <v>177</v>
      </c>
      <c r="J32" s="89">
        <v>12</v>
      </c>
      <c r="K32" s="96" t="s">
        <v>108</v>
      </c>
      <c r="L32" s="89">
        <f>SUM(M53:M54)</f>
        <v>12</v>
      </c>
      <c r="M32" s="444">
        <v>10</v>
      </c>
      <c r="N32" s="445" t="s">
        <v>99</v>
      </c>
      <c r="O32"/>
    </row>
    <row r="33" spans="6:15" ht="25.5">
      <c r="F33" s="103" t="s">
        <v>32</v>
      </c>
      <c r="G33" s="96" t="s">
        <v>109</v>
      </c>
      <c r="H33" s="97">
        <v>27</v>
      </c>
      <c r="J33" s="89">
        <v>13</v>
      </c>
      <c r="K33" s="96" t="s">
        <v>109</v>
      </c>
      <c r="L33" s="89">
        <f>SUM(M55)</f>
        <v>27</v>
      </c>
      <c r="M33" s="444">
        <v>95</v>
      </c>
      <c r="N33" s="445" t="s">
        <v>100</v>
      </c>
      <c r="O33"/>
    </row>
    <row r="34" spans="6:15" ht="25.5">
      <c r="F34" s="103" t="s">
        <v>38</v>
      </c>
      <c r="G34" s="99" t="s">
        <v>102</v>
      </c>
      <c r="H34" s="97">
        <v>9</v>
      </c>
      <c r="J34" s="89">
        <v>14</v>
      </c>
      <c r="K34" s="98" t="s">
        <v>101</v>
      </c>
      <c r="L34" s="89">
        <f>SUM(M56:M62)</f>
        <v>277</v>
      </c>
      <c r="M34" s="444">
        <v>9</v>
      </c>
      <c r="N34" s="445" t="s">
        <v>102</v>
      </c>
      <c r="O34"/>
    </row>
    <row r="35" spans="6:15" ht="25.5">
      <c r="F35" s="104">
        <v>9</v>
      </c>
      <c r="G35" s="99" t="s">
        <v>97</v>
      </c>
      <c r="H35" s="97">
        <f>H34</f>
        <v>9</v>
      </c>
      <c r="K35"/>
      <c r="M35" s="444">
        <v>15</v>
      </c>
      <c r="N35" s="446" t="s">
        <v>104</v>
      </c>
      <c r="O35"/>
    </row>
    <row r="36" spans="6:15" ht="25.5">
      <c r="F36" s="104"/>
      <c r="G36" s="99" t="s">
        <v>99</v>
      </c>
      <c r="H36" s="97">
        <f>H34</f>
        <v>9</v>
      </c>
      <c r="K36"/>
      <c r="M36" s="444">
        <v>12</v>
      </c>
      <c r="N36" s="447" t="s">
        <v>104</v>
      </c>
      <c r="O36"/>
    </row>
    <row r="37" spans="6:15" ht="25.5">
      <c r="F37" s="103" t="s">
        <v>46</v>
      </c>
      <c r="G37" s="99" t="s">
        <v>104</v>
      </c>
      <c r="H37" s="97">
        <v>15</v>
      </c>
      <c r="K37"/>
      <c r="M37" s="444">
        <v>10</v>
      </c>
      <c r="N37" s="446" t="s">
        <v>105</v>
      </c>
      <c r="O37"/>
    </row>
    <row r="38" spans="6:15" ht="25.5">
      <c r="F38" s="104">
        <v>27</v>
      </c>
      <c r="G38" s="99" t="s">
        <v>97</v>
      </c>
      <c r="H38" s="97">
        <f>H37</f>
        <v>15</v>
      </c>
      <c r="K38"/>
      <c r="M38" s="444">
        <v>11</v>
      </c>
      <c r="N38" s="447" t="s">
        <v>105</v>
      </c>
      <c r="O38"/>
    </row>
    <row r="39" spans="6:15" ht="25.5">
      <c r="F39" s="104"/>
      <c r="G39" s="99" t="s">
        <v>99</v>
      </c>
      <c r="H39" s="97">
        <f>H38</f>
        <v>15</v>
      </c>
      <c r="K39"/>
      <c r="M39" s="444">
        <v>50</v>
      </c>
      <c r="N39" s="448" t="s">
        <v>96</v>
      </c>
      <c r="O39"/>
    </row>
    <row r="40" spans="6:15" ht="25.5">
      <c r="F40" s="104"/>
      <c r="G40" s="98" t="s">
        <v>104</v>
      </c>
      <c r="H40" s="97">
        <f>F38-H37</f>
        <v>12</v>
      </c>
      <c r="K40"/>
      <c r="M40" s="444">
        <v>53</v>
      </c>
      <c r="N40" s="447" t="s">
        <v>96</v>
      </c>
      <c r="O40"/>
    </row>
    <row r="41" spans="6:15" ht="25.5">
      <c r="F41" s="104"/>
      <c r="G41" s="98" t="s">
        <v>101</v>
      </c>
      <c r="H41" s="97">
        <f>H40</f>
        <v>12</v>
      </c>
      <c r="K41"/>
      <c r="M41" s="444">
        <v>95</v>
      </c>
      <c r="N41" s="446" t="s">
        <v>96</v>
      </c>
      <c r="O41"/>
    </row>
    <row r="42" spans="6:15" ht="25.5">
      <c r="F42" s="104"/>
      <c r="G42" s="98" t="s">
        <v>103</v>
      </c>
      <c r="H42" s="97">
        <f>H41</f>
        <v>12</v>
      </c>
      <c r="K42"/>
      <c r="M42" s="444">
        <v>177</v>
      </c>
      <c r="N42" s="447" t="s">
        <v>96</v>
      </c>
      <c r="O42"/>
    </row>
    <row r="43" spans="6:15" ht="25.5">
      <c r="F43" s="104"/>
      <c r="G43" s="100" t="s">
        <v>107</v>
      </c>
      <c r="H43" s="97">
        <f>4*F38</f>
        <v>108</v>
      </c>
      <c r="K43"/>
      <c r="M43" s="444">
        <v>53</v>
      </c>
      <c r="N43" s="447" t="s">
        <v>103</v>
      </c>
      <c r="O43"/>
    </row>
    <row r="44" spans="6:15" ht="25.5">
      <c r="F44" s="103" t="s">
        <v>54</v>
      </c>
      <c r="G44" s="99" t="s">
        <v>97</v>
      </c>
      <c r="H44" s="97">
        <v>10</v>
      </c>
      <c r="K44"/>
      <c r="M44" s="444">
        <v>177</v>
      </c>
      <c r="N44" s="447" t="s">
        <v>103</v>
      </c>
      <c r="O44"/>
    </row>
    <row r="45" spans="6:15" ht="25.5">
      <c r="F45" s="104">
        <v>23</v>
      </c>
      <c r="G45" s="99" t="s">
        <v>99</v>
      </c>
      <c r="H45" s="97">
        <f>H44</f>
        <v>10</v>
      </c>
      <c r="K45"/>
      <c r="M45" s="444">
        <v>12</v>
      </c>
      <c r="N45" s="447" t="s">
        <v>103</v>
      </c>
      <c r="O45"/>
    </row>
    <row r="46" spans="6:15" ht="25.5">
      <c r="F46" s="104"/>
      <c r="G46" s="98" t="s">
        <v>101</v>
      </c>
      <c r="H46" s="97">
        <f>F45-H44</f>
        <v>13</v>
      </c>
      <c r="K46"/>
      <c r="M46" s="444">
        <v>13</v>
      </c>
      <c r="N46" s="447" t="s">
        <v>103</v>
      </c>
      <c r="O46"/>
    </row>
    <row r="47" spans="6:15" ht="25.5">
      <c r="F47" s="104"/>
      <c r="G47" s="98" t="s">
        <v>103</v>
      </c>
      <c r="H47" s="97">
        <f>H46</f>
        <v>13</v>
      </c>
      <c r="K47"/>
      <c r="M47" s="444">
        <v>9</v>
      </c>
      <c r="N47" s="447" t="s">
        <v>103</v>
      </c>
      <c r="O47"/>
    </row>
    <row r="48" spans="6:15" ht="25.5">
      <c r="F48" s="104"/>
      <c r="G48" s="100" t="s">
        <v>106</v>
      </c>
      <c r="H48" s="97">
        <f>4*F45</f>
        <v>92</v>
      </c>
      <c r="K48"/>
      <c r="M48" s="444">
        <v>2</v>
      </c>
      <c r="N48" s="447" t="s">
        <v>103</v>
      </c>
      <c r="O48"/>
    </row>
    <row r="49" spans="6:15" ht="25.5">
      <c r="F49" s="103" t="s">
        <v>62</v>
      </c>
      <c r="G49" s="99" t="s">
        <v>97</v>
      </c>
      <c r="H49" s="97">
        <v>10</v>
      </c>
      <c r="K49"/>
      <c r="M49" s="444">
        <v>11</v>
      </c>
      <c r="N49" s="447" t="s">
        <v>103</v>
      </c>
      <c r="O49"/>
    </row>
    <row r="50" spans="6:15" ht="25.5">
      <c r="F50" s="104">
        <v>19</v>
      </c>
      <c r="G50" s="99" t="s">
        <v>99</v>
      </c>
      <c r="H50" s="97">
        <f>H49</f>
        <v>10</v>
      </c>
      <c r="K50"/>
      <c r="M50" s="444">
        <v>92</v>
      </c>
      <c r="N50" s="449" t="s">
        <v>106</v>
      </c>
      <c r="O50"/>
    </row>
    <row r="51" spans="6:15" ht="25.5">
      <c r="F51" s="104"/>
      <c r="G51" s="98" t="s">
        <v>101</v>
      </c>
      <c r="H51" s="97">
        <v>9</v>
      </c>
      <c r="K51"/>
      <c r="M51" s="444">
        <v>108</v>
      </c>
      <c r="N51" s="449" t="s">
        <v>107</v>
      </c>
      <c r="O51"/>
    </row>
    <row r="52" spans="6:15" ht="25.5">
      <c r="F52" s="104"/>
      <c r="G52" s="98" t="s">
        <v>103</v>
      </c>
      <c r="H52" s="97">
        <f>H51</f>
        <v>9</v>
      </c>
      <c r="K52"/>
      <c r="M52" s="444">
        <v>50</v>
      </c>
      <c r="N52" s="448" t="s">
        <v>98</v>
      </c>
      <c r="O52"/>
    </row>
    <row r="53" spans="6:15" ht="25.5">
      <c r="F53" s="104"/>
      <c r="G53" s="96" t="s">
        <v>108</v>
      </c>
      <c r="H53" s="97">
        <v>10</v>
      </c>
      <c r="K53"/>
      <c r="M53" s="444">
        <v>10</v>
      </c>
      <c r="N53" s="448" t="s">
        <v>108</v>
      </c>
      <c r="O53"/>
    </row>
    <row r="54" spans="6:15" ht="25.5">
      <c r="F54" s="103" t="s">
        <v>69</v>
      </c>
      <c r="G54" s="98" t="s">
        <v>101</v>
      </c>
      <c r="H54" s="97">
        <v>2</v>
      </c>
      <c r="K54"/>
      <c r="M54" s="444">
        <v>2</v>
      </c>
      <c r="N54" s="448" t="s">
        <v>108</v>
      </c>
      <c r="O54"/>
    </row>
    <row r="55" spans="6:15" ht="25.5">
      <c r="F55" s="104">
        <v>2</v>
      </c>
      <c r="G55" s="98" t="s">
        <v>103</v>
      </c>
      <c r="H55" s="97">
        <v>2</v>
      </c>
      <c r="K55"/>
      <c r="M55" s="444">
        <v>27</v>
      </c>
      <c r="N55" s="448" t="s">
        <v>109</v>
      </c>
      <c r="O55"/>
    </row>
    <row r="56" spans="6:15" ht="25.5">
      <c r="F56" s="104"/>
      <c r="G56" s="96" t="s">
        <v>108</v>
      </c>
      <c r="H56" s="97">
        <v>2</v>
      </c>
      <c r="K56"/>
      <c r="M56" s="444">
        <v>53</v>
      </c>
      <c r="N56" s="447" t="s">
        <v>101</v>
      </c>
      <c r="O56"/>
    </row>
    <row r="57" spans="6:15" ht="25.5">
      <c r="F57" s="103" t="s">
        <v>75</v>
      </c>
      <c r="G57" s="99" t="s">
        <v>105</v>
      </c>
      <c r="H57" s="97">
        <v>10</v>
      </c>
      <c r="K57"/>
      <c r="M57" s="444">
        <v>177</v>
      </c>
      <c r="N57" s="447" t="s">
        <v>101</v>
      </c>
      <c r="O57"/>
    </row>
    <row r="58" spans="6:15" ht="25.5">
      <c r="F58" s="104">
        <v>21</v>
      </c>
      <c r="G58" s="99" t="s">
        <v>97</v>
      </c>
      <c r="H58" s="97">
        <f>H57</f>
        <v>10</v>
      </c>
      <c r="K58"/>
      <c r="M58" s="444">
        <v>12</v>
      </c>
      <c r="N58" s="447" t="s">
        <v>101</v>
      </c>
      <c r="O58"/>
    </row>
    <row r="59" spans="6:15" ht="25.5">
      <c r="F59" s="104"/>
      <c r="G59" s="99" t="s">
        <v>99</v>
      </c>
      <c r="H59" s="97">
        <f>H57</f>
        <v>10</v>
      </c>
      <c r="K59"/>
      <c r="M59" s="444">
        <v>13</v>
      </c>
      <c r="N59" s="447" t="s">
        <v>101</v>
      </c>
      <c r="O59"/>
    </row>
    <row r="60" spans="6:15" ht="25.5">
      <c r="F60" s="104"/>
      <c r="G60" s="98" t="s">
        <v>105</v>
      </c>
      <c r="H60" s="97">
        <v>11</v>
      </c>
      <c r="K60"/>
      <c r="M60" s="444">
        <v>9</v>
      </c>
      <c r="N60" s="447" t="s">
        <v>101</v>
      </c>
      <c r="O60"/>
    </row>
    <row r="61" spans="6:15" ht="25.5">
      <c r="F61" s="104"/>
      <c r="G61" s="98" t="s">
        <v>101</v>
      </c>
      <c r="H61" s="97">
        <f>H60</f>
        <v>11</v>
      </c>
      <c r="K61"/>
      <c r="M61" s="444">
        <v>2</v>
      </c>
      <c r="N61" s="447" t="s">
        <v>101</v>
      </c>
      <c r="O61"/>
    </row>
    <row r="62" spans="6:15" ht="26.25" thickBot="1">
      <c r="F62" s="105"/>
      <c r="G62" s="106" t="s">
        <v>103</v>
      </c>
      <c r="H62" s="107">
        <f>H60</f>
        <v>11</v>
      </c>
      <c r="I62" s="108"/>
      <c r="J62" s="109"/>
      <c r="K62" s="108"/>
      <c r="L62" s="109"/>
      <c r="M62" s="123">
        <v>11</v>
      </c>
      <c r="N62" s="450" t="s">
        <v>101</v>
      </c>
      <c r="O62"/>
    </row>
    <row r="64" spans="6:15" ht="13.5" thickBot="1"/>
    <row r="65" spans="2:14">
      <c r="F65" s="521" t="s">
        <v>110</v>
      </c>
      <c r="G65" s="522"/>
      <c r="H65" s="522"/>
      <c r="I65" s="522"/>
      <c r="J65" s="522"/>
      <c r="K65" s="522"/>
      <c r="L65" s="522"/>
      <c r="M65" s="522"/>
      <c r="N65" s="523"/>
    </row>
    <row r="66" spans="2:14" ht="15">
      <c r="B66" s="28" t="s">
        <v>0</v>
      </c>
      <c r="C66" s="28" t="s">
        <v>1</v>
      </c>
      <c r="F66" s="518" t="s">
        <v>111</v>
      </c>
      <c r="G66" s="518"/>
      <c r="H66" s="518"/>
      <c r="I66" s="518"/>
      <c r="K66" s="518" t="s">
        <v>112</v>
      </c>
      <c r="L66" s="518"/>
      <c r="M66" s="518"/>
      <c r="N66" s="518"/>
    </row>
    <row r="67" spans="2:14" ht="15">
      <c r="B67" s="87" t="s">
        <v>3</v>
      </c>
      <c r="C67" s="88">
        <f>SUM(C68:C75)</f>
        <v>167</v>
      </c>
      <c r="F67" s="126" t="s">
        <v>113</v>
      </c>
      <c r="G67" s="126" t="s">
        <v>114</v>
      </c>
      <c r="H67" s="126" t="s">
        <v>115</v>
      </c>
      <c r="I67" s="126" t="s">
        <v>116</v>
      </c>
      <c r="K67" s="126" t="s">
        <v>113</v>
      </c>
      <c r="L67" s="126" t="s">
        <v>114</v>
      </c>
      <c r="M67" s="126" t="s">
        <v>115</v>
      </c>
      <c r="N67" s="126" t="s">
        <v>116</v>
      </c>
    </row>
    <row r="68" spans="2:14" ht="25.5">
      <c r="B68" s="441" t="s">
        <v>16</v>
      </c>
      <c r="C68" s="442">
        <v>48</v>
      </c>
      <c r="F68" s="127" t="s">
        <v>117</v>
      </c>
      <c r="G68" s="128"/>
      <c r="H68" s="128"/>
      <c r="I68" s="128"/>
      <c r="K68" s="127" t="s">
        <v>117</v>
      </c>
      <c r="L68" s="128"/>
      <c r="M68" s="128"/>
      <c r="N68" s="128"/>
    </row>
    <row r="69" spans="2:14" ht="25.5">
      <c r="B69" s="441" t="s">
        <v>24</v>
      </c>
      <c r="C69" s="442">
        <v>30</v>
      </c>
      <c r="F69" s="129" t="s">
        <v>118</v>
      </c>
      <c r="G69" s="130">
        <v>50</v>
      </c>
      <c r="H69" s="117"/>
      <c r="I69" s="112">
        <f>H69*G69</f>
        <v>0</v>
      </c>
      <c r="K69" s="129" t="s">
        <v>118</v>
      </c>
      <c r="L69" s="130">
        <v>50</v>
      </c>
      <c r="M69" s="117"/>
      <c r="N69" s="112">
        <f>M69*L69</f>
        <v>0</v>
      </c>
    </row>
    <row r="70" spans="2:14" ht="25.5">
      <c r="B70" s="443" t="s">
        <v>31</v>
      </c>
      <c r="C70" s="442">
        <v>15</v>
      </c>
      <c r="F70" s="110" t="s">
        <v>119</v>
      </c>
      <c r="G70" s="112">
        <v>126.49999999999999</v>
      </c>
      <c r="H70" s="117">
        <f>C67/2</f>
        <v>83.5</v>
      </c>
      <c r="I70" s="112">
        <f t="shared" ref="I70:I121" si="0">H70*G70</f>
        <v>10562.749999999998</v>
      </c>
      <c r="K70" s="110" t="s">
        <v>119</v>
      </c>
      <c r="L70" s="112">
        <v>126.49999999999999</v>
      </c>
      <c r="M70" s="117">
        <f>C76/2</f>
        <v>168</v>
      </c>
      <c r="N70" s="112">
        <f t="shared" ref="N70:N82" si="1">M70*L70</f>
        <v>21251.999999999996</v>
      </c>
    </row>
    <row r="71" spans="2:14" ht="25.5">
      <c r="B71" s="443" t="s">
        <v>37</v>
      </c>
      <c r="C71" s="442">
        <v>12</v>
      </c>
      <c r="F71" s="110" t="s">
        <v>120</v>
      </c>
      <c r="G71" s="112">
        <v>3000</v>
      </c>
      <c r="H71" s="117"/>
      <c r="I71" s="112">
        <f t="shared" si="0"/>
        <v>0</v>
      </c>
      <c r="K71" s="110" t="s">
        <v>120</v>
      </c>
      <c r="L71" s="112">
        <v>3000</v>
      </c>
      <c r="M71" s="117"/>
      <c r="N71" s="112">
        <f t="shared" si="1"/>
        <v>0</v>
      </c>
    </row>
    <row r="72" spans="2:14" ht="25.5">
      <c r="B72" s="443" t="s">
        <v>45</v>
      </c>
      <c r="C72" s="442">
        <v>9</v>
      </c>
      <c r="F72" s="110" t="s">
        <v>121</v>
      </c>
      <c r="G72" s="112">
        <v>218.48</v>
      </c>
      <c r="H72" s="117"/>
      <c r="I72" s="112">
        <f t="shared" si="0"/>
        <v>0</v>
      </c>
      <c r="K72" s="110" t="s">
        <v>121</v>
      </c>
      <c r="L72" s="112">
        <v>218.48</v>
      </c>
      <c r="M72" s="117"/>
      <c r="N72" s="112">
        <f t="shared" si="1"/>
        <v>0</v>
      </c>
    </row>
    <row r="73" spans="2:14" ht="25.5">
      <c r="B73" s="443" t="s">
        <v>53</v>
      </c>
      <c r="C73" s="442">
        <v>20</v>
      </c>
      <c r="F73" s="110" t="s">
        <v>122</v>
      </c>
      <c r="G73" s="112">
        <v>40</v>
      </c>
      <c r="H73" s="117"/>
      <c r="I73" s="112">
        <f t="shared" si="0"/>
        <v>0</v>
      </c>
      <c r="K73" s="110" t="s">
        <v>122</v>
      </c>
      <c r="L73" s="112">
        <v>40</v>
      </c>
      <c r="M73" s="117"/>
      <c r="N73" s="112">
        <f t="shared" si="1"/>
        <v>0</v>
      </c>
    </row>
    <row r="74" spans="2:14" ht="25.5">
      <c r="B74" s="443" t="s">
        <v>61</v>
      </c>
      <c r="C74" s="442">
        <v>14</v>
      </c>
      <c r="F74" s="110" t="s">
        <v>123</v>
      </c>
      <c r="G74" s="130">
        <v>60</v>
      </c>
      <c r="H74" s="117"/>
      <c r="I74" s="112">
        <f t="shared" si="0"/>
        <v>0</v>
      </c>
      <c r="K74" s="110" t="s">
        <v>123</v>
      </c>
      <c r="L74" s="130">
        <v>60</v>
      </c>
      <c r="M74" s="117"/>
      <c r="N74" s="112">
        <f t="shared" si="1"/>
        <v>0</v>
      </c>
    </row>
    <row r="75" spans="2:14" ht="25.5">
      <c r="B75" s="436" t="s">
        <v>68</v>
      </c>
      <c r="C75" s="442">
        <v>19</v>
      </c>
      <c r="F75" s="110" t="s">
        <v>124</v>
      </c>
      <c r="G75" s="112">
        <v>144</v>
      </c>
      <c r="H75" s="89"/>
      <c r="I75" s="112">
        <f t="shared" si="0"/>
        <v>0</v>
      </c>
      <c r="K75" s="110" t="s">
        <v>124</v>
      </c>
      <c r="L75" s="112">
        <v>144</v>
      </c>
      <c r="M75" s="89"/>
      <c r="N75" s="112">
        <f t="shared" si="1"/>
        <v>0</v>
      </c>
    </row>
    <row r="76" spans="2:14" ht="25.5">
      <c r="B76" s="87" t="s">
        <v>74</v>
      </c>
      <c r="C76" s="88">
        <f>SUM(C77:C84)</f>
        <v>336</v>
      </c>
      <c r="F76" s="110" t="s">
        <v>125</v>
      </c>
      <c r="G76" s="112">
        <v>270.60000000000002</v>
      </c>
      <c r="H76" s="117"/>
      <c r="I76" s="112">
        <f t="shared" si="0"/>
        <v>0</v>
      </c>
      <c r="K76" s="110" t="s">
        <v>125</v>
      </c>
      <c r="L76" s="112">
        <v>270.60000000000002</v>
      </c>
      <c r="M76" s="117"/>
      <c r="N76" s="112">
        <f t="shared" si="1"/>
        <v>0</v>
      </c>
    </row>
    <row r="77" spans="2:14" ht="25.5">
      <c r="B77" s="443" t="s">
        <v>82</v>
      </c>
      <c r="C77" s="442">
        <v>242</v>
      </c>
      <c r="F77" s="110" t="s">
        <v>126</v>
      </c>
      <c r="G77" s="130">
        <v>0.95</v>
      </c>
      <c r="H77" s="116"/>
      <c r="I77" s="112">
        <f t="shared" si="0"/>
        <v>0</v>
      </c>
      <c r="K77" s="110" t="s">
        <v>126</v>
      </c>
      <c r="L77" s="130">
        <v>0.95</v>
      </c>
      <c r="M77" s="116"/>
      <c r="N77" s="112">
        <f t="shared" si="1"/>
        <v>0</v>
      </c>
    </row>
    <row r="78" spans="2:14" ht="25.5">
      <c r="B78" s="443" t="s">
        <v>83</v>
      </c>
      <c r="C78" s="442">
        <v>55</v>
      </c>
      <c r="F78" s="110" t="s">
        <v>127</v>
      </c>
      <c r="G78" s="130">
        <v>1.25</v>
      </c>
      <c r="H78" s="89">
        <f>C67*5</f>
        <v>835</v>
      </c>
      <c r="I78" s="112">
        <f t="shared" si="0"/>
        <v>1043.75</v>
      </c>
      <c r="K78" s="110" t="s">
        <v>127</v>
      </c>
      <c r="L78" s="130">
        <v>1.25</v>
      </c>
      <c r="M78" s="116">
        <f>C67*5</f>
        <v>835</v>
      </c>
      <c r="N78" s="112">
        <f t="shared" si="1"/>
        <v>1043.75</v>
      </c>
    </row>
    <row r="79" spans="2:14" ht="25.5">
      <c r="B79" s="436" t="s">
        <v>84</v>
      </c>
      <c r="C79" s="442">
        <v>7</v>
      </c>
      <c r="F79" s="131" t="s">
        <v>128</v>
      </c>
      <c r="G79" s="130">
        <v>4.7</v>
      </c>
      <c r="H79" s="117"/>
      <c r="I79" s="112">
        <f t="shared" si="0"/>
        <v>0</v>
      </c>
      <c r="K79" s="131" t="s">
        <v>128</v>
      </c>
      <c r="L79" s="130">
        <v>4.7</v>
      </c>
      <c r="M79" s="117"/>
      <c r="N79" s="112">
        <f t="shared" si="1"/>
        <v>0</v>
      </c>
    </row>
    <row r="80" spans="2:14" ht="25.5">
      <c r="B80" s="436" t="s">
        <v>86</v>
      </c>
      <c r="C80" s="442">
        <v>2</v>
      </c>
      <c r="F80" s="110" t="s">
        <v>129</v>
      </c>
      <c r="G80" s="132">
        <v>2000</v>
      </c>
      <c r="H80" s="117"/>
      <c r="I80" s="112">
        <f t="shared" si="0"/>
        <v>0</v>
      </c>
      <c r="K80" s="110" t="s">
        <v>129</v>
      </c>
      <c r="L80" s="132">
        <v>2000</v>
      </c>
      <c r="M80" s="117"/>
      <c r="N80" s="112">
        <f t="shared" si="1"/>
        <v>0</v>
      </c>
    </row>
    <row r="81" spans="2:14" ht="25.5">
      <c r="B81" s="436" t="s">
        <v>88</v>
      </c>
      <c r="C81" s="442">
        <v>21</v>
      </c>
      <c r="F81" s="116" t="s">
        <v>130</v>
      </c>
      <c r="G81" s="116"/>
      <c r="H81" s="116"/>
      <c r="I81" s="112">
        <f t="shared" si="0"/>
        <v>0</v>
      </c>
      <c r="K81" s="116" t="s">
        <v>130</v>
      </c>
      <c r="L81" s="116"/>
      <c r="M81" s="116"/>
      <c r="N81" s="112">
        <f t="shared" si="1"/>
        <v>0</v>
      </c>
    </row>
    <row r="82" spans="2:14" ht="25.5">
      <c r="B82" s="436" t="s">
        <v>89</v>
      </c>
      <c r="C82" s="442">
        <v>7</v>
      </c>
      <c r="F82" s="124" t="s">
        <v>131</v>
      </c>
      <c r="G82" s="120">
        <v>7.39</v>
      </c>
      <c r="H82" s="117"/>
      <c r="I82" s="112">
        <f t="shared" si="0"/>
        <v>0</v>
      </c>
      <c r="K82" s="124" t="s">
        <v>131</v>
      </c>
      <c r="L82" s="120">
        <v>7.39</v>
      </c>
      <c r="M82" s="117"/>
      <c r="N82" s="112">
        <f t="shared" si="1"/>
        <v>0</v>
      </c>
    </row>
    <row r="83" spans="2:14" ht="25.5">
      <c r="B83" s="443" t="s">
        <v>90</v>
      </c>
      <c r="C83" s="442">
        <v>2</v>
      </c>
      <c r="F83" s="127" t="s">
        <v>132</v>
      </c>
      <c r="G83" s="128"/>
      <c r="H83" s="128"/>
      <c r="I83" s="128"/>
      <c r="K83" s="127" t="s">
        <v>132</v>
      </c>
      <c r="L83" s="128"/>
      <c r="M83" s="128"/>
      <c r="N83" s="128"/>
    </row>
    <row r="84" spans="2:14">
      <c r="F84" s="125" t="s">
        <v>133</v>
      </c>
      <c r="G84" s="112">
        <v>2900</v>
      </c>
      <c r="H84" s="117"/>
      <c r="I84" s="112">
        <f t="shared" si="0"/>
        <v>0</v>
      </c>
      <c r="K84" s="125" t="s">
        <v>133</v>
      </c>
      <c r="L84" s="112">
        <v>2900</v>
      </c>
      <c r="M84" s="117"/>
      <c r="N84" s="112">
        <f t="shared" ref="N84:N89" si="2">M84*L84</f>
        <v>0</v>
      </c>
    </row>
    <row r="85" spans="2:14">
      <c r="F85" s="125" t="s">
        <v>134</v>
      </c>
      <c r="G85" s="112">
        <v>6000</v>
      </c>
      <c r="H85" s="117">
        <v>56</v>
      </c>
      <c r="I85" s="112">
        <f t="shared" si="0"/>
        <v>336000</v>
      </c>
      <c r="K85" s="125" t="s">
        <v>134</v>
      </c>
      <c r="L85" s="112">
        <v>6000</v>
      </c>
      <c r="M85" s="117"/>
      <c r="N85" s="112">
        <f t="shared" si="2"/>
        <v>0</v>
      </c>
    </row>
    <row r="86" spans="2:14">
      <c r="F86" s="110" t="s">
        <v>135</v>
      </c>
      <c r="G86" s="112">
        <v>7500</v>
      </c>
      <c r="H86" s="116"/>
      <c r="I86" s="112">
        <f t="shared" si="0"/>
        <v>0</v>
      </c>
      <c r="K86" s="110" t="s">
        <v>135</v>
      </c>
      <c r="L86" s="112">
        <v>7500</v>
      </c>
      <c r="M86" s="116"/>
      <c r="N86" s="112">
        <f t="shared" si="2"/>
        <v>0</v>
      </c>
    </row>
    <row r="87" spans="2:14" ht="25.5">
      <c r="F87" s="110" t="s">
        <v>136</v>
      </c>
      <c r="G87" s="112">
        <v>12.8</v>
      </c>
      <c r="H87" s="117">
        <f>H85</f>
        <v>56</v>
      </c>
      <c r="I87" s="112">
        <f t="shared" si="0"/>
        <v>716.80000000000007</v>
      </c>
      <c r="K87" s="110" t="s">
        <v>136</v>
      </c>
      <c r="L87" s="112">
        <v>12.8</v>
      </c>
      <c r="M87" s="117"/>
      <c r="N87" s="112">
        <f t="shared" si="2"/>
        <v>0</v>
      </c>
    </row>
    <row r="88" spans="2:14">
      <c r="F88" s="125" t="s">
        <v>137</v>
      </c>
      <c r="G88" s="130">
        <v>6.7</v>
      </c>
      <c r="H88" s="117"/>
      <c r="I88" s="112">
        <f t="shared" si="0"/>
        <v>0</v>
      </c>
      <c r="K88" s="125" t="s">
        <v>137</v>
      </c>
      <c r="L88" s="130">
        <v>6.7</v>
      </c>
      <c r="M88" s="117"/>
      <c r="N88" s="112">
        <f t="shared" si="2"/>
        <v>0</v>
      </c>
    </row>
    <row r="89" spans="2:14">
      <c r="F89" s="125" t="s">
        <v>138</v>
      </c>
      <c r="G89" s="130">
        <v>6.65</v>
      </c>
      <c r="H89" s="117"/>
      <c r="I89" s="112">
        <f t="shared" si="0"/>
        <v>0</v>
      </c>
      <c r="K89" s="125" t="s">
        <v>138</v>
      </c>
      <c r="L89" s="130">
        <v>6.65</v>
      </c>
      <c r="M89" s="117"/>
      <c r="N89" s="112">
        <f t="shared" si="2"/>
        <v>0</v>
      </c>
    </row>
    <row r="90" spans="2:14" ht="15">
      <c r="F90" s="127" t="s">
        <v>139</v>
      </c>
      <c r="G90" s="128"/>
      <c r="H90" s="128"/>
      <c r="I90" s="128"/>
      <c r="K90" s="127" t="s">
        <v>139</v>
      </c>
      <c r="L90" s="128"/>
      <c r="M90" s="128"/>
      <c r="N90" s="128"/>
    </row>
    <row r="91" spans="2:14">
      <c r="F91" s="116" t="s">
        <v>140</v>
      </c>
      <c r="G91" s="112">
        <v>67</v>
      </c>
      <c r="H91" s="117"/>
      <c r="I91" s="112">
        <f t="shared" si="0"/>
        <v>0</v>
      </c>
      <c r="K91" s="116" t="s">
        <v>140</v>
      </c>
      <c r="L91" s="112">
        <v>67</v>
      </c>
      <c r="M91" s="117"/>
      <c r="N91" s="112">
        <f t="shared" ref="N91:N95" si="3">M91*L91</f>
        <v>0</v>
      </c>
    </row>
    <row r="92" spans="2:14">
      <c r="F92" s="116" t="s">
        <v>141</v>
      </c>
      <c r="G92" s="120">
        <v>45.5</v>
      </c>
      <c r="H92" s="117"/>
      <c r="I92" s="112">
        <f t="shared" si="0"/>
        <v>0</v>
      </c>
      <c r="K92" s="116" t="s">
        <v>141</v>
      </c>
      <c r="L92" s="120">
        <v>45.5</v>
      </c>
      <c r="M92" s="117"/>
      <c r="N92" s="112">
        <f t="shared" si="3"/>
        <v>0</v>
      </c>
    </row>
    <row r="93" spans="2:14">
      <c r="F93" s="116" t="s">
        <v>142</v>
      </c>
      <c r="G93" s="120">
        <v>8.6999999999999993</v>
      </c>
      <c r="H93" s="117"/>
      <c r="I93" s="112">
        <f t="shared" si="0"/>
        <v>0</v>
      </c>
      <c r="K93" s="116" t="s">
        <v>142</v>
      </c>
      <c r="L93" s="120">
        <v>8.6999999999999993</v>
      </c>
      <c r="M93" s="117"/>
      <c r="N93" s="112">
        <f t="shared" si="3"/>
        <v>0</v>
      </c>
    </row>
    <row r="94" spans="2:14">
      <c r="F94" s="116" t="s">
        <v>143</v>
      </c>
      <c r="G94" s="120">
        <v>37</v>
      </c>
      <c r="H94" s="117"/>
      <c r="I94" s="112">
        <f t="shared" si="0"/>
        <v>0</v>
      </c>
      <c r="K94" s="116" t="s">
        <v>143</v>
      </c>
      <c r="L94" s="120">
        <v>37</v>
      </c>
      <c r="M94" s="117"/>
      <c r="N94" s="112">
        <f t="shared" si="3"/>
        <v>0</v>
      </c>
    </row>
    <row r="95" spans="2:14">
      <c r="F95" s="116" t="s">
        <v>144</v>
      </c>
      <c r="G95" s="120">
        <v>7.39</v>
      </c>
      <c r="H95" s="117"/>
      <c r="I95" s="112">
        <f t="shared" si="0"/>
        <v>0</v>
      </c>
      <c r="K95" s="116" t="s">
        <v>144</v>
      </c>
      <c r="L95" s="120">
        <v>7.39</v>
      </c>
      <c r="M95" s="117"/>
      <c r="N95" s="112">
        <f t="shared" si="3"/>
        <v>0</v>
      </c>
    </row>
    <row r="96" spans="2:14" ht="15">
      <c r="F96" s="127" t="s">
        <v>145</v>
      </c>
      <c r="G96" s="128"/>
      <c r="H96" s="128"/>
      <c r="I96" s="128"/>
      <c r="K96" s="127" t="s">
        <v>145</v>
      </c>
      <c r="L96" s="128"/>
      <c r="M96" s="128"/>
      <c r="N96" s="128"/>
    </row>
    <row r="97" spans="4:14">
      <c r="F97" s="110" t="s">
        <v>146</v>
      </c>
      <c r="G97" s="112">
        <v>100</v>
      </c>
      <c r="H97" s="117"/>
      <c r="I97" s="112">
        <f t="shared" si="0"/>
        <v>0</v>
      </c>
      <c r="K97" s="110" t="s">
        <v>146</v>
      </c>
      <c r="L97" s="112">
        <v>100</v>
      </c>
      <c r="M97" s="117"/>
      <c r="N97" s="112">
        <f t="shared" ref="N97:N102" si="4">M97*L97</f>
        <v>0</v>
      </c>
    </row>
    <row r="98" spans="4:14">
      <c r="F98" s="110" t="s">
        <v>147</v>
      </c>
      <c r="G98" s="112">
        <v>2</v>
      </c>
      <c r="H98" s="117"/>
      <c r="I98" s="112">
        <f t="shared" si="0"/>
        <v>0</v>
      </c>
      <c r="K98" s="110" t="s">
        <v>147</v>
      </c>
      <c r="L98" s="112">
        <v>2</v>
      </c>
      <c r="M98" s="117"/>
      <c r="N98" s="112">
        <f t="shared" si="4"/>
        <v>0</v>
      </c>
    </row>
    <row r="99" spans="4:14">
      <c r="F99" s="110" t="s">
        <v>148</v>
      </c>
      <c r="G99" s="112">
        <v>2</v>
      </c>
      <c r="H99" s="117"/>
      <c r="I99" s="112">
        <f t="shared" si="0"/>
        <v>0</v>
      </c>
      <c r="K99" s="110" t="s">
        <v>148</v>
      </c>
      <c r="L99" s="112">
        <v>2</v>
      </c>
      <c r="M99" s="117"/>
      <c r="N99" s="112">
        <f t="shared" si="4"/>
        <v>0</v>
      </c>
    </row>
    <row r="100" spans="4:14">
      <c r="F100" s="110" t="s">
        <v>149</v>
      </c>
      <c r="G100" s="112">
        <v>325</v>
      </c>
      <c r="H100" s="117"/>
      <c r="I100" s="112">
        <f t="shared" si="0"/>
        <v>0</v>
      </c>
      <c r="K100" s="110" t="s">
        <v>149</v>
      </c>
      <c r="L100" s="112">
        <v>325</v>
      </c>
      <c r="M100" s="117"/>
      <c r="N100" s="112">
        <f t="shared" si="4"/>
        <v>0</v>
      </c>
    </row>
    <row r="101" spans="4:14">
      <c r="F101" s="125" t="s">
        <v>150</v>
      </c>
      <c r="G101" s="112">
        <v>3</v>
      </c>
      <c r="H101" s="117">
        <v>0</v>
      </c>
      <c r="I101" s="112">
        <f t="shared" si="0"/>
        <v>0</v>
      </c>
      <c r="K101" s="125" t="s">
        <v>150</v>
      </c>
      <c r="L101" s="112">
        <v>3</v>
      </c>
      <c r="M101" s="117">
        <v>0</v>
      </c>
      <c r="N101" s="112">
        <f t="shared" si="4"/>
        <v>0</v>
      </c>
    </row>
    <row r="102" spans="4:14" ht="25.5">
      <c r="F102" s="110" t="s">
        <v>151</v>
      </c>
      <c r="G102" s="112">
        <v>2</v>
      </c>
      <c r="H102" s="117">
        <f>8*C67</f>
        <v>1336</v>
      </c>
      <c r="I102" s="112">
        <f t="shared" si="0"/>
        <v>2672</v>
      </c>
      <c r="K102" s="110" t="s">
        <v>151</v>
      </c>
      <c r="L102" s="112">
        <v>2</v>
      </c>
      <c r="M102" s="117">
        <f>8*C76</f>
        <v>2688</v>
      </c>
      <c r="N102" s="112">
        <f t="shared" si="4"/>
        <v>5376</v>
      </c>
    </row>
    <row r="103" spans="4:14" ht="15">
      <c r="F103" s="127" t="s">
        <v>152</v>
      </c>
      <c r="G103" s="128"/>
      <c r="H103" s="128"/>
      <c r="I103" s="128"/>
      <c r="K103" s="127" t="s">
        <v>152</v>
      </c>
      <c r="L103" s="128"/>
      <c r="M103" s="128"/>
      <c r="N103" s="128"/>
    </row>
    <row r="104" spans="4:14">
      <c r="F104" s="110" t="s">
        <v>153</v>
      </c>
      <c r="G104" s="112">
        <f>112</f>
        <v>112</v>
      </c>
      <c r="H104" s="117"/>
      <c r="I104" s="112">
        <f t="shared" si="0"/>
        <v>0</v>
      </c>
      <c r="K104" s="110" t="s">
        <v>153</v>
      </c>
      <c r="L104" s="112">
        <f>112</f>
        <v>112</v>
      </c>
      <c r="M104" s="117"/>
      <c r="N104" s="112">
        <f t="shared" ref="N104:N108" si="5">M104*L104</f>
        <v>0</v>
      </c>
    </row>
    <row r="105" spans="4:14">
      <c r="F105" s="110" t="s">
        <v>154</v>
      </c>
      <c r="G105" s="115">
        <v>28</v>
      </c>
      <c r="H105" s="117"/>
      <c r="I105" s="112">
        <f t="shared" si="0"/>
        <v>0</v>
      </c>
      <c r="K105" s="110" t="s">
        <v>154</v>
      </c>
      <c r="L105" s="115">
        <v>28</v>
      </c>
      <c r="M105" s="117"/>
      <c r="N105" s="112">
        <f t="shared" si="5"/>
        <v>0</v>
      </c>
    </row>
    <row r="106" spans="4:14">
      <c r="F106" s="110" t="s">
        <v>155</v>
      </c>
      <c r="G106" s="119">
        <v>139</v>
      </c>
      <c r="H106" s="117"/>
      <c r="I106" s="112">
        <f t="shared" si="0"/>
        <v>0</v>
      </c>
      <c r="K106" s="110" t="s">
        <v>155</v>
      </c>
      <c r="L106" s="119">
        <v>139</v>
      </c>
      <c r="M106" s="117"/>
      <c r="N106" s="112">
        <f t="shared" si="5"/>
        <v>0</v>
      </c>
    </row>
    <row r="107" spans="4:14">
      <c r="F107" s="110" t="s">
        <v>156</v>
      </c>
      <c r="G107" s="119">
        <v>16.5</v>
      </c>
      <c r="H107" s="117">
        <f>C67</f>
        <v>167</v>
      </c>
      <c r="I107" s="112">
        <f t="shared" si="0"/>
        <v>2755.5</v>
      </c>
      <c r="K107" s="110" t="s">
        <v>156</v>
      </c>
      <c r="L107" s="119">
        <v>16.5</v>
      </c>
      <c r="M107" s="117">
        <f>C76</f>
        <v>336</v>
      </c>
      <c r="N107" s="112">
        <f t="shared" si="5"/>
        <v>5544</v>
      </c>
    </row>
    <row r="108" spans="4:14">
      <c r="F108" s="110" t="s">
        <v>157</v>
      </c>
      <c r="G108" s="119">
        <v>54.12</v>
      </c>
      <c r="H108" s="117">
        <f>H107*2</f>
        <v>334</v>
      </c>
      <c r="I108" s="112">
        <f t="shared" si="0"/>
        <v>18076.079999999998</v>
      </c>
      <c r="K108" s="110" t="s">
        <v>157</v>
      </c>
      <c r="L108" s="119">
        <v>54.12</v>
      </c>
      <c r="M108" s="117">
        <f>M107*2</f>
        <v>672</v>
      </c>
      <c r="N108" s="112">
        <f t="shared" si="5"/>
        <v>36368.639999999999</v>
      </c>
    </row>
    <row r="109" spans="4:14" ht="15">
      <c r="F109" s="127" t="s">
        <v>158</v>
      </c>
      <c r="G109" s="128"/>
      <c r="H109" s="128"/>
      <c r="I109" s="128"/>
      <c r="K109" s="127" t="s">
        <v>158</v>
      </c>
      <c r="L109" s="128"/>
      <c r="M109" s="128"/>
      <c r="N109" s="128"/>
    </row>
    <row r="110" spans="4:14">
      <c r="D110" s="122"/>
      <c r="F110" s="138" t="s">
        <v>159</v>
      </c>
      <c r="G110" s="132">
        <v>183.68</v>
      </c>
      <c r="H110" s="117">
        <f>1.5*(C69+C70+C73+C74)</f>
        <v>118.5</v>
      </c>
      <c r="I110" s="112">
        <f>H110*G110</f>
        <v>21766.080000000002</v>
      </c>
      <c r="K110" s="138" t="s">
        <v>159</v>
      </c>
      <c r="L110" s="132">
        <v>183.68</v>
      </c>
      <c r="M110" s="117">
        <f>1.5*(C77+C79+C81+C83)</f>
        <v>408</v>
      </c>
      <c r="N110" s="112">
        <f>M110*L110</f>
        <v>74941.440000000002</v>
      </c>
    </row>
    <row r="111" spans="4:14" ht="25.5">
      <c r="D111" s="122"/>
      <c r="F111" s="138" t="s">
        <v>160</v>
      </c>
      <c r="G111" s="112">
        <v>82.1</v>
      </c>
      <c r="H111" s="117">
        <f>C69+C70+C73+C74</f>
        <v>79</v>
      </c>
      <c r="I111" s="112">
        <f t="shared" si="0"/>
        <v>6485.9</v>
      </c>
      <c r="K111" s="138" t="s">
        <v>160</v>
      </c>
      <c r="L111" s="112">
        <v>82.1</v>
      </c>
      <c r="M111" s="117">
        <v>272</v>
      </c>
      <c r="N111" s="112">
        <f t="shared" ref="N111:N113" si="6">M111*L111</f>
        <v>22331.199999999997</v>
      </c>
    </row>
    <row r="112" spans="4:14">
      <c r="D112" s="122"/>
      <c r="F112" s="138" t="s">
        <v>161</v>
      </c>
      <c r="G112" s="112">
        <v>36.9</v>
      </c>
      <c r="H112" s="117"/>
      <c r="I112" s="112">
        <f t="shared" si="0"/>
        <v>0</v>
      </c>
      <c r="K112" s="138" t="s">
        <v>161</v>
      </c>
      <c r="L112" s="112">
        <v>36.9</v>
      </c>
      <c r="M112" s="117"/>
      <c r="N112" s="112">
        <f t="shared" si="6"/>
        <v>0</v>
      </c>
    </row>
    <row r="113" spans="4:14">
      <c r="D113" s="122"/>
      <c r="F113" s="138" t="s">
        <v>162</v>
      </c>
      <c r="G113" s="130">
        <v>150.1</v>
      </c>
      <c r="H113" s="117"/>
      <c r="I113" s="112">
        <f t="shared" si="0"/>
        <v>0</v>
      </c>
      <c r="K113" s="138" t="s">
        <v>162</v>
      </c>
      <c r="L113" s="130">
        <v>150.1</v>
      </c>
      <c r="M113" s="117"/>
      <c r="N113" s="112">
        <f t="shared" si="6"/>
        <v>0</v>
      </c>
    </row>
    <row r="114" spans="4:14" ht="15">
      <c r="F114" s="127" t="s">
        <v>163</v>
      </c>
      <c r="G114" s="128"/>
      <c r="H114" s="128"/>
      <c r="I114" s="128"/>
      <c r="K114" s="127" t="s">
        <v>163</v>
      </c>
      <c r="L114" s="128"/>
      <c r="M114" s="128"/>
      <c r="N114" s="128"/>
    </row>
    <row r="115" spans="4:14" ht="15">
      <c r="F115" s="110" t="s">
        <v>164</v>
      </c>
      <c r="G115" s="132">
        <v>26.6</v>
      </c>
      <c r="H115" s="126"/>
      <c r="I115" s="112">
        <f t="shared" si="0"/>
        <v>0</v>
      </c>
      <c r="K115" s="110" t="s">
        <v>164</v>
      </c>
      <c r="L115" s="132">
        <v>26.6</v>
      </c>
      <c r="M115" s="126"/>
      <c r="N115" s="112">
        <f t="shared" ref="N115:N121" si="7">M115*L115</f>
        <v>0</v>
      </c>
    </row>
    <row r="116" spans="4:14" ht="25.5">
      <c r="F116" s="110" t="s">
        <v>165</v>
      </c>
      <c r="G116" s="112">
        <v>12.5</v>
      </c>
      <c r="H116" s="126"/>
      <c r="I116" s="112">
        <f t="shared" si="0"/>
        <v>0</v>
      </c>
      <c r="K116" s="110" t="s">
        <v>165</v>
      </c>
      <c r="L116" s="112">
        <v>12.5</v>
      </c>
      <c r="M116" s="126"/>
      <c r="N116" s="112">
        <f t="shared" si="7"/>
        <v>0</v>
      </c>
    </row>
    <row r="117" spans="4:14" ht="15">
      <c r="F117" s="110" t="s">
        <v>166</v>
      </c>
      <c r="G117" s="112">
        <v>4.42</v>
      </c>
      <c r="H117" s="126"/>
      <c r="I117" s="112">
        <f t="shared" si="0"/>
        <v>0</v>
      </c>
      <c r="K117" s="110" t="s">
        <v>166</v>
      </c>
      <c r="L117" s="112">
        <v>4.42</v>
      </c>
      <c r="M117" s="126"/>
      <c r="N117" s="112">
        <f t="shared" si="7"/>
        <v>0</v>
      </c>
    </row>
    <row r="118" spans="4:14" ht="15">
      <c r="F118" s="110" t="s">
        <v>167</v>
      </c>
      <c r="G118" s="130">
        <v>20</v>
      </c>
      <c r="H118" s="126"/>
      <c r="I118" s="112">
        <f t="shared" si="0"/>
        <v>0</v>
      </c>
      <c r="K118" s="110" t="s">
        <v>167</v>
      </c>
      <c r="L118" s="130">
        <v>20</v>
      </c>
      <c r="M118" s="126"/>
      <c r="N118" s="112">
        <f t="shared" si="7"/>
        <v>0</v>
      </c>
    </row>
    <row r="119" spans="4:14" ht="15">
      <c r="F119" s="125" t="s">
        <v>168</v>
      </c>
      <c r="G119" s="112">
        <v>150</v>
      </c>
      <c r="H119" s="126"/>
      <c r="I119" s="112">
        <f t="shared" si="0"/>
        <v>0</v>
      </c>
      <c r="K119" s="125" t="s">
        <v>168</v>
      </c>
      <c r="L119" s="112">
        <v>150</v>
      </c>
      <c r="M119" s="126"/>
      <c r="N119" s="112">
        <f t="shared" si="7"/>
        <v>0</v>
      </c>
    </row>
    <row r="120" spans="4:14" ht="15">
      <c r="F120" s="110" t="s">
        <v>169</v>
      </c>
      <c r="G120" s="112">
        <v>50</v>
      </c>
      <c r="H120" s="126"/>
      <c r="I120" s="112">
        <f t="shared" si="0"/>
        <v>0</v>
      </c>
      <c r="K120" s="110" t="s">
        <v>169</v>
      </c>
      <c r="L120" s="112">
        <v>50</v>
      </c>
      <c r="M120" s="126"/>
      <c r="N120" s="112">
        <f t="shared" si="7"/>
        <v>0</v>
      </c>
    </row>
    <row r="121" spans="4:14" ht="15">
      <c r="F121" s="110" t="s">
        <v>170</v>
      </c>
      <c r="G121" s="130">
        <v>360</v>
      </c>
      <c r="H121" s="126"/>
      <c r="I121" s="112">
        <f t="shared" si="0"/>
        <v>0</v>
      </c>
      <c r="K121" s="110" t="s">
        <v>170</v>
      </c>
      <c r="L121" s="130">
        <v>360</v>
      </c>
      <c r="M121" s="126"/>
      <c r="N121" s="112">
        <f t="shared" si="7"/>
        <v>0</v>
      </c>
    </row>
    <row r="122" spans="4:14" ht="15">
      <c r="F122" s="127" t="s">
        <v>117</v>
      </c>
      <c r="G122" s="128"/>
      <c r="H122" s="128"/>
      <c r="I122" s="128"/>
      <c r="K122" s="127" t="s">
        <v>117</v>
      </c>
      <c r="L122" s="128"/>
      <c r="M122" s="128"/>
      <c r="N122" s="128"/>
    </row>
    <row r="123" spans="4:14">
      <c r="F123" s="110" t="s">
        <v>171</v>
      </c>
      <c r="G123" s="132">
        <v>5.6233333333333331</v>
      </c>
      <c r="H123" s="111"/>
      <c r="I123" s="112">
        <f t="shared" ref="I123:I159" si="8">H123*G123</f>
        <v>0</v>
      </c>
      <c r="K123" s="110" t="s">
        <v>171</v>
      </c>
      <c r="L123" s="132">
        <v>5.6233333333333331</v>
      </c>
      <c r="M123" s="111"/>
      <c r="N123" s="112">
        <f t="shared" ref="N123:N159" si="9">M123*L123</f>
        <v>0</v>
      </c>
    </row>
    <row r="124" spans="4:14">
      <c r="F124" s="110" t="s">
        <v>172</v>
      </c>
      <c r="G124" s="132">
        <v>9.5</v>
      </c>
      <c r="H124" s="113"/>
      <c r="I124" s="112">
        <f t="shared" si="8"/>
        <v>0</v>
      </c>
      <c r="K124" s="110" t="s">
        <v>172</v>
      </c>
      <c r="L124" s="132">
        <v>9.5</v>
      </c>
      <c r="M124" s="113"/>
      <c r="N124" s="112">
        <f t="shared" si="9"/>
        <v>0</v>
      </c>
    </row>
    <row r="125" spans="4:14">
      <c r="F125" s="110" t="s">
        <v>173</v>
      </c>
      <c r="G125" s="112">
        <v>3.92</v>
      </c>
      <c r="H125" s="114"/>
      <c r="I125" s="112">
        <f t="shared" si="8"/>
        <v>0</v>
      </c>
      <c r="K125" s="110" t="s">
        <v>173</v>
      </c>
      <c r="L125" s="112">
        <v>3.92</v>
      </c>
      <c r="M125" s="114"/>
      <c r="N125" s="112">
        <f t="shared" si="9"/>
        <v>0</v>
      </c>
    </row>
    <row r="126" spans="4:14">
      <c r="F126" s="110" t="s">
        <v>174</v>
      </c>
      <c r="G126" s="133">
        <v>30</v>
      </c>
      <c r="H126" s="114"/>
      <c r="I126" s="112">
        <f t="shared" si="8"/>
        <v>0</v>
      </c>
      <c r="K126" s="110" t="s">
        <v>174</v>
      </c>
      <c r="L126" s="133">
        <v>30</v>
      </c>
      <c r="M126" s="114"/>
      <c r="N126" s="112">
        <f t="shared" si="9"/>
        <v>0</v>
      </c>
    </row>
    <row r="127" spans="4:14">
      <c r="F127" s="116" t="s">
        <v>175</v>
      </c>
      <c r="G127" s="112">
        <v>25</v>
      </c>
      <c r="H127" s="117"/>
      <c r="I127" s="112">
        <f t="shared" si="8"/>
        <v>0</v>
      </c>
      <c r="K127" s="116" t="s">
        <v>175</v>
      </c>
      <c r="L127" s="112">
        <v>25</v>
      </c>
      <c r="M127" s="117"/>
      <c r="N127" s="112">
        <f t="shared" si="9"/>
        <v>0</v>
      </c>
    </row>
    <row r="128" spans="4:14" ht="25.5">
      <c r="F128" s="110" t="s">
        <v>176</v>
      </c>
      <c r="G128" s="112">
        <v>100</v>
      </c>
      <c r="H128" s="118">
        <f>C74+C75</f>
        <v>33</v>
      </c>
      <c r="I128" s="112">
        <f t="shared" si="8"/>
        <v>3300</v>
      </c>
      <c r="K128" s="110" t="s">
        <v>176</v>
      </c>
      <c r="L128" s="112">
        <v>100</v>
      </c>
      <c r="M128" s="118">
        <f>C83+C80+C79</f>
        <v>11</v>
      </c>
      <c r="N128" s="112">
        <f t="shared" si="9"/>
        <v>1100</v>
      </c>
    </row>
    <row r="129" spans="6:14" ht="25.5">
      <c r="F129" s="110" t="s">
        <v>177</v>
      </c>
      <c r="G129" s="112">
        <v>403.75</v>
      </c>
      <c r="H129" s="118"/>
      <c r="I129" s="112">
        <f t="shared" si="8"/>
        <v>0</v>
      </c>
      <c r="K129" s="110" t="s">
        <v>177</v>
      </c>
      <c r="L129" s="112">
        <v>403.75</v>
      </c>
      <c r="M129" s="118"/>
      <c r="N129" s="112">
        <f t="shared" si="9"/>
        <v>0</v>
      </c>
    </row>
    <row r="130" spans="6:14" ht="25.5">
      <c r="F130" s="110" t="s">
        <v>178</v>
      </c>
      <c r="G130" s="112">
        <v>140</v>
      </c>
      <c r="H130" s="118"/>
      <c r="I130" s="112">
        <f t="shared" si="8"/>
        <v>0</v>
      </c>
      <c r="K130" s="110" t="s">
        <v>178</v>
      </c>
      <c r="L130" s="112">
        <v>140</v>
      </c>
      <c r="M130" s="118"/>
      <c r="N130" s="112">
        <f t="shared" si="9"/>
        <v>0</v>
      </c>
    </row>
    <row r="131" spans="6:14">
      <c r="F131" s="110" t="s">
        <v>179</v>
      </c>
      <c r="G131" s="112">
        <v>45</v>
      </c>
      <c r="H131" s="114"/>
      <c r="I131" s="112">
        <f t="shared" si="8"/>
        <v>0</v>
      </c>
      <c r="K131" s="110" t="s">
        <v>179</v>
      </c>
      <c r="L131" s="112">
        <v>45</v>
      </c>
      <c r="M131" s="114"/>
      <c r="N131" s="112">
        <f t="shared" si="9"/>
        <v>0</v>
      </c>
    </row>
    <row r="132" spans="6:14">
      <c r="F132" s="110" t="s">
        <v>180</v>
      </c>
      <c r="G132" s="112">
        <v>37.31</v>
      </c>
      <c r="H132" s="114">
        <f>5*H128</f>
        <v>165</v>
      </c>
      <c r="I132" s="112">
        <f t="shared" si="8"/>
        <v>6156.1500000000005</v>
      </c>
      <c r="K132" s="110" t="s">
        <v>180</v>
      </c>
      <c r="L132" s="112">
        <v>37.31</v>
      </c>
      <c r="M132" s="114">
        <f>5*M128</f>
        <v>55</v>
      </c>
      <c r="N132" s="112">
        <f t="shared" si="9"/>
        <v>2052.0500000000002</v>
      </c>
    </row>
    <row r="133" spans="6:14">
      <c r="F133" s="110" t="s">
        <v>181</v>
      </c>
      <c r="G133" s="112">
        <v>964</v>
      </c>
      <c r="H133" s="114"/>
      <c r="I133" s="112">
        <f t="shared" si="8"/>
        <v>0</v>
      </c>
      <c r="K133" s="110" t="s">
        <v>181</v>
      </c>
      <c r="L133" s="112">
        <v>964</v>
      </c>
      <c r="M133" s="114"/>
      <c r="N133" s="112">
        <f t="shared" si="9"/>
        <v>0</v>
      </c>
    </row>
    <row r="134" spans="6:14">
      <c r="F134" s="110" t="s">
        <v>182</v>
      </c>
      <c r="G134" s="130">
        <v>19.899999999999999</v>
      </c>
      <c r="H134" s="114"/>
      <c r="I134" s="112">
        <f t="shared" si="8"/>
        <v>0</v>
      </c>
      <c r="K134" s="110" t="s">
        <v>182</v>
      </c>
      <c r="L134" s="130">
        <v>19.899999999999999</v>
      </c>
      <c r="M134" s="114"/>
      <c r="N134" s="112">
        <f t="shared" si="9"/>
        <v>0</v>
      </c>
    </row>
    <row r="135" spans="6:14">
      <c r="F135" s="110" t="s">
        <v>183</v>
      </c>
      <c r="G135" s="130">
        <v>12.25</v>
      </c>
      <c r="H135" s="114"/>
      <c r="I135" s="112">
        <f t="shared" si="8"/>
        <v>0</v>
      </c>
      <c r="K135" s="110" t="s">
        <v>183</v>
      </c>
      <c r="L135" s="130">
        <v>12.25</v>
      </c>
      <c r="M135" s="114"/>
      <c r="N135" s="112">
        <f t="shared" si="9"/>
        <v>0</v>
      </c>
    </row>
    <row r="136" spans="6:14">
      <c r="F136" s="110" t="s">
        <v>184</v>
      </c>
      <c r="G136" s="130">
        <v>7.85</v>
      </c>
      <c r="H136" s="114"/>
      <c r="I136" s="112">
        <f t="shared" si="8"/>
        <v>0</v>
      </c>
      <c r="K136" s="110" t="s">
        <v>184</v>
      </c>
      <c r="L136" s="130">
        <v>7.85</v>
      </c>
      <c r="M136" s="114"/>
      <c r="N136" s="112">
        <f t="shared" si="9"/>
        <v>0</v>
      </c>
    </row>
    <row r="137" spans="6:14">
      <c r="F137" s="110" t="s">
        <v>185</v>
      </c>
      <c r="G137" s="112">
        <v>21.64</v>
      </c>
      <c r="H137" s="114"/>
      <c r="I137" s="112">
        <f t="shared" si="8"/>
        <v>0</v>
      </c>
      <c r="K137" s="110" t="s">
        <v>185</v>
      </c>
      <c r="L137" s="112">
        <v>21.64</v>
      </c>
      <c r="M137" s="114"/>
      <c r="N137" s="112">
        <f t="shared" si="9"/>
        <v>0</v>
      </c>
    </row>
    <row r="138" spans="6:14" ht="25.5">
      <c r="F138" s="110" t="s">
        <v>186</v>
      </c>
      <c r="G138" s="130">
        <v>89.1</v>
      </c>
      <c r="H138" s="114"/>
      <c r="I138" s="112">
        <f t="shared" si="8"/>
        <v>0</v>
      </c>
      <c r="K138" s="110" t="s">
        <v>186</v>
      </c>
      <c r="L138" s="130">
        <v>89.1</v>
      </c>
      <c r="M138" s="114"/>
      <c r="N138" s="112">
        <f t="shared" si="9"/>
        <v>0</v>
      </c>
    </row>
    <row r="139" spans="6:14">
      <c r="F139" s="110" t="s">
        <v>187</v>
      </c>
      <c r="G139" s="120">
        <v>13</v>
      </c>
      <c r="H139" s="114"/>
      <c r="I139" s="112">
        <f t="shared" si="8"/>
        <v>0</v>
      </c>
      <c r="K139" s="110" t="s">
        <v>187</v>
      </c>
      <c r="L139" s="120">
        <v>13</v>
      </c>
      <c r="M139" s="114"/>
      <c r="N139" s="112">
        <f t="shared" si="9"/>
        <v>0</v>
      </c>
    </row>
    <row r="140" spans="6:14" ht="25.5">
      <c r="F140" s="110" t="s">
        <v>188</v>
      </c>
      <c r="G140" s="120">
        <v>60.87</v>
      </c>
      <c r="H140" s="114"/>
      <c r="I140" s="112">
        <f t="shared" si="8"/>
        <v>0</v>
      </c>
      <c r="K140" s="110" t="s">
        <v>188</v>
      </c>
      <c r="L140" s="120">
        <v>60.87</v>
      </c>
      <c r="M140" s="114"/>
      <c r="N140" s="112">
        <f t="shared" si="9"/>
        <v>0</v>
      </c>
    </row>
    <row r="141" spans="6:14">
      <c r="F141" s="110" t="s">
        <v>189</v>
      </c>
      <c r="G141" s="134">
        <v>486</v>
      </c>
      <c r="H141" s="114"/>
      <c r="I141" s="112">
        <f t="shared" si="8"/>
        <v>0</v>
      </c>
      <c r="K141" s="110" t="s">
        <v>189</v>
      </c>
      <c r="L141" s="134">
        <v>486</v>
      </c>
      <c r="M141" s="114"/>
      <c r="N141" s="112">
        <f t="shared" si="9"/>
        <v>0</v>
      </c>
    </row>
    <row r="142" spans="6:14">
      <c r="F142" s="110" t="s">
        <v>190</v>
      </c>
      <c r="G142" s="134">
        <v>44</v>
      </c>
      <c r="H142" s="114"/>
      <c r="I142" s="112">
        <f t="shared" si="8"/>
        <v>0</v>
      </c>
      <c r="K142" s="110" t="s">
        <v>190</v>
      </c>
      <c r="L142" s="134">
        <v>44</v>
      </c>
      <c r="M142" s="114"/>
      <c r="N142" s="112">
        <f t="shared" si="9"/>
        <v>0</v>
      </c>
    </row>
    <row r="143" spans="6:14" ht="25.5">
      <c r="F143" s="110" t="s">
        <v>191</v>
      </c>
      <c r="G143" s="134">
        <v>110</v>
      </c>
      <c r="H143" s="114"/>
      <c r="I143" s="112">
        <f t="shared" si="8"/>
        <v>0</v>
      </c>
      <c r="K143" s="110" t="s">
        <v>191</v>
      </c>
      <c r="L143" s="134">
        <v>110</v>
      </c>
      <c r="M143" s="114"/>
      <c r="N143" s="112">
        <f t="shared" si="9"/>
        <v>0</v>
      </c>
    </row>
    <row r="144" spans="6:14">
      <c r="F144" s="110" t="s">
        <v>192</v>
      </c>
      <c r="G144" s="134">
        <v>13</v>
      </c>
      <c r="H144" s="114"/>
      <c r="I144" s="112">
        <f t="shared" si="8"/>
        <v>0</v>
      </c>
      <c r="K144" s="110" t="s">
        <v>192</v>
      </c>
      <c r="L144" s="134">
        <v>13</v>
      </c>
      <c r="M144" s="114"/>
      <c r="N144" s="112">
        <f t="shared" si="9"/>
        <v>0</v>
      </c>
    </row>
    <row r="145" spans="6:15">
      <c r="F145" s="110" t="s">
        <v>193</v>
      </c>
      <c r="G145" s="134">
        <v>26</v>
      </c>
      <c r="H145" s="114"/>
      <c r="I145" s="112">
        <f t="shared" si="8"/>
        <v>0</v>
      </c>
      <c r="K145" s="110" t="s">
        <v>193</v>
      </c>
      <c r="L145" s="134">
        <v>26</v>
      </c>
      <c r="M145" s="114"/>
      <c r="N145" s="112">
        <f t="shared" si="9"/>
        <v>0</v>
      </c>
    </row>
    <row r="146" spans="6:15">
      <c r="F146" s="110" t="s">
        <v>194</v>
      </c>
      <c r="G146" s="130">
        <v>3.05</v>
      </c>
      <c r="H146" s="114"/>
      <c r="I146" s="112">
        <f t="shared" si="8"/>
        <v>0</v>
      </c>
      <c r="K146" s="110" t="s">
        <v>194</v>
      </c>
      <c r="L146" s="130">
        <v>3.05</v>
      </c>
      <c r="M146" s="114"/>
      <c r="N146" s="112">
        <f t="shared" si="9"/>
        <v>0</v>
      </c>
    </row>
    <row r="147" spans="6:15" ht="25.5">
      <c r="F147" s="110" t="s">
        <v>195</v>
      </c>
      <c r="G147" s="134">
        <v>9.19</v>
      </c>
      <c r="H147" s="114"/>
      <c r="I147" s="112">
        <f t="shared" si="8"/>
        <v>0</v>
      </c>
      <c r="K147" s="110" t="s">
        <v>195</v>
      </c>
      <c r="L147" s="134">
        <v>9.19</v>
      </c>
      <c r="M147" s="114"/>
      <c r="N147" s="112">
        <f t="shared" si="9"/>
        <v>0</v>
      </c>
    </row>
    <row r="148" spans="6:15">
      <c r="F148" s="110" t="s">
        <v>196</v>
      </c>
      <c r="G148" s="112">
        <v>35</v>
      </c>
      <c r="H148" s="114"/>
      <c r="I148" s="112">
        <f t="shared" si="8"/>
        <v>0</v>
      </c>
      <c r="K148" s="110" t="s">
        <v>196</v>
      </c>
      <c r="L148" s="112">
        <v>35</v>
      </c>
      <c r="M148" s="114"/>
      <c r="N148" s="112">
        <f t="shared" si="9"/>
        <v>0</v>
      </c>
    </row>
    <row r="149" spans="6:15">
      <c r="F149" s="110" t="s">
        <v>197</v>
      </c>
      <c r="G149" s="134">
        <v>522.88</v>
      </c>
      <c r="H149" s="114"/>
      <c r="I149" s="112">
        <f t="shared" si="8"/>
        <v>0</v>
      </c>
      <c r="K149" s="110" t="s">
        <v>197</v>
      </c>
      <c r="L149" s="134">
        <v>522.88</v>
      </c>
      <c r="M149" s="114"/>
      <c r="N149" s="112">
        <f t="shared" si="9"/>
        <v>0</v>
      </c>
    </row>
    <row r="150" spans="6:15">
      <c r="F150" s="110" t="s">
        <v>198</v>
      </c>
      <c r="G150" s="120">
        <v>23.82</v>
      </c>
      <c r="H150" s="114"/>
      <c r="I150" s="112">
        <f t="shared" si="8"/>
        <v>0</v>
      </c>
      <c r="K150" s="110" t="s">
        <v>198</v>
      </c>
      <c r="L150" s="120">
        <v>23.82</v>
      </c>
      <c r="M150" s="114"/>
      <c r="N150" s="112">
        <f t="shared" si="9"/>
        <v>0</v>
      </c>
    </row>
    <row r="151" spans="6:15" ht="25.5">
      <c r="F151" s="110" t="s">
        <v>199</v>
      </c>
      <c r="G151" s="120">
        <v>161.96</v>
      </c>
      <c r="H151" s="114"/>
      <c r="I151" s="112">
        <f t="shared" si="8"/>
        <v>0</v>
      </c>
      <c r="K151" s="110" t="s">
        <v>199</v>
      </c>
      <c r="L151" s="120">
        <v>161.96</v>
      </c>
      <c r="M151" s="114"/>
      <c r="N151" s="112">
        <f t="shared" si="9"/>
        <v>0</v>
      </c>
    </row>
    <row r="152" spans="6:15">
      <c r="F152" s="110" t="s">
        <v>200</v>
      </c>
      <c r="G152" s="120">
        <v>750</v>
      </c>
      <c r="H152" s="114"/>
      <c r="I152" s="112">
        <f t="shared" si="8"/>
        <v>0</v>
      </c>
      <c r="K152" s="110" t="s">
        <v>200</v>
      </c>
      <c r="L152" s="120">
        <v>750</v>
      </c>
      <c r="M152" s="114"/>
      <c r="N152" s="112">
        <f t="shared" si="9"/>
        <v>0</v>
      </c>
    </row>
    <row r="153" spans="6:15" ht="25.5">
      <c r="F153" s="110" t="s">
        <v>201</v>
      </c>
      <c r="G153" s="120">
        <v>17</v>
      </c>
      <c r="H153" s="114"/>
      <c r="I153" s="112">
        <f t="shared" si="8"/>
        <v>0</v>
      </c>
      <c r="K153" s="110" t="s">
        <v>201</v>
      </c>
      <c r="L153" s="120">
        <v>17</v>
      </c>
      <c r="M153" s="114"/>
      <c r="N153" s="112">
        <f t="shared" si="9"/>
        <v>0</v>
      </c>
    </row>
    <row r="154" spans="6:15" ht="25.5">
      <c r="F154" s="110" t="s">
        <v>202</v>
      </c>
      <c r="G154" s="120">
        <v>7</v>
      </c>
      <c r="H154" s="114"/>
      <c r="I154" s="112">
        <f t="shared" si="8"/>
        <v>0</v>
      </c>
      <c r="K154" s="110" t="s">
        <v>202</v>
      </c>
      <c r="L154" s="120">
        <v>7</v>
      </c>
      <c r="M154" s="114"/>
      <c r="N154" s="112">
        <f t="shared" si="9"/>
        <v>0</v>
      </c>
    </row>
    <row r="155" spans="6:15">
      <c r="F155" s="110" t="s">
        <v>203</v>
      </c>
      <c r="G155" s="134">
        <v>25</v>
      </c>
      <c r="H155" s="113"/>
      <c r="I155" s="112">
        <f t="shared" si="8"/>
        <v>0</v>
      </c>
      <c r="K155" s="110" t="s">
        <v>203</v>
      </c>
      <c r="L155" s="134">
        <v>25</v>
      </c>
      <c r="M155" s="113"/>
      <c r="N155" s="112">
        <f t="shared" si="9"/>
        <v>0</v>
      </c>
    </row>
    <row r="156" spans="6:15" ht="25.5">
      <c r="F156" s="110" t="s">
        <v>204</v>
      </c>
      <c r="G156" s="134">
        <v>4</v>
      </c>
      <c r="H156" s="114"/>
      <c r="I156" s="112">
        <f t="shared" si="8"/>
        <v>0</v>
      </c>
      <c r="K156" s="110" t="s">
        <v>204</v>
      </c>
      <c r="L156" s="134">
        <v>4</v>
      </c>
      <c r="M156" s="114"/>
      <c r="N156" s="112">
        <f t="shared" si="9"/>
        <v>0</v>
      </c>
    </row>
    <row r="157" spans="6:15">
      <c r="F157" s="121" t="s">
        <v>205</v>
      </c>
      <c r="G157" s="120">
        <v>22</v>
      </c>
      <c r="H157" s="114"/>
      <c r="I157" s="112">
        <f t="shared" si="8"/>
        <v>0</v>
      </c>
      <c r="K157" s="121" t="s">
        <v>205</v>
      </c>
      <c r="L157" s="120">
        <v>22</v>
      </c>
      <c r="M157" s="114"/>
      <c r="N157" s="112">
        <f t="shared" si="9"/>
        <v>0</v>
      </c>
    </row>
    <row r="158" spans="6:15">
      <c r="F158" s="121" t="s">
        <v>206</v>
      </c>
      <c r="G158" s="120">
        <v>14</v>
      </c>
      <c r="H158" s="114"/>
      <c r="I158" s="112">
        <f t="shared" si="8"/>
        <v>0</v>
      </c>
      <c r="K158" s="121" t="s">
        <v>206</v>
      </c>
      <c r="L158" s="120">
        <v>14</v>
      </c>
      <c r="M158" s="114"/>
      <c r="N158" s="112">
        <f t="shared" si="9"/>
        <v>0</v>
      </c>
    </row>
    <row r="159" spans="6:15">
      <c r="F159" s="116" t="s">
        <v>207</v>
      </c>
      <c r="G159" s="120">
        <v>2</v>
      </c>
      <c r="H159" s="114"/>
      <c r="I159" s="112">
        <f t="shared" si="8"/>
        <v>0</v>
      </c>
      <c r="K159" s="116" t="s">
        <v>207</v>
      </c>
      <c r="L159" s="120">
        <v>2</v>
      </c>
      <c r="M159" s="114"/>
      <c r="N159" s="112">
        <f t="shared" si="9"/>
        <v>0</v>
      </c>
    </row>
    <row r="160" spans="6:15" ht="15">
      <c r="F160" s="135"/>
      <c r="G160" s="519" t="s">
        <v>208</v>
      </c>
      <c r="H160" s="520"/>
      <c r="I160" s="136">
        <f>SUM(I69:I159)</f>
        <v>409535.01000000007</v>
      </c>
      <c r="K160" s="135"/>
      <c r="L160" s="519" t="s">
        <v>208</v>
      </c>
      <c r="M160" s="520"/>
      <c r="N160" s="136">
        <f>SUM(N69:N159)</f>
        <v>170009.08000000002</v>
      </c>
      <c r="O160" s="143">
        <f>N160/300</f>
        <v>566.69693333333339</v>
      </c>
    </row>
    <row r="161" spans="8:14" ht="15">
      <c r="H161" s="16"/>
      <c r="I161" s="137">
        <f>I160/24.8</f>
        <v>16513.508467741936</v>
      </c>
      <c r="M161" s="16"/>
      <c r="N161" s="137">
        <f>N160/24.8</f>
        <v>6855.2048387096775</v>
      </c>
    </row>
  </sheetData>
  <sortState xmlns:xlrd2="http://schemas.microsoft.com/office/spreadsheetml/2017/richdata2" ref="K21:K34">
    <sortCondition ref="K21"/>
  </sortState>
  <mergeCells count="9">
    <mergeCell ref="J1:O1"/>
    <mergeCell ref="F19:H19"/>
    <mergeCell ref="F66:I66"/>
    <mergeCell ref="G160:H160"/>
    <mergeCell ref="J19:L19"/>
    <mergeCell ref="F18:N18"/>
    <mergeCell ref="K66:N66"/>
    <mergeCell ref="L160:M160"/>
    <mergeCell ref="F65:N65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3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3E5A5-24EB-48A2-9DAB-0842F130446B}">
  <sheetPr>
    <tabColor rgb="FF31859C"/>
  </sheetPr>
  <dimension ref="A1:AMK1048576"/>
  <sheetViews>
    <sheetView zoomScale="85" zoomScaleNormal="85" workbookViewId="0">
      <selection activeCell="G43" sqref="G43"/>
    </sheetView>
  </sheetViews>
  <sheetFormatPr baseColWidth="10" defaultColWidth="11.5703125" defaultRowHeight="15" zeroHeight="1"/>
  <cols>
    <col min="1" max="1" width="3.5703125" style="57" customWidth="1"/>
    <col min="2" max="2" width="46.140625" style="57" customWidth="1"/>
    <col min="3" max="3" width="9.5703125" style="58" customWidth="1"/>
    <col min="4" max="4" width="1.28515625" style="57" customWidth="1"/>
    <col min="5" max="5" width="1.5703125" style="57" customWidth="1"/>
    <col min="6" max="7" width="20.42578125" style="78" customWidth="1"/>
    <col min="8" max="12" width="20.42578125" style="57" customWidth="1"/>
    <col min="13" max="13" width="3.5703125" style="57" customWidth="1"/>
    <col min="14" max="1025" width="11.5703125" style="57"/>
    <col min="1026" max="16384" width="11.5703125" style="79"/>
  </cols>
  <sheetData>
    <row r="1" spans="1:13" s="50" customFormat="1" ht="21" thickBot="1">
      <c r="F1" s="51"/>
      <c r="G1" s="51"/>
    </row>
    <row r="2" spans="1:13" s="53" customFormat="1" ht="18">
      <c r="A2" s="52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</row>
    <row r="3" spans="1:13" s="57" customFormat="1" ht="18.75" thickBot="1">
      <c r="A3" s="52"/>
      <c r="B3" s="54" t="s">
        <v>209</v>
      </c>
      <c r="C3" s="54"/>
      <c r="D3" s="54"/>
      <c r="E3" s="54"/>
      <c r="F3" s="55" t="s">
        <v>210</v>
      </c>
      <c r="G3" s="55"/>
      <c r="H3" s="54"/>
      <c r="I3" s="54"/>
      <c r="J3" s="54"/>
      <c r="K3" s="54"/>
      <c r="L3" s="54"/>
      <c r="M3" s="52"/>
    </row>
    <row r="4" spans="1:13" s="57" customFormat="1">
      <c r="A4" s="52"/>
      <c r="B4" s="52"/>
      <c r="C4" s="58"/>
      <c r="D4" s="52"/>
      <c r="E4" s="52"/>
      <c r="F4" s="59"/>
      <c r="G4" s="60">
        <v>2020</v>
      </c>
      <c r="H4" s="60">
        <v>2021</v>
      </c>
      <c r="I4" s="60">
        <v>2022</v>
      </c>
      <c r="J4" s="60">
        <v>2023</v>
      </c>
      <c r="K4" s="60">
        <v>2024</v>
      </c>
      <c r="L4" s="60">
        <v>2024</v>
      </c>
      <c r="M4" s="52"/>
    </row>
    <row r="5" spans="1:13" s="57" customFormat="1">
      <c r="A5" s="52"/>
      <c r="B5" s="61" t="s">
        <v>211</v>
      </c>
      <c r="C5" s="58"/>
      <c r="D5" s="52"/>
      <c r="E5" s="52"/>
      <c r="F5" s="59"/>
      <c r="G5" s="59"/>
      <c r="H5" s="52"/>
      <c r="I5" s="52"/>
      <c r="J5" s="52"/>
      <c r="K5" s="52"/>
      <c r="L5" s="52"/>
      <c r="M5" s="52"/>
    </row>
    <row r="6" spans="1:13" s="57" customFormat="1">
      <c r="A6" s="52"/>
      <c r="B6" s="52" t="s">
        <v>212</v>
      </c>
      <c r="C6" s="58" t="s">
        <v>213</v>
      </c>
      <c r="D6" s="52"/>
      <c r="E6" s="52"/>
      <c r="F6" s="59"/>
      <c r="G6" s="62">
        <v>0</v>
      </c>
      <c r="H6" s="63">
        <v>0</v>
      </c>
      <c r="I6" s="63">
        <f>+H6</f>
        <v>0</v>
      </c>
      <c r="J6" s="63">
        <f>+I6</f>
        <v>0</v>
      </c>
      <c r="K6" s="63">
        <f>+J6</f>
        <v>0</v>
      </c>
      <c r="L6" s="63"/>
      <c r="M6" s="52"/>
    </row>
    <row r="7" spans="1:13" s="57" customFormat="1">
      <c r="A7" s="52"/>
      <c r="B7" s="52"/>
      <c r="C7" s="58"/>
      <c r="D7" s="52"/>
      <c r="E7" s="52"/>
      <c r="F7" s="59"/>
      <c r="G7" s="56"/>
      <c r="H7" s="56"/>
      <c r="I7" s="56"/>
      <c r="J7" s="56"/>
      <c r="K7" s="56"/>
      <c r="L7" s="56"/>
      <c r="M7" s="52"/>
    </row>
    <row r="8" spans="1:13" s="57" customFormat="1">
      <c r="A8" s="52"/>
      <c r="B8" s="61" t="s">
        <v>214</v>
      </c>
      <c r="C8" s="58"/>
      <c r="D8" s="52"/>
      <c r="E8" s="52"/>
      <c r="F8" s="59"/>
      <c r="G8" s="56"/>
      <c r="H8" s="56"/>
      <c r="I8" s="56"/>
      <c r="J8" s="56"/>
      <c r="K8" s="56"/>
      <c r="L8" s="56"/>
      <c r="M8" s="52"/>
    </row>
    <row r="9" spans="1:13" s="57" customFormat="1">
      <c r="A9" s="52"/>
      <c r="B9" s="52" t="s">
        <v>215</v>
      </c>
      <c r="C9" s="58" t="s">
        <v>213</v>
      </c>
      <c r="D9" s="52"/>
      <c r="E9" s="52"/>
      <c r="F9" s="59"/>
      <c r="G9" s="63">
        <v>0</v>
      </c>
      <c r="H9" s="63">
        <v>0</v>
      </c>
      <c r="I9" s="63">
        <f>+H9</f>
        <v>0</v>
      </c>
      <c r="J9" s="63">
        <f>+I9</f>
        <v>0</v>
      </c>
      <c r="K9" s="63">
        <f>+J9</f>
        <v>0</v>
      </c>
      <c r="L9" s="63"/>
      <c r="M9" s="52"/>
    </row>
    <row r="10" spans="1:13" s="57" customFormat="1">
      <c r="A10" s="52"/>
      <c r="B10" s="52" t="s">
        <v>216</v>
      </c>
      <c r="C10" s="58" t="s">
        <v>213</v>
      </c>
      <c r="D10" s="52"/>
      <c r="E10" s="52"/>
      <c r="F10" s="59"/>
      <c r="G10" s="63">
        <f>-RESUMEN!C19</f>
        <v>0</v>
      </c>
      <c r="H10" s="63">
        <v>0</v>
      </c>
      <c r="I10" s="63">
        <v>0</v>
      </c>
      <c r="J10" s="63">
        <v>0</v>
      </c>
      <c r="K10" s="63">
        <v>0</v>
      </c>
      <c r="L10" s="63"/>
      <c r="M10" s="52"/>
    </row>
    <row r="11" spans="1:13" s="57" customFormat="1">
      <c r="A11" s="52"/>
      <c r="B11" s="64" t="s">
        <v>217</v>
      </c>
      <c r="C11" s="58" t="s">
        <v>213</v>
      </c>
      <c r="D11" s="52"/>
      <c r="E11" s="52"/>
      <c r="F11" s="59"/>
      <c r="G11" s="63">
        <v>0</v>
      </c>
      <c r="H11" s="63">
        <f>-(SUM(RESUMEN!C10:C11)+RESUMEN!C18)/4</f>
        <v>0</v>
      </c>
      <c r="I11" s="63">
        <f>+H11</f>
        <v>0</v>
      </c>
      <c r="J11" s="63">
        <f>+I11</f>
        <v>0</v>
      </c>
      <c r="K11" s="63">
        <f>+J11</f>
        <v>0</v>
      </c>
      <c r="L11" s="63"/>
      <c r="M11" s="52"/>
    </row>
    <row r="12" spans="1:13" s="57" customFormat="1">
      <c r="A12" s="52"/>
      <c r="B12" s="64" t="s">
        <v>218</v>
      </c>
      <c r="C12" s="58" t="s">
        <v>213</v>
      </c>
      <c r="D12" s="52"/>
      <c r="E12" s="52"/>
      <c r="F12" s="59"/>
      <c r="G12" s="63">
        <v>0</v>
      </c>
      <c r="H12" s="437"/>
      <c r="I12" s="437"/>
      <c r="J12" s="437"/>
      <c r="K12" s="437"/>
      <c r="L12" s="437"/>
      <c r="M12" s="52"/>
    </row>
    <row r="13" spans="1:13" s="57" customFormat="1">
      <c r="A13" s="52"/>
      <c r="B13" s="64" t="s">
        <v>219</v>
      </c>
      <c r="C13" s="58" t="s">
        <v>213</v>
      </c>
      <c r="D13" s="52"/>
      <c r="E13" s="52"/>
      <c r="F13" s="59"/>
      <c r="G13" s="63">
        <v>0</v>
      </c>
      <c r="H13" s="63">
        <v>0</v>
      </c>
      <c r="I13" s="63">
        <f>+H13</f>
        <v>0</v>
      </c>
      <c r="J13" s="63">
        <f>+I13</f>
        <v>0</v>
      </c>
      <c r="K13" s="63">
        <f>+J13</f>
        <v>0</v>
      </c>
      <c r="L13" s="63"/>
      <c r="M13" s="52"/>
    </row>
    <row r="14" spans="1:13" s="57" customFormat="1">
      <c r="A14" s="52"/>
      <c r="B14" s="52" t="s">
        <v>220</v>
      </c>
      <c r="C14" s="58" t="s">
        <v>213</v>
      </c>
      <c r="D14" s="52"/>
      <c r="E14" s="52"/>
      <c r="F14" s="59"/>
      <c r="G14" s="63">
        <v>0</v>
      </c>
      <c r="H14" s="63">
        <v>0</v>
      </c>
      <c r="I14" s="63">
        <v>0</v>
      </c>
      <c r="J14" s="63">
        <v>0</v>
      </c>
      <c r="K14" s="63">
        <v>0</v>
      </c>
      <c r="L14" s="63"/>
      <c r="M14" s="52"/>
    </row>
    <row r="15" spans="1:13" s="57" customFormat="1">
      <c r="A15" s="52"/>
      <c r="B15" s="52"/>
      <c r="C15" s="58"/>
      <c r="D15" s="52"/>
      <c r="E15" s="52"/>
      <c r="F15" s="59"/>
      <c r="G15" s="56"/>
      <c r="H15" s="56"/>
      <c r="I15" s="56"/>
      <c r="J15" s="56"/>
      <c r="K15" s="56"/>
      <c r="L15" s="56"/>
      <c r="M15" s="52"/>
    </row>
    <row r="16" spans="1:13" s="57" customFormat="1">
      <c r="A16" s="52"/>
      <c r="B16" s="52" t="s">
        <v>221</v>
      </c>
      <c r="C16" s="58" t="s">
        <v>213</v>
      </c>
      <c r="D16" s="52"/>
      <c r="E16" s="52"/>
      <c r="F16" s="59"/>
      <c r="G16" s="63">
        <v>0</v>
      </c>
      <c r="H16" s="63">
        <f>-SUM(H6:H14)*0.3</f>
        <v>0</v>
      </c>
      <c r="I16" s="63">
        <f t="shared" ref="I16:K16" si="0">-SUM(I6:I14)*0.3</f>
        <v>0</v>
      </c>
      <c r="J16" s="63">
        <f t="shared" si="0"/>
        <v>0</v>
      </c>
      <c r="K16" s="63">
        <f t="shared" si="0"/>
        <v>0</v>
      </c>
      <c r="L16" s="63"/>
      <c r="M16" s="52"/>
    </row>
    <row r="17" spans="1:13" s="57" customFormat="1">
      <c r="A17" s="52"/>
      <c r="B17" s="52"/>
      <c r="C17" s="58"/>
      <c r="D17" s="52"/>
      <c r="E17" s="52"/>
      <c r="F17" s="59"/>
      <c r="G17" s="56"/>
      <c r="H17" s="56"/>
      <c r="I17" s="56"/>
      <c r="J17" s="56"/>
      <c r="K17" s="56"/>
      <c r="L17" s="56"/>
      <c r="M17" s="52"/>
    </row>
    <row r="18" spans="1:13" s="57" customFormat="1">
      <c r="A18" s="52"/>
      <c r="B18" s="65" t="s">
        <v>222</v>
      </c>
      <c r="C18" s="58" t="s">
        <v>213</v>
      </c>
      <c r="D18" s="52"/>
      <c r="E18" s="52"/>
      <c r="F18" s="59"/>
      <c r="G18" s="66">
        <f>SUM(G6:G16)</f>
        <v>0</v>
      </c>
      <c r="H18" s="66">
        <f t="shared" ref="H18:K18" si="1">SUM(H6:H16)</f>
        <v>0</v>
      </c>
      <c r="I18" s="66">
        <f t="shared" si="1"/>
        <v>0</v>
      </c>
      <c r="J18" s="66">
        <f t="shared" si="1"/>
        <v>0</v>
      </c>
      <c r="K18" s="66">
        <f t="shared" si="1"/>
        <v>0</v>
      </c>
      <c r="L18" s="66"/>
      <c r="M18" s="52"/>
    </row>
    <row r="19" spans="1:13" s="57" customFormat="1">
      <c r="A19" s="52"/>
      <c r="B19" s="52"/>
      <c r="C19" s="58"/>
      <c r="D19" s="52"/>
      <c r="E19" s="52"/>
      <c r="F19" s="59"/>
      <c r="G19" s="56"/>
      <c r="H19" s="56"/>
      <c r="I19" s="56"/>
      <c r="J19" s="56"/>
      <c r="K19" s="56"/>
      <c r="L19" s="56"/>
      <c r="M19" s="52"/>
    </row>
    <row r="20" spans="1:13" s="57" customFormat="1">
      <c r="A20" s="52"/>
      <c r="B20" s="61" t="s">
        <v>223</v>
      </c>
      <c r="C20" s="58"/>
      <c r="D20" s="52"/>
      <c r="E20" s="52"/>
      <c r="F20" s="59"/>
      <c r="G20" s="56"/>
      <c r="H20" s="56"/>
      <c r="I20" s="56"/>
      <c r="J20" s="56"/>
      <c r="K20" s="56"/>
      <c r="L20" s="56"/>
      <c r="M20" s="52"/>
    </row>
    <row r="21" spans="1:13" s="57" customFormat="1">
      <c r="A21" s="52"/>
      <c r="B21" s="64" t="s">
        <v>224</v>
      </c>
      <c r="C21" s="58" t="s">
        <v>213</v>
      </c>
      <c r="D21" s="52"/>
      <c r="E21" s="52"/>
      <c r="F21" s="59"/>
      <c r="G21" s="63">
        <v>0</v>
      </c>
      <c r="H21" s="63">
        <v>0</v>
      </c>
      <c r="I21" s="63">
        <v>0</v>
      </c>
      <c r="J21" s="63">
        <v>0</v>
      </c>
      <c r="K21" s="63">
        <v>0</v>
      </c>
      <c r="L21" s="63"/>
      <c r="M21" s="52"/>
    </row>
    <row r="22" spans="1:13" s="57" customFormat="1">
      <c r="A22" s="52"/>
      <c r="B22" s="193" t="s">
        <v>225</v>
      </c>
      <c r="C22" s="58" t="s">
        <v>213</v>
      </c>
      <c r="D22" s="52"/>
      <c r="E22" s="52"/>
      <c r="F22" s="59"/>
      <c r="G22" s="63"/>
      <c r="H22" s="63">
        <f>H9*-1</f>
        <v>0</v>
      </c>
      <c r="I22" s="63">
        <f t="shared" ref="I22:K22" si="2">I9*-1</f>
        <v>0</v>
      </c>
      <c r="J22" s="63">
        <f t="shared" si="2"/>
        <v>0</v>
      </c>
      <c r="K22" s="63">
        <f t="shared" si="2"/>
        <v>0</v>
      </c>
      <c r="L22" s="63"/>
      <c r="M22" s="52"/>
    </row>
    <row r="23" spans="1:13" s="57" customFormat="1">
      <c r="A23" s="52"/>
      <c r="B23" s="65" t="s">
        <v>226</v>
      </c>
      <c r="C23" s="58" t="s">
        <v>213</v>
      </c>
      <c r="D23" s="52"/>
      <c r="E23" s="52"/>
      <c r="F23" s="59"/>
      <c r="G23" s="66">
        <f t="shared" ref="G23:K23" si="3">SUM(G21:G22)</f>
        <v>0</v>
      </c>
      <c r="H23" s="66">
        <f t="shared" si="3"/>
        <v>0</v>
      </c>
      <c r="I23" s="66">
        <f t="shared" si="3"/>
        <v>0</v>
      </c>
      <c r="J23" s="66">
        <f t="shared" si="3"/>
        <v>0</v>
      </c>
      <c r="K23" s="66">
        <f t="shared" si="3"/>
        <v>0</v>
      </c>
      <c r="L23" s="66"/>
      <c r="M23" s="52"/>
    </row>
    <row r="24" spans="1:13" s="57" customFormat="1">
      <c r="A24" s="52"/>
      <c r="B24" s="52"/>
      <c r="C24" s="58"/>
      <c r="D24" s="52"/>
      <c r="E24" s="52"/>
      <c r="F24" s="59"/>
      <c r="G24" s="56"/>
      <c r="H24" s="56"/>
      <c r="I24" s="56"/>
      <c r="J24" s="56"/>
      <c r="K24" s="56"/>
      <c r="L24" s="56"/>
      <c r="M24" s="52"/>
    </row>
    <row r="25" spans="1:13" s="57" customFormat="1">
      <c r="A25" s="52"/>
      <c r="B25" s="61" t="s">
        <v>227</v>
      </c>
      <c r="C25" s="58"/>
      <c r="D25" s="52"/>
      <c r="E25" s="52"/>
      <c r="F25" s="59"/>
      <c r="G25" s="56"/>
      <c r="H25" s="56"/>
      <c r="I25" s="56"/>
      <c r="J25" s="56"/>
      <c r="K25" s="56"/>
      <c r="L25" s="56"/>
      <c r="M25" s="52"/>
    </row>
    <row r="26" spans="1:13" s="57" customFormat="1">
      <c r="A26" s="52"/>
      <c r="B26" s="52" t="s">
        <v>228</v>
      </c>
      <c r="C26" s="58" t="s">
        <v>213</v>
      </c>
      <c r="D26" s="52"/>
      <c r="E26" s="52"/>
      <c r="F26" s="59"/>
      <c r="G26" s="63">
        <v>0</v>
      </c>
      <c r="H26" s="63">
        <v>0</v>
      </c>
      <c r="I26" s="63">
        <v>0</v>
      </c>
      <c r="J26" s="63">
        <v>0</v>
      </c>
      <c r="K26" s="63">
        <v>0</v>
      </c>
      <c r="L26" s="63"/>
      <c r="M26" s="52"/>
    </row>
    <row r="27" spans="1:13" s="57" customFormat="1">
      <c r="A27" s="52"/>
      <c r="B27" s="67" t="s">
        <v>14</v>
      </c>
      <c r="C27" s="58" t="s">
        <v>213</v>
      </c>
      <c r="D27" s="52"/>
      <c r="E27" s="52"/>
      <c r="F27" s="59"/>
      <c r="G27" s="66">
        <f t="shared" ref="G27:K27" si="4">SUM(G26:G26)</f>
        <v>0</v>
      </c>
      <c r="H27" s="66">
        <f t="shared" si="4"/>
        <v>0</v>
      </c>
      <c r="I27" s="66">
        <f t="shared" si="4"/>
        <v>0</v>
      </c>
      <c r="J27" s="66">
        <f t="shared" si="4"/>
        <v>0</v>
      </c>
      <c r="K27" s="66">
        <f t="shared" si="4"/>
        <v>0</v>
      </c>
      <c r="L27" s="66"/>
      <c r="M27" s="52"/>
    </row>
    <row r="28" spans="1:13" s="57" customFormat="1">
      <c r="A28" s="52"/>
      <c r="B28" s="52"/>
      <c r="C28" s="58"/>
      <c r="D28" s="52"/>
      <c r="E28" s="52"/>
      <c r="F28" s="59"/>
      <c r="G28" s="56"/>
      <c r="H28" s="56"/>
      <c r="I28" s="56"/>
      <c r="J28" s="56"/>
      <c r="K28" s="56"/>
      <c r="L28" s="56"/>
      <c r="M28" s="52"/>
    </row>
    <row r="29" spans="1:13" s="57" customFormat="1">
      <c r="A29" s="52"/>
      <c r="B29" s="52" t="s">
        <v>229</v>
      </c>
      <c r="C29" s="58" t="s">
        <v>213</v>
      </c>
      <c r="D29" s="52"/>
      <c r="E29" s="52"/>
      <c r="F29" s="59"/>
      <c r="G29" s="68">
        <f t="shared" ref="G29:K29" si="5">G18+G23+G27</f>
        <v>0</v>
      </c>
      <c r="H29" s="68">
        <f t="shared" si="5"/>
        <v>0</v>
      </c>
      <c r="I29" s="68">
        <f t="shared" si="5"/>
        <v>0</v>
      </c>
      <c r="J29" s="68">
        <f t="shared" si="5"/>
        <v>0</v>
      </c>
      <c r="K29" s="68">
        <f t="shared" si="5"/>
        <v>0</v>
      </c>
      <c r="L29" s="68"/>
      <c r="M29" s="52"/>
    </row>
    <row r="30" spans="1:13" s="57" customFormat="1">
      <c r="A30" s="52"/>
      <c r="B30" s="52"/>
      <c r="C30" s="58"/>
      <c r="D30" s="52"/>
      <c r="E30" s="52"/>
      <c r="F30" s="59"/>
      <c r="G30" s="56"/>
      <c r="H30" s="56"/>
      <c r="I30" s="56"/>
      <c r="J30" s="56"/>
      <c r="K30" s="56"/>
      <c r="L30" s="56"/>
      <c r="M30" s="52"/>
    </row>
    <row r="31" spans="1:13" s="57" customFormat="1">
      <c r="A31" s="52"/>
      <c r="B31" s="67" t="s">
        <v>230</v>
      </c>
      <c r="C31" s="58"/>
      <c r="D31" s="52"/>
      <c r="E31" s="52"/>
      <c r="F31" s="59"/>
      <c r="G31" s="56"/>
      <c r="H31" s="56"/>
      <c r="I31" s="56"/>
      <c r="J31" s="56"/>
      <c r="K31" s="56"/>
      <c r="L31" s="56"/>
      <c r="M31" s="52"/>
    </row>
    <row r="32" spans="1:13" s="57" customFormat="1">
      <c r="A32" s="52"/>
      <c r="B32" s="52" t="s">
        <v>231</v>
      </c>
      <c r="C32" s="58" t="s">
        <v>213</v>
      </c>
      <c r="D32" s="52"/>
      <c r="E32" s="52"/>
      <c r="F32" s="59"/>
      <c r="G32" s="63">
        <v>0</v>
      </c>
      <c r="H32" s="63">
        <v>0</v>
      </c>
      <c r="I32" s="63">
        <v>0</v>
      </c>
      <c r="J32" s="63">
        <v>0</v>
      </c>
      <c r="K32" s="63">
        <v>0</v>
      </c>
      <c r="L32" s="63"/>
      <c r="M32" s="52"/>
    </row>
    <row r="33" spans="1:13" s="57" customFormat="1">
      <c r="A33" s="52"/>
      <c r="B33" s="52" t="s">
        <v>232</v>
      </c>
      <c r="C33" s="58" t="s">
        <v>213</v>
      </c>
      <c r="D33" s="52"/>
      <c r="E33" s="52"/>
      <c r="F33" s="59"/>
      <c r="G33" s="63">
        <v>0</v>
      </c>
      <c r="H33" s="63">
        <v>0</v>
      </c>
      <c r="I33" s="63">
        <v>0</v>
      </c>
      <c r="J33" s="63">
        <v>0</v>
      </c>
      <c r="K33" s="63">
        <v>0</v>
      </c>
      <c r="L33" s="63"/>
      <c r="M33" s="52"/>
    </row>
    <row r="34" spans="1:13" s="57" customFormat="1">
      <c r="A34" s="52"/>
      <c r="B34" s="67" t="s">
        <v>14</v>
      </c>
      <c r="C34" s="58" t="s">
        <v>213</v>
      </c>
      <c r="D34" s="52"/>
      <c r="E34" s="52"/>
      <c r="F34" s="59"/>
      <c r="G34" s="66">
        <f t="shared" ref="G34" si="6">SUM(G32:G33)</f>
        <v>0</v>
      </c>
      <c r="H34" s="66">
        <f t="shared" ref="H34:K34" si="7">SUM(H32:H33)</f>
        <v>0</v>
      </c>
      <c r="I34" s="66">
        <f t="shared" si="7"/>
        <v>0</v>
      </c>
      <c r="J34" s="66">
        <f t="shared" si="7"/>
        <v>0</v>
      </c>
      <c r="K34" s="66">
        <f t="shared" si="7"/>
        <v>0</v>
      </c>
      <c r="L34" s="66"/>
      <c r="M34" s="52"/>
    </row>
    <row r="35" spans="1:13" s="57" customFormat="1">
      <c r="A35" s="52"/>
      <c r="B35" s="52"/>
      <c r="C35" s="58"/>
      <c r="D35" s="52"/>
      <c r="E35" s="52"/>
      <c r="F35" s="59"/>
      <c r="G35" s="56"/>
      <c r="H35" s="56"/>
      <c r="I35" s="56"/>
      <c r="J35" s="56"/>
      <c r="K35" s="56"/>
      <c r="L35" s="56"/>
      <c r="M35" s="52"/>
    </row>
    <row r="36" spans="1:13" s="57" customFormat="1">
      <c r="A36" s="52"/>
      <c r="B36" s="52" t="s">
        <v>233</v>
      </c>
      <c r="C36" s="58" t="s">
        <v>213</v>
      </c>
      <c r="D36" s="52"/>
      <c r="E36" s="52"/>
      <c r="F36" s="59"/>
      <c r="G36" s="68">
        <f t="shared" ref="G36:K36" si="8">G29+G34</f>
        <v>0</v>
      </c>
      <c r="H36" s="68">
        <f t="shared" si="8"/>
        <v>0</v>
      </c>
      <c r="I36" s="68">
        <f t="shared" si="8"/>
        <v>0</v>
      </c>
      <c r="J36" s="68">
        <f t="shared" si="8"/>
        <v>0</v>
      </c>
      <c r="K36" s="68">
        <f t="shared" si="8"/>
        <v>0</v>
      </c>
      <c r="L36" s="68"/>
      <c r="M36" s="52"/>
    </row>
    <row r="37" spans="1:13" s="57" customFormat="1">
      <c r="A37" s="52"/>
      <c r="B37" s="52"/>
      <c r="C37" s="58"/>
      <c r="D37" s="52"/>
      <c r="E37" s="52"/>
      <c r="F37" s="59"/>
      <c r="G37" s="56"/>
      <c r="H37" s="56"/>
      <c r="I37" s="56"/>
      <c r="J37" s="56"/>
      <c r="K37" s="56"/>
      <c r="L37" s="56"/>
      <c r="M37" s="52"/>
    </row>
    <row r="38" spans="1:13" s="57" customFormat="1">
      <c r="A38" s="52"/>
      <c r="B38" s="52" t="s">
        <v>234</v>
      </c>
      <c r="C38" s="58" t="s">
        <v>213</v>
      </c>
      <c r="D38" s="52"/>
      <c r="E38" s="52"/>
      <c r="F38" s="59"/>
      <c r="G38" s="63">
        <v>0</v>
      </c>
      <c r="H38" s="63">
        <f>G39</f>
        <v>0</v>
      </c>
      <c r="I38" s="63">
        <f>H39</f>
        <v>0</v>
      </c>
      <c r="J38" s="63">
        <f>I39</f>
        <v>0</v>
      </c>
      <c r="K38" s="63">
        <f>J39</f>
        <v>0</v>
      </c>
      <c r="L38" s="63"/>
      <c r="M38" s="52"/>
    </row>
    <row r="39" spans="1:13" s="57" customFormat="1">
      <c r="A39" s="52"/>
      <c r="B39" s="52" t="s">
        <v>235</v>
      </c>
      <c r="C39" s="58" t="s">
        <v>213</v>
      </c>
      <c r="D39" s="52"/>
      <c r="E39" s="52"/>
      <c r="F39" s="59"/>
      <c r="G39" s="63">
        <f t="shared" ref="G39:K39" si="9">+G36+G38</f>
        <v>0</v>
      </c>
      <c r="H39" s="63">
        <f t="shared" si="9"/>
        <v>0</v>
      </c>
      <c r="I39" s="63">
        <f t="shared" si="9"/>
        <v>0</v>
      </c>
      <c r="J39" s="63">
        <f t="shared" si="9"/>
        <v>0</v>
      </c>
      <c r="K39" s="63">
        <f t="shared" si="9"/>
        <v>0</v>
      </c>
      <c r="L39" s="63"/>
      <c r="M39" s="52"/>
    </row>
    <row r="40" spans="1:13" s="57" customFormat="1">
      <c r="A40" s="52"/>
      <c r="B40" s="67" t="s">
        <v>236</v>
      </c>
      <c r="C40" s="58" t="s">
        <v>237</v>
      </c>
      <c r="D40" s="52"/>
      <c r="E40" s="52"/>
      <c r="F40" s="59"/>
      <c r="G40" s="69">
        <f t="shared" ref="G40:K40" si="10">+G39</f>
        <v>0</v>
      </c>
      <c r="H40" s="69">
        <f t="shared" si="10"/>
        <v>0</v>
      </c>
      <c r="I40" s="69">
        <f t="shared" si="10"/>
        <v>0</v>
      </c>
      <c r="J40" s="69">
        <f t="shared" si="10"/>
        <v>0</v>
      </c>
      <c r="K40" s="69">
        <f t="shared" si="10"/>
        <v>0</v>
      </c>
      <c r="L40" s="69"/>
      <c r="M40" s="52"/>
    </row>
    <row r="41" spans="1:13" s="57" customFormat="1">
      <c r="A41" s="52"/>
      <c r="B41" s="67"/>
      <c r="C41" s="58"/>
      <c r="D41" s="52"/>
      <c r="E41" s="52"/>
      <c r="F41" s="52"/>
      <c r="G41" s="70">
        <v>0</v>
      </c>
      <c r="H41" s="70">
        <v>1</v>
      </c>
      <c r="I41" s="70">
        <v>2</v>
      </c>
      <c r="J41" s="70">
        <v>3</v>
      </c>
      <c r="K41" s="70">
        <v>4</v>
      </c>
      <c r="L41" s="70"/>
      <c r="M41" s="52"/>
    </row>
    <row r="42" spans="1:13" s="57" customFormat="1">
      <c r="A42" s="52"/>
      <c r="B42" s="67" t="s">
        <v>238</v>
      </c>
      <c r="C42" s="58"/>
      <c r="D42" s="52"/>
      <c r="E42" s="52"/>
      <c r="F42" s="52"/>
      <c r="G42" s="71">
        <v>0</v>
      </c>
      <c r="H42" s="71">
        <f>G42</f>
        <v>0</v>
      </c>
      <c r="I42" s="71">
        <f t="shared" ref="I42:K42" si="11">H42</f>
        <v>0</v>
      </c>
      <c r="J42" s="71">
        <f t="shared" si="11"/>
        <v>0</v>
      </c>
      <c r="K42" s="71">
        <f t="shared" si="11"/>
        <v>0</v>
      </c>
      <c r="L42" s="71"/>
      <c r="M42" s="52"/>
    </row>
    <row r="43" spans="1:13" s="57" customFormat="1">
      <c r="A43" s="52"/>
      <c r="B43" s="67" t="s">
        <v>239</v>
      </c>
      <c r="C43" s="58"/>
      <c r="D43" s="52"/>
      <c r="E43" s="52"/>
      <c r="F43" s="52"/>
      <c r="G43" s="72">
        <f>+G36</f>
        <v>0</v>
      </c>
      <c r="H43" s="72">
        <f>H36/(1+H$42)^H41</f>
        <v>0</v>
      </c>
      <c r="I43" s="72">
        <f>I36/(1+I$42)^I41</f>
        <v>0</v>
      </c>
      <c r="J43" s="72">
        <f t="shared" ref="J43:K43" si="12">J36/(1+J$42)^J41</f>
        <v>0</v>
      </c>
      <c r="K43" s="72">
        <f t="shared" si="12"/>
        <v>0</v>
      </c>
      <c r="L43" s="72"/>
      <c r="M43" s="52"/>
    </row>
    <row r="44" spans="1:13" s="57" customFormat="1">
      <c r="A44" s="52"/>
      <c r="B44" s="67" t="s">
        <v>240</v>
      </c>
      <c r="C44" s="58"/>
      <c r="D44" s="52"/>
      <c r="E44" s="52"/>
      <c r="F44" s="73">
        <f>+SUM(G43:L43)</f>
        <v>0</v>
      </c>
      <c r="G44" s="74"/>
      <c r="H44" s="74"/>
      <c r="I44" s="74"/>
      <c r="J44" s="74"/>
      <c r="K44" s="74"/>
      <c r="L44" s="74"/>
      <c r="M44" s="52"/>
    </row>
    <row r="45" spans="1:13" s="57" customFormat="1">
      <c r="A45" s="52"/>
      <c r="B45" s="67" t="s">
        <v>241</v>
      </c>
      <c r="C45" s="58"/>
      <c r="D45" s="52"/>
      <c r="E45" s="52"/>
      <c r="F45" s="75" t="e">
        <f>+IRR(G36:L36)</f>
        <v>#NUM!</v>
      </c>
      <c r="G45" s="74"/>
      <c r="H45" s="74"/>
      <c r="I45" s="74"/>
      <c r="J45" s="74"/>
      <c r="K45" s="74"/>
      <c r="L45" s="74"/>
      <c r="M45" s="52"/>
    </row>
    <row r="46" spans="1:13" s="57" customFormat="1">
      <c r="A46" s="52"/>
      <c r="B46" s="52"/>
      <c r="C46" s="58"/>
      <c r="D46" s="52"/>
      <c r="E46" s="52"/>
      <c r="F46" s="59"/>
      <c r="G46" s="59"/>
      <c r="H46" s="194">
        <f>H43</f>
        <v>0</v>
      </c>
      <c r="I46" s="194">
        <f>I43</f>
        <v>0</v>
      </c>
      <c r="J46" s="194">
        <f>J43</f>
        <v>0</v>
      </c>
      <c r="K46" s="194">
        <f>K43</f>
        <v>0</v>
      </c>
      <c r="L46" s="80"/>
      <c r="M46" s="52"/>
    </row>
    <row r="47" spans="1:13" s="57" customFormat="1">
      <c r="A47" s="52"/>
      <c r="B47" s="52"/>
      <c r="C47" s="58"/>
      <c r="D47" s="52"/>
      <c r="E47" s="52"/>
      <c r="F47" s="59"/>
      <c r="G47" s="59"/>
      <c r="H47" s="195">
        <f>SUM(H46:L46)</f>
        <v>0</v>
      </c>
      <c r="I47" s="194"/>
      <c r="J47" s="194"/>
      <c r="K47" s="194"/>
      <c r="L47" s="80"/>
      <c r="M47" s="52"/>
    </row>
    <row r="48" spans="1:13" s="57" customFormat="1">
      <c r="A48" s="52"/>
      <c r="B48" s="52"/>
      <c r="C48" s="58"/>
      <c r="D48" s="52"/>
      <c r="E48" s="52"/>
      <c r="F48" s="59"/>
      <c r="G48" s="59"/>
      <c r="H48" s="52"/>
      <c r="I48" s="52"/>
      <c r="J48" s="76"/>
      <c r="K48" s="52"/>
      <c r="L48" s="52"/>
      <c r="M48" s="52"/>
    </row>
    <row r="49" spans="1:13" s="57" customFormat="1">
      <c r="A49" s="52"/>
      <c r="B49" s="52"/>
      <c r="C49" s="58"/>
      <c r="D49" s="52"/>
      <c r="E49" s="52"/>
      <c r="F49" s="59"/>
      <c r="G49" s="59"/>
      <c r="H49" s="52"/>
      <c r="I49" s="52"/>
      <c r="J49" s="76"/>
      <c r="K49" s="52"/>
      <c r="L49" s="52"/>
      <c r="M49" s="52"/>
    </row>
    <row r="50" spans="1:13" s="57" customFormat="1">
      <c r="A50" s="52"/>
      <c r="B50" s="52"/>
      <c r="C50" s="58"/>
      <c r="D50" s="52"/>
      <c r="E50" s="52"/>
      <c r="F50" s="59"/>
      <c r="G50" s="59"/>
      <c r="H50" s="52"/>
      <c r="I50" s="52"/>
      <c r="J50" s="76"/>
      <c r="K50" s="52"/>
      <c r="L50" s="52"/>
      <c r="M50" s="52"/>
    </row>
    <row r="51" spans="1:13" s="57" customFormat="1">
      <c r="A51" s="52"/>
      <c r="B51" s="52"/>
      <c r="C51" s="58"/>
      <c r="D51" s="52"/>
      <c r="E51" s="52"/>
      <c r="F51" s="59"/>
      <c r="G51" s="59"/>
      <c r="H51" s="52"/>
      <c r="I51" s="52"/>
      <c r="J51" s="52"/>
      <c r="K51" s="52"/>
      <c r="L51" s="52"/>
      <c r="M51" s="52"/>
    </row>
    <row r="52" spans="1:13" s="57" customFormat="1">
      <c r="A52" s="52"/>
      <c r="B52" s="52"/>
      <c r="C52" s="58"/>
      <c r="D52" s="52"/>
      <c r="E52" s="52"/>
      <c r="F52" s="59"/>
      <c r="G52" s="59"/>
      <c r="H52" s="52"/>
      <c r="I52" s="52"/>
      <c r="J52" s="52"/>
      <c r="K52" s="52"/>
      <c r="L52" s="52"/>
      <c r="M52" s="52"/>
    </row>
    <row r="53" spans="1:13" s="57" customFormat="1">
      <c r="A53" s="52"/>
      <c r="B53" s="52"/>
      <c r="C53" s="58"/>
      <c r="D53" s="52"/>
      <c r="E53" s="52"/>
      <c r="F53" s="59"/>
      <c r="G53" s="59"/>
      <c r="H53" s="52"/>
      <c r="I53" s="52"/>
      <c r="J53" s="52"/>
      <c r="K53" s="52"/>
      <c r="L53" s="52"/>
      <c r="M53" s="52"/>
    </row>
    <row r="54" spans="1:13" s="57" customFormat="1">
      <c r="A54" s="52"/>
      <c r="B54" s="52"/>
      <c r="C54" s="58"/>
      <c r="D54" s="52"/>
      <c r="E54" s="52"/>
      <c r="F54" s="59"/>
      <c r="G54" s="59"/>
      <c r="H54" s="52"/>
      <c r="I54" s="52"/>
      <c r="J54" s="52"/>
      <c r="K54" s="52"/>
      <c r="L54" s="52"/>
      <c r="M54" s="52"/>
    </row>
    <row r="55" spans="1:13" s="57" customFormat="1">
      <c r="A55" s="52"/>
      <c r="B55" s="52"/>
      <c r="C55" s="58"/>
      <c r="D55" s="52"/>
      <c r="E55" s="52"/>
      <c r="F55" s="59"/>
      <c r="G55" s="59"/>
      <c r="H55" s="52"/>
      <c r="I55" s="52"/>
      <c r="J55" s="52"/>
      <c r="K55" s="52"/>
      <c r="L55" s="52"/>
      <c r="M55" s="52"/>
    </row>
    <row r="56" spans="1:13" s="57" customFormat="1">
      <c r="A56" s="52"/>
      <c r="B56" s="52"/>
      <c r="C56" s="58"/>
      <c r="D56" s="52"/>
      <c r="E56" s="52"/>
      <c r="F56" s="59"/>
      <c r="G56" s="59"/>
      <c r="H56" s="52"/>
      <c r="I56" s="52"/>
      <c r="J56" s="52"/>
      <c r="K56" s="52"/>
      <c r="L56" s="52"/>
      <c r="M56" s="52"/>
    </row>
    <row r="57" spans="1:13" s="57" customFormat="1">
      <c r="A57" s="52"/>
      <c r="B57" s="52"/>
      <c r="C57" s="58"/>
      <c r="D57" s="52"/>
      <c r="E57" s="52"/>
      <c r="F57" s="59"/>
      <c r="G57" s="59"/>
      <c r="H57" s="52"/>
      <c r="I57" s="52"/>
      <c r="J57" s="52"/>
      <c r="K57" s="52"/>
      <c r="L57" s="52"/>
      <c r="M57" s="52"/>
    </row>
    <row r="58" spans="1:13" s="57" customFormat="1">
      <c r="A58" s="52"/>
      <c r="B58" s="52"/>
      <c r="C58" s="58"/>
      <c r="D58" s="52"/>
      <c r="E58" s="52"/>
      <c r="F58" s="59"/>
      <c r="G58" s="59"/>
      <c r="H58" s="52"/>
      <c r="I58" s="52"/>
      <c r="J58" s="52"/>
      <c r="K58" s="52"/>
      <c r="L58" s="52"/>
      <c r="M58" s="52"/>
    </row>
    <row r="59" spans="1:13" s="77" customFormat="1"/>
    <row r="60" spans="1:13" s="77" customFormat="1"/>
    <row r="61" spans="1:13" s="77" customFormat="1"/>
    <row r="62" spans="1:13" s="77" customFormat="1"/>
    <row r="63" spans="1:13"/>
    <row r="64" spans="1:13"/>
    <row r="65" spans="3:7" s="57" customFormat="1">
      <c r="C65" s="58"/>
      <c r="F65" s="78"/>
      <c r="G65" s="78"/>
    </row>
    <row r="66" spans="3:7" s="57" customFormat="1">
      <c r="C66" s="58"/>
      <c r="F66" s="78"/>
      <c r="G66" s="78"/>
    </row>
    <row r="67" spans="3:7" s="57" customFormat="1">
      <c r="C67" s="58"/>
      <c r="F67" s="78"/>
      <c r="G67" s="78"/>
    </row>
    <row r="68" spans="3:7" s="57" customFormat="1">
      <c r="C68" s="58"/>
      <c r="F68" s="78"/>
      <c r="G68" s="78"/>
    </row>
    <row r="69" spans="3:7" s="57" customFormat="1">
      <c r="C69" s="58"/>
      <c r="F69" s="78"/>
      <c r="G69" s="78"/>
    </row>
    <row r="70" spans="3:7" s="57" customFormat="1">
      <c r="C70" s="58"/>
      <c r="F70" s="78"/>
      <c r="G70" s="78"/>
    </row>
    <row r="71" spans="3:7" s="57" customFormat="1">
      <c r="C71" s="58"/>
      <c r="F71" s="78"/>
      <c r="G71" s="78"/>
    </row>
    <row r="72" spans="3:7" s="57" customFormat="1">
      <c r="C72" s="58"/>
      <c r="F72" s="78"/>
      <c r="G72" s="78"/>
    </row>
    <row r="73" spans="3:7" s="57" customFormat="1">
      <c r="C73" s="58"/>
      <c r="F73" s="78"/>
      <c r="G73" s="78"/>
    </row>
    <row r="74" spans="3:7" s="57" customFormat="1">
      <c r="C74" s="58"/>
      <c r="F74" s="78"/>
      <c r="G74" s="78"/>
    </row>
    <row r="75" spans="3:7" s="57" customFormat="1">
      <c r="C75" s="58"/>
      <c r="F75" s="78"/>
      <c r="G75" s="78"/>
    </row>
    <row r="76" spans="3:7" s="57" customFormat="1">
      <c r="C76" s="58"/>
      <c r="F76" s="78"/>
      <c r="G76" s="78"/>
    </row>
    <row r="77" spans="3:7" s="57" customFormat="1">
      <c r="C77" s="58"/>
      <c r="F77" s="78"/>
      <c r="G77" s="78"/>
    </row>
    <row r="78" spans="3:7" s="57" customFormat="1">
      <c r="C78" s="58"/>
      <c r="F78" s="78"/>
      <c r="G78" s="78"/>
    </row>
    <row r="79" spans="3:7" s="57" customFormat="1">
      <c r="C79" s="58"/>
      <c r="F79" s="78"/>
      <c r="G79" s="78"/>
    </row>
    <row r="80" spans="3:7" s="57" customFormat="1">
      <c r="C80" s="58"/>
      <c r="F80" s="78"/>
      <c r="G80" s="78"/>
    </row>
    <row r="81" spans="3:7" s="57" customFormat="1">
      <c r="C81" s="58"/>
      <c r="F81" s="78"/>
      <c r="G81" s="78"/>
    </row>
    <row r="82" spans="3:7" s="57" customFormat="1">
      <c r="C82" s="58"/>
      <c r="F82" s="78"/>
      <c r="G82" s="78"/>
    </row>
    <row r="83" spans="3:7" s="57" customFormat="1">
      <c r="C83" s="58"/>
      <c r="F83" s="78"/>
      <c r="G83" s="78"/>
    </row>
    <row r="84" spans="3:7" s="57" customFormat="1">
      <c r="C84" s="58"/>
      <c r="F84" s="78"/>
      <c r="G84" s="78"/>
    </row>
    <row r="85" spans="3:7" s="57" customFormat="1">
      <c r="C85" s="58"/>
      <c r="F85" s="78"/>
      <c r="G85" s="78"/>
    </row>
    <row r="86" spans="3:7" s="57" customFormat="1">
      <c r="C86" s="58"/>
      <c r="F86" s="78"/>
      <c r="G86" s="78"/>
    </row>
    <row r="87" spans="3:7" s="57" customFormat="1">
      <c r="C87" s="58"/>
      <c r="F87" s="78"/>
      <c r="G87" s="78"/>
    </row>
    <row r="88" spans="3:7" s="57" customFormat="1">
      <c r="C88" s="58"/>
      <c r="F88" s="78"/>
      <c r="G88" s="78"/>
    </row>
    <row r="89" spans="3:7" s="57" customFormat="1">
      <c r="C89" s="58"/>
      <c r="F89" s="78"/>
      <c r="G89" s="78"/>
    </row>
    <row r="90" spans="3:7" s="57" customFormat="1">
      <c r="C90" s="58"/>
      <c r="F90" s="78"/>
      <c r="G90" s="78"/>
    </row>
    <row r="91" spans="3:7" s="57" customFormat="1">
      <c r="C91" s="58"/>
      <c r="F91" s="78"/>
      <c r="G91" s="78"/>
    </row>
    <row r="92" spans="3:7" s="57" customFormat="1">
      <c r="C92" s="58"/>
      <c r="F92" s="78"/>
      <c r="G92" s="78"/>
    </row>
    <row r="93" spans="3:7" s="57" customFormat="1">
      <c r="C93" s="58"/>
      <c r="F93" s="78"/>
      <c r="G93" s="78"/>
    </row>
    <row r="94" spans="3:7" s="57" customFormat="1">
      <c r="C94" s="58"/>
      <c r="F94" s="78"/>
      <c r="G94" s="78"/>
    </row>
    <row r="95" spans="3:7" s="57" customFormat="1">
      <c r="C95" s="58"/>
      <c r="F95" s="78"/>
      <c r="G95" s="78"/>
    </row>
    <row r="96" spans="3:7" s="57" customFormat="1">
      <c r="C96" s="58"/>
      <c r="F96" s="78"/>
      <c r="G96" s="78"/>
    </row>
    <row r="97" spans="3:7" s="57" customFormat="1">
      <c r="C97" s="58"/>
      <c r="F97" s="78"/>
      <c r="G97" s="78"/>
    </row>
    <row r="98" spans="3:7" s="57" customFormat="1">
      <c r="C98" s="58"/>
      <c r="F98" s="78"/>
      <c r="G98" s="78"/>
    </row>
    <row r="99" spans="3:7" s="57" customFormat="1">
      <c r="C99" s="58"/>
      <c r="F99" s="78"/>
      <c r="G99" s="78"/>
    </row>
    <row r="100" spans="3:7" s="57" customFormat="1">
      <c r="C100" s="58"/>
      <c r="F100" s="78"/>
      <c r="G100" s="78"/>
    </row>
    <row r="101" spans="3:7" s="57" customFormat="1">
      <c r="C101" s="58"/>
      <c r="F101" s="78"/>
      <c r="G101" s="78"/>
    </row>
    <row r="102" spans="3:7" s="57" customFormat="1">
      <c r="C102" s="58"/>
      <c r="F102" s="78"/>
      <c r="G102" s="78"/>
    </row>
    <row r="103" spans="3:7" s="57" customFormat="1">
      <c r="C103" s="58"/>
      <c r="F103" s="78"/>
      <c r="G103" s="78"/>
    </row>
    <row r="104" spans="3:7" s="57" customFormat="1">
      <c r="C104" s="58"/>
      <c r="F104" s="78"/>
      <c r="G104" s="78"/>
    </row>
    <row r="105" spans="3:7" s="57" customFormat="1">
      <c r="C105" s="58"/>
      <c r="F105" s="78"/>
      <c r="G105" s="78"/>
    </row>
    <row r="106" spans="3:7" s="57" customFormat="1">
      <c r="C106" s="58"/>
      <c r="F106" s="78"/>
      <c r="G106" s="78"/>
    </row>
    <row r="107" spans="3:7" s="57" customFormat="1">
      <c r="C107" s="58"/>
      <c r="F107" s="78"/>
      <c r="G107" s="78"/>
    </row>
    <row r="108" spans="3:7" s="57" customFormat="1">
      <c r="C108" s="58"/>
      <c r="F108" s="78"/>
      <c r="G108" s="78"/>
    </row>
    <row r="109" spans="3:7" s="57" customFormat="1">
      <c r="C109" s="58"/>
      <c r="F109" s="78"/>
      <c r="G109" s="78"/>
    </row>
    <row r="110" spans="3:7" s="57" customFormat="1">
      <c r="C110" s="58"/>
      <c r="F110" s="78"/>
      <c r="G110" s="78"/>
    </row>
    <row r="111" spans="3:7" s="57" customFormat="1">
      <c r="C111" s="58"/>
      <c r="F111" s="78"/>
      <c r="G111" s="78"/>
    </row>
    <row r="112" spans="3:7" s="57" customFormat="1">
      <c r="C112" s="58"/>
      <c r="F112" s="78"/>
      <c r="G112" s="78"/>
    </row>
    <row r="113" spans="3:7" s="57" customFormat="1">
      <c r="C113" s="58"/>
      <c r="F113" s="78"/>
      <c r="G113" s="78"/>
    </row>
    <row r="114" spans="3:7" s="57" customFormat="1">
      <c r="C114" s="58"/>
      <c r="F114" s="78"/>
      <c r="G114" s="78"/>
    </row>
    <row r="115" spans="3:7" s="57" customFormat="1">
      <c r="C115" s="58"/>
      <c r="F115" s="78"/>
      <c r="G115" s="78"/>
    </row>
    <row r="116" spans="3:7" s="57" customFormat="1">
      <c r="C116" s="58"/>
      <c r="F116" s="78"/>
      <c r="G116" s="78"/>
    </row>
    <row r="117" spans="3:7" s="57" customFormat="1">
      <c r="C117" s="58"/>
      <c r="F117" s="78"/>
      <c r="G117" s="78"/>
    </row>
    <row r="118" spans="3:7" s="57" customFormat="1">
      <c r="C118" s="58"/>
      <c r="F118" s="78"/>
      <c r="G118" s="78"/>
    </row>
    <row r="119" spans="3:7" s="57" customFormat="1">
      <c r="C119" s="58"/>
      <c r="F119" s="78"/>
      <c r="G119" s="78"/>
    </row>
    <row r="120" spans="3:7" s="57" customFormat="1">
      <c r="C120" s="58"/>
      <c r="F120" s="78"/>
      <c r="G120" s="78"/>
    </row>
    <row r="121" spans="3:7" s="57" customFormat="1">
      <c r="C121" s="58"/>
      <c r="F121" s="78"/>
      <c r="G121" s="78"/>
    </row>
    <row r="122" spans="3:7" s="57" customFormat="1">
      <c r="C122" s="58"/>
      <c r="F122" s="78"/>
      <c r="G122" s="78"/>
    </row>
    <row r="123" spans="3:7" s="57" customFormat="1">
      <c r="C123" s="58"/>
      <c r="F123" s="78"/>
      <c r="G123" s="78"/>
    </row>
    <row r="124" spans="3:7" s="57" customFormat="1">
      <c r="C124" s="58"/>
      <c r="F124" s="78"/>
      <c r="G124" s="78"/>
    </row>
    <row r="125" spans="3:7" s="57" customFormat="1">
      <c r="C125" s="58"/>
      <c r="F125" s="78"/>
      <c r="G125" s="78"/>
    </row>
    <row r="126" spans="3:7" s="57" customFormat="1">
      <c r="C126" s="58"/>
      <c r="F126" s="78"/>
      <c r="G126" s="78"/>
    </row>
    <row r="127" spans="3:7" s="57" customFormat="1">
      <c r="C127" s="58"/>
      <c r="F127" s="78"/>
      <c r="G127" s="78"/>
    </row>
    <row r="128" spans="3:7" s="57" customFormat="1">
      <c r="C128" s="58"/>
      <c r="F128" s="78"/>
      <c r="G128" s="78"/>
    </row>
    <row r="129" spans="3:7" s="57" customFormat="1">
      <c r="C129" s="58"/>
      <c r="F129" s="78"/>
      <c r="G129" s="78"/>
    </row>
    <row r="130" spans="3:7" s="57" customFormat="1">
      <c r="C130" s="58"/>
      <c r="F130" s="78"/>
      <c r="G130" s="78"/>
    </row>
    <row r="131" spans="3:7" s="57" customFormat="1">
      <c r="C131" s="58"/>
      <c r="F131" s="78"/>
      <c r="G131" s="78"/>
    </row>
    <row r="132" spans="3:7" s="57" customFormat="1">
      <c r="C132" s="58"/>
      <c r="F132" s="78"/>
      <c r="G132" s="78"/>
    </row>
    <row r="133" spans="3:7" s="57" customFormat="1">
      <c r="C133" s="58"/>
      <c r="F133" s="78"/>
      <c r="G133" s="78"/>
    </row>
    <row r="134" spans="3:7" s="57" customFormat="1">
      <c r="C134" s="58"/>
      <c r="F134" s="78"/>
      <c r="G134" s="78"/>
    </row>
    <row r="135" spans="3:7" s="57" customFormat="1">
      <c r="C135" s="58"/>
      <c r="F135" s="78"/>
      <c r="G135" s="78"/>
    </row>
    <row r="136" spans="3:7" s="57" customFormat="1">
      <c r="C136" s="58"/>
      <c r="F136" s="78"/>
      <c r="G136" s="78"/>
    </row>
    <row r="137" spans="3:7" s="57" customFormat="1">
      <c r="C137" s="58"/>
      <c r="F137" s="78"/>
      <c r="G137" s="78"/>
    </row>
    <row r="138" spans="3:7" s="57" customFormat="1">
      <c r="C138" s="58"/>
      <c r="F138" s="78"/>
      <c r="G138" s="78"/>
    </row>
    <row r="139" spans="3:7" s="57" customFormat="1">
      <c r="C139" s="58"/>
      <c r="F139" s="78"/>
      <c r="G139" s="78"/>
    </row>
    <row r="140" spans="3:7" s="57" customFormat="1">
      <c r="C140" s="58"/>
      <c r="F140" s="78"/>
      <c r="G140" s="78"/>
    </row>
    <row r="141" spans="3:7" s="57" customFormat="1">
      <c r="C141" s="58"/>
      <c r="F141" s="78"/>
      <c r="G141" s="78"/>
    </row>
    <row r="142" spans="3:7" s="57" customFormat="1">
      <c r="C142" s="58"/>
      <c r="F142" s="78"/>
      <c r="G142" s="78"/>
    </row>
    <row r="143" spans="3:7" s="57" customFormat="1">
      <c r="C143" s="58"/>
      <c r="F143" s="78"/>
      <c r="G143" s="78"/>
    </row>
    <row r="144" spans="3:7" s="57" customFormat="1">
      <c r="C144" s="58"/>
      <c r="F144" s="78"/>
      <c r="G144" s="78"/>
    </row>
    <row r="145" spans="3:7" s="57" customFormat="1">
      <c r="C145" s="58"/>
      <c r="F145" s="78"/>
      <c r="G145" s="78"/>
    </row>
    <row r="146" spans="3:7" s="57" customFormat="1">
      <c r="C146" s="58"/>
      <c r="F146" s="78"/>
      <c r="G146" s="78"/>
    </row>
    <row r="147" spans="3:7" s="57" customFormat="1">
      <c r="C147" s="58"/>
      <c r="F147" s="78"/>
      <c r="G147" s="78"/>
    </row>
    <row r="148" spans="3:7" s="57" customFormat="1">
      <c r="C148" s="58"/>
      <c r="F148" s="78"/>
      <c r="G148" s="78"/>
    </row>
    <row r="149" spans="3:7" s="57" customFormat="1">
      <c r="C149" s="58"/>
      <c r="F149" s="78"/>
      <c r="G149" s="78"/>
    </row>
    <row r="150" spans="3:7" s="57" customFormat="1">
      <c r="C150" s="58"/>
      <c r="F150" s="78"/>
      <c r="G150" s="78"/>
    </row>
    <row r="151" spans="3:7" s="57" customFormat="1">
      <c r="C151" s="58"/>
      <c r="F151" s="78"/>
      <c r="G151" s="78"/>
    </row>
    <row r="152" spans="3:7" s="57" customFormat="1">
      <c r="C152" s="58"/>
      <c r="F152" s="78"/>
      <c r="G152" s="78"/>
    </row>
    <row r="153" spans="3:7" s="57" customFormat="1">
      <c r="C153" s="58"/>
      <c r="F153" s="78"/>
      <c r="G153" s="78"/>
    </row>
    <row r="154" spans="3:7"/>
    <row r="155" spans="3:7"/>
    <row r="156" spans="3:7"/>
    <row r="157" spans="3:7"/>
    <row r="158" spans="3:7"/>
    <row r="159" spans="3:7"/>
    <row r="160" spans="3:7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1048367" spans="3:7" s="57" customFormat="1">
      <c r="C1048367" s="58"/>
      <c r="F1048367" s="78"/>
      <c r="G1048367" s="78"/>
    </row>
    <row r="1048368" spans="3:7" s="57" customFormat="1">
      <c r="C1048368" s="58"/>
      <c r="F1048368" s="78"/>
      <c r="G1048368" s="78"/>
    </row>
    <row r="1048369" spans="3:7" s="57" customFormat="1">
      <c r="C1048369" s="58"/>
      <c r="F1048369" s="78"/>
      <c r="G1048369" s="78"/>
    </row>
    <row r="1048370" spans="3:7" s="57" customFormat="1">
      <c r="C1048370" s="58"/>
      <c r="F1048370" s="78"/>
      <c r="G1048370" s="78"/>
    </row>
    <row r="1048371" spans="3:7" s="57" customFormat="1">
      <c r="C1048371" s="58"/>
      <c r="F1048371" s="78"/>
      <c r="G1048371" s="78"/>
    </row>
    <row r="1048372" spans="3:7" s="57" customFormat="1">
      <c r="C1048372" s="58"/>
      <c r="F1048372" s="78"/>
      <c r="G1048372" s="78"/>
    </row>
    <row r="1048373" spans="3:7" s="57" customFormat="1">
      <c r="C1048373" s="58"/>
      <c r="F1048373" s="78"/>
      <c r="G1048373" s="78"/>
    </row>
    <row r="1048374" spans="3:7" s="57" customFormat="1">
      <c r="C1048374" s="58"/>
      <c r="F1048374" s="78"/>
      <c r="G1048374" s="78"/>
    </row>
    <row r="1048375" spans="3:7" s="57" customFormat="1">
      <c r="C1048375" s="58"/>
      <c r="F1048375" s="78"/>
      <c r="G1048375" s="78"/>
    </row>
    <row r="1048376" spans="3:7" s="57" customFormat="1">
      <c r="C1048376" s="58"/>
      <c r="F1048376" s="78"/>
      <c r="G1048376" s="78"/>
    </row>
    <row r="1048377" spans="3:7" s="57" customFormat="1">
      <c r="C1048377" s="58"/>
      <c r="F1048377" s="78"/>
      <c r="G1048377" s="78"/>
    </row>
    <row r="1048378" spans="3:7" s="57" customFormat="1">
      <c r="C1048378" s="58"/>
      <c r="F1048378" s="78"/>
      <c r="G1048378" s="78"/>
    </row>
    <row r="1048379" spans="3:7" s="57" customFormat="1">
      <c r="C1048379" s="58"/>
      <c r="F1048379" s="78"/>
      <c r="G1048379" s="78"/>
    </row>
    <row r="1048380" spans="3:7" s="57" customFormat="1">
      <c r="C1048380" s="58"/>
      <c r="F1048380" s="78"/>
      <c r="G1048380" s="78"/>
    </row>
    <row r="1048381" spans="3:7" s="57" customFormat="1">
      <c r="C1048381" s="58"/>
      <c r="F1048381" s="78"/>
      <c r="G1048381" s="78"/>
    </row>
    <row r="1048382" spans="3:7" s="57" customFormat="1">
      <c r="C1048382" s="58"/>
      <c r="F1048382" s="78"/>
      <c r="G1048382" s="78"/>
    </row>
    <row r="1048383" spans="3:7" s="57" customFormat="1">
      <c r="C1048383" s="58"/>
      <c r="F1048383" s="78"/>
      <c r="G1048383" s="78"/>
    </row>
    <row r="1048384" spans="3:7" s="57" customFormat="1">
      <c r="C1048384" s="58"/>
      <c r="F1048384" s="78"/>
      <c r="G1048384" s="78"/>
    </row>
    <row r="1048385" spans="3:7" s="57" customFormat="1">
      <c r="C1048385" s="58"/>
      <c r="F1048385" s="78"/>
      <c r="G1048385" s="78"/>
    </row>
    <row r="1048386" spans="3:7" s="57" customFormat="1">
      <c r="C1048386" s="58"/>
      <c r="F1048386" s="78"/>
      <c r="G1048386" s="78"/>
    </row>
    <row r="1048387" spans="3:7" s="57" customFormat="1">
      <c r="C1048387" s="58"/>
      <c r="F1048387" s="78"/>
      <c r="G1048387" s="78"/>
    </row>
    <row r="1048388" spans="3:7" s="57" customFormat="1">
      <c r="C1048388" s="58"/>
      <c r="F1048388" s="78"/>
      <c r="G1048388" s="78"/>
    </row>
    <row r="1048389" spans="3:7" s="57" customFormat="1">
      <c r="C1048389" s="58"/>
      <c r="F1048389" s="78"/>
      <c r="G1048389" s="78"/>
    </row>
    <row r="1048390" spans="3:7" s="57" customFormat="1">
      <c r="C1048390" s="58"/>
      <c r="F1048390" s="78"/>
      <c r="G1048390" s="78"/>
    </row>
    <row r="1048391" spans="3:7" s="57" customFormat="1">
      <c r="C1048391" s="58"/>
      <c r="F1048391" s="78"/>
      <c r="G1048391" s="78"/>
    </row>
    <row r="1048392" spans="3:7" s="57" customFormat="1">
      <c r="C1048392" s="58"/>
      <c r="F1048392" s="78"/>
      <c r="G1048392" s="78"/>
    </row>
    <row r="1048393" spans="3:7" s="57" customFormat="1">
      <c r="C1048393" s="58"/>
      <c r="F1048393" s="78"/>
      <c r="G1048393" s="78"/>
    </row>
    <row r="1048394" spans="3:7" s="57" customFormat="1">
      <c r="C1048394" s="58"/>
      <c r="F1048394" s="78"/>
      <c r="G1048394" s="78"/>
    </row>
    <row r="1048395" spans="3:7" s="57" customFormat="1">
      <c r="C1048395" s="58"/>
      <c r="F1048395" s="78"/>
      <c r="G1048395" s="78"/>
    </row>
    <row r="1048396" spans="3:7" s="57" customFormat="1">
      <c r="C1048396" s="58"/>
      <c r="F1048396" s="78"/>
      <c r="G1048396" s="78"/>
    </row>
    <row r="1048397" spans="3:7" s="57" customFormat="1">
      <c r="C1048397" s="58"/>
      <c r="F1048397" s="78"/>
      <c r="G1048397" s="78"/>
    </row>
    <row r="1048398" spans="3:7" s="57" customFormat="1">
      <c r="C1048398" s="58"/>
      <c r="F1048398" s="78"/>
      <c r="G1048398" s="78"/>
    </row>
    <row r="1048399" spans="3:7" s="57" customFormat="1">
      <c r="C1048399" s="58"/>
      <c r="F1048399" s="78"/>
      <c r="G1048399" s="78"/>
    </row>
    <row r="1048400" spans="3:7" s="57" customFormat="1">
      <c r="C1048400" s="58"/>
      <c r="F1048400" s="78"/>
      <c r="G1048400" s="78"/>
    </row>
    <row r="1048401" spans="3:7" s="57" customFormat="1">
      <c r="C1048401" s="58"/>
      <c r="F1048401" s="78"/>
      <c r="G1048401" s="78"/>
    </row>
    <row r="1048402" spans="3:7" s="57" customFormat="1">
      <c r="C1048402" s="58"/>
      <c r="F1048402" s="78"/>
      <c r="G1048402" s="78"/>
    </row>
    <row r="1048403" spans="3:7" s="57" customFormat="1">
      <c r="C1048403" s="58"/>
      <c r="F1048403" s="78"/>
      <c r="G1048403" s="78"/>
    </row>
    <row r="1048404" spans="3:7" s="57" customFormat="1">
      <c r="C1048404" s="58"/>
      <c r="F1048404" s="78"/>
      <c r="G1048404" s="78"/>
    </row>
    <row r="1048405" spans="3:7" s="57" customFormat="1">
      <c r="C1048405" s="58"/>
      <c r="F1048405" s="78"/>
      <c r="G1048405" s="78"/>
    </row>
    <row r="1048406" spans="3:7" s="57" customFormat="1">
      <c r="C1048406" s="58"/>
      <c r="F1048406" s="78"/>
      <c r="G1048406" s="78"/>
    </row>
    <row r="1048407" spans="3:7" s="57" customFormat="1">
      <c r="C1048407" s="58"/>
      <c r="F1048407" s="78"/>
      <c r="G1048407" s="78"/>
    </row>
    <row r="1048408" spans="3:7" s="57" customFormat="1">
      <c r="C1048408" s="58"/>
      <c r="F1048408" s="78"/>
      <c r="G1048408" s="78"/>
    </row>
    <row r="1048409" spans="3:7" s="57" customFormat="1">
      <c r="C1048409" s="58"/>
      <c r="F1048409" s="78"/>
      <c r="G1048409" s="78"/>
    </row>
    <row r="1048410" spans="3:7" s="57" customFormat="1">
      <c r="C1048410" s="58"/>
      <c r="F1048410" s="78"/>
      <c r="G1048410" s="78"/>
    </row>
    <row r="1048411" spans="3:7" s="57" customFormat="1">
      <c r="C1048411" s="58"/>
      <c r="F1048411" s="78"/>
      <c r="G1048411" s="78"/>
    </row>
    <row r="1048412" spans="3:7" s="57" customFormat="1">
      <c r="C1048412" s="58"/>
      <c r="F1048412" s="78"/>
      <c r="G1048412" s="78"/>
    </row>
    <row r="1048413" spans="3:7" s="57" customFormat="1">
      <c r="C1048413" s="58"/>
      <c r="F1048413" s="78"/>
      <c r="G1048413" s="78"/>
    </row>
    <row r="1048414" spans="3:7" s="57" customFormat="1">
      <c r="C1048414" s="58"/>
      <c r="F1048414" s="78"/>
      <c r="G1048414" s="78"/>
    </row>
    <row r="1048415" spans="3:7" s="57" customFormat="1">
      <c r="C1048415" s="58"/>
      <c r="F1048415" s="78"/>
      <c r="G1048415" s="78"/>
    </row>
    <row r="1048416" spans="3:7" s="57" customFormat="1">
      <c r="C1048416" s="58"/>
      <c r="F1048416" s="78"/>
      <c r="G1048416" s="78"/>
    </row>
    <row r="1048417" spans="3:7" s="57" customFormat="1">
      <c r="C1048417" s="58"/>
      <c r="F1048417" s="78"/>
      <c r="G1048417" s="78"/>
    </row>
    <row r="1048418" spans="3:7" s="57" customFormat="1">
      <c r="C1048418" s="58"/>
      <c r="F1048418" s="78"/>
      <c r="G1048418" s="78"/>
    </row>
    <row r="1048419" spans="3:7" s="57" customFormat="1">
      <c r="C1048419" s="58"/>
      <c r="F1048419" s="78"/>
      <c r="G1048419" s="78"/>
    </row>
    <row r="1048420" spans="3:7" s="57" customFormat="1">
      <c r="C1048420" s="58"/>
      <c r="F1048420" s="78"/>
      <c r="G1048420" s="78"/>
    </row>
    <row r="1048421" spans="3:7" s="57" customFormat="1">
      <c r="C1048421" s="58"/>
      <c r="F1048421" s="78"/>
      <c r="G1048421" s="78"/>
    </row>
    <row r="1048422" spans="3:7" s="57" customFormat="1">
      <c r="C1048422" s="58"/>
      <c r="F1048422" s="78"/>
      <c r="G1048422" s="78"/>
    </row>
    <row r="1048423" spans="3:7" s="57" customFormat="1">
      <c r="C1048423" s="58"/>
      <c r="F1048423" s="78"/>
      <c r="G1048423" s="78"/>
    </row>
    <row r="1048424" spans="3:7" s="57" customFormat="1">
      <c r="C1048424" s="58"/>
      <c r="F1048424" s="78"/>
      <c r="G1048424" s="78"/>
    </row>
    <row r="1048425" spans="3:7" s="57" customFormat="1">
      <c r="C1048425" s="58"/>
      <c r="F1048425" s="78"/>
      <c r="G1048425" s="78"/>
    </row>
    <row r="1048426" spans="3:7" s="57" customFormat="1">
      <c r="C1048426" s="58"/>
      <c r="F1048426" s="78"/>
      <c r="G1048426" s="78"/>
    </row>
    <row r="1048427" spans="3:7" s="57" customFormat="1">
      <c r="C1048427" s="58"/>
      <c r="F1048427" s="78"/>
      <c r="G1048427" s="78"/>
    </row>
    <row r="1048428" spans="3:7" s="57" customFormat="1">
      <c r="C1048428" s="58"/>
      <c r="F1048428" s="78"/>
      <c r="G1048428" s="78"/>
    </row>
    <row r="1048429" spans="3:7" s="57" customFormat="1">
      <c r="C1048429" s="58"/>
      <c r="F1048429" s="78"/>
      <c r="G1048429" s="78"/>
    </row>
    <row r="1048430" spans="3:7" s="57" customFormat="1">
      <c r="C1048430" s="58"/>
      <c r="F1048430" s="78"/>
      <c r="G1048430" s="78"/>
    </row>
    <row r="1048431" spans="3:7" s="57" customFormat="1">
      <c r="C1048431" s="58"/>
      <c r="F1048431" s="78"/>
      <c r="G1048431" s="78"/>
    </row>
    <row r="1048432" spans="3:7" s="57" customFormat="1">
      <c r="C1048432" s="58"/>
      <c r="F1048432" s="78"/>
      <c r="G1048432" s="78"/>
    </row>
    <row r="1048433" spans="3:7" s="57" customFormat="1">
      <c r="C1048433" s="58"/>
      <c r="F1048433" s="78"/>
      <c r="G1048433" s="78"/>
    </row>
    <row r="1048434" spans="3:7" s="57" customFormat="1">
      <c r="C1048434" s="58"/>
      <c r="F1048434" s="78"/>
      <c r="G1048434" s="78"/>
    </row>
    <row r="1048435" spans="3:7" s="57" customFormat="1">
      <c r="C1048435" s="58"/>
      <c r="F1048435" s="78"/>
      <c r="G1048435" s="78"/>
    </row>
    <row r="1048436" spans="3:7" s="57" customFormat="1">
      <c r="C1048436" s="58"/>
      <c r="F1048436" s="78"/>
      <c r="G1048436" s="78"/>
    </row>
    <row r="1048437" spans="3:7" s="57" customFormat="1">
      <c r="C1048437" s="58"/>
      <c r="F1048437" s="78"/>
      <c r="G1048437" s="78"/>
    </row>
    <row r="1048438" spans="3:7" s="57" customFormat="1">
      <c r="C1048438" s="58"/>
      <c r="F1048438" s="78"/>
      <c r="G1048438" s="78"/>
    </row>
    <row r="1048439" spans="3:7" s="57" customFormat="1">
      <c r="C1048439" s="58"/>
      <c r="F1048439" s="78"/>
      <c r="G1048439" s="78"/>
    </row>
    <row r="1048440" spans="3:7" s="57" customFormat="1">
      <c r="C1048440" s="58"/>
      <c r="F1048440" s="78"/>
      <c r="G1048440" s="78"/>
    </row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/>
  </sheetData>
  <conditionalFormatting sqref="F40:F45 G42:L43">
    <cfRule type="cellIs" dxfId="1" priority="1" operator="equal">
      <formula>0</formula>
    </cfRule>
    <cfRule type="cellIs" dxfId="0" priority="2" operator="equal">
      <formula>1</formula>
    </cfRule>
  </conditionalFormatting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894A-C99B-423F-BA09-2B9D4C45E2D8}">
  <sheetPr>
    <tabColor theme="4" tint="-0.249977111117893"/>
  </sheetPr>
  <dimension ref="A1:N38"/>
  <sheetViews>
    <sheetView zoomScaleNormal="100" workbookViewId="0">
      <selection activeCell="D17" sqref="D17"/>
    </sheetView>
  </sheetViews>
  <sheetFormatPr baseColWidth="10" defaultColWidth="10.5703125" defaultRowHeight="12.75"/>
  <cols>
    <col min="1" max="1" width="12.42578125" style="16" customWidth="1"/>
    <col min="2" max="2" width="36" style="16" customWidth="1"/>
    <col min="3" max="3" width="19" style="16" customWidth="1"/>
    <col min="4" max="4" width="15.85546875" style="16" customWidth="1"/>
    <col min="5" max="5" width="16.28515625" style="16" customWidth="1"/>
    <col min="6" max="6" width="15.42578125" style="16" customWidth="1"/>
    <col min="7" max="7" width="16.140625" style="16" customWidth="1"/>
    <col min="8" max="8" width="17.7109375" style="16" customWidth="1"/>
    <col min="9" max="9" width="18.85546875" style="16" customWidth="1"/>
    <col min="10" max="10" width="16.85546875" style="16" customWidth="1"/>
    <col min="11" max="11" width="15.28515625" style="16" customWidth="1"/>
    <col min="12" max="12" width="14.28515625" style="16" customWidth="1"/>
    <col min="13" max="13" width="15.28515625" style="16" customWidth="1"/>
    <col min="14" max="14" width="16.42578125" style="16" bestFit="1" customWidth="1"/>
    <col min="15" max="16384" width="10.5703125" style="16"/>
  </cols>
  <sheetData>
    <row r="1" spans="2:14" ht="15">
      <c r="B1" s="173" t="s">
        <v>242</v>
      </c>
      <c r="C1" s="173"/>
      <c r="D1" s="173"/>
      <c r="H1" s="35"/>
      <c r="I1" s="12"/>
      <c r="N1" s="36"/>
    </row>
    <row r="2" spans="2:14" ht="16.5" customHeight="1">
      <c r="B2" s="524" t="s">
        <v>243</v>
      </c>
      <c r="C2" s="524"/>
      <c r="D2" s="524"/>
      <c r="E2" s="524"/>
      <c r="F2" s="524"/>
      <c r="G2" s="524"/>
      <c r="H2" s="524"/>
      <c r="I2" s="524"/>
      <c r="J2" s="524"/>
      <c r="K2" s="524"/>
      <c r="L2" s="524"/>
      <c r="M2" s="524"/>
    </row>
    <row r="3" spans="2:14" s="48" customFormat="1" ht="37.5" customHeight="1" thickBot="1">
      <c r="B3" s="169" t="s">
        <v>244</v>
      </c>
      <c r="C3" s="170" t="s">
        <v>245</v>
      </c>
      <c r="D3" s="170" t="s">
        <v>246</v>
      </c>
      <c r="E3" s="170" t="s">
        <v>247</v>
      </c>
      <c r="F3" s="170" t="s">
        <v>248</v>
      </c>
      <c r="G3" s="170" t="s">
        <v>249</v>
      </c>
      <c r="H3" s="170" t="s">
        <v>250</v>
      </c>
      <c r="I3" s="170" t="s">
        <v>251</v>
      </c>
      <c r="J3" s="208" t="s">
        <v>252</v>
      </c>
      <c r="K3" s="208" t="s">
        <v>253</v>
      </c>
      <c r="L3" s="208" t="s">
        <v>254</v>
      </c>
      <c r="M3" s="208" t="s">
        <v>255</v>
      </c>
    </row>
    <row r="4" spans="2:14" ht="15.95" customHeight="1" thickBot="1">
      <c r="B4" s="209" t="s">
        <v>256</v>
      </c>
      <c r="C4" s="210">
        <v>16</v>
      </c>
      <c r="D4" s="218">
        <v>2262.67</v>
      </c>
      <c r="E4" s="218">
        <f>Tabla22[[#This Row],[Costo Unitario]]*Tabla22[[#This Row],[Cantidad total para proyecto]]</f>
        <v>36202.720000000001</v>
      </c>
      <c r="F4" s="174">
        <f t="shared" ref="F4:F13" si="0">E4/$E$14</f>
        <v>7.3728385281294911E-2</v>
      </c>
      <c r="G4" s="218">
        <v>3189.56</v>
      </c>
      <c r="H4" s="219">
        <f>Tabla22[[#This Row],[Venta Unitario]]*Tabla22[[#This Row],[Cantidad total para proyecto]]</f>
        <v>51032.959999999999</v>
      </c>
      <c r="I4" s="220">
        <v>58.48</v>
      </c>
      <c r="J4" s="220">
        <v>106.1</v>
      </c>
      <c r="K4" s="220">
        <f>Tabla22[[#This Row],[Venta mensual (4 años) Unitaria]]*Tabla22[[#This Row],[Cantidad total para proyecto]]</f>
        <v>1697.6</v>
      </c>
      <c r="L4" s="220">
        <v>141.66999999999999</v>
      </c>
      <c r="M4" s="220">
        <f>L4*Tabla22[[#This Row],[Cantidad total para proyecto]]</f>
        <v>2266.7199999999998</v>
      </c>
    </row>
    <row r="5" spans="2:14" ht="15.95" customHeight="1" thickBot="1">
      <c r="B5" s="209" t="s">
        <v>257</v>
      </c>
      <c r="C5" s="211">
        <v>91</v>
      </c>
      <c r="D5" s="218">
        <v>1332.07</v>
      </c>
      <c r="E5" s="218">
        <f>Tabla22[[#This Row],[Costo Unitario]]*Tabla22[[#This Row],[Cantidad total para proyecto]]</f>
        <v>121218.37</v>
      </c>
      <c r="F5" s="144">
        <f t="shared" si="0"/>
        <v>0.24686638701541103</v>
      </c>
      <c r="G5" s="218">
        <v>1902.99</v>
      </c>
      <c r="H5" s="219">
        <f>Tabla22[[#This Row],[Venta Unitario]]*Tabla22[[#This Row],[Cantidad total para proyecto]]</f>
        <v>173172.09</v>
      </c>
      <c r="I5" s="220">
        <v>34.43</v>
      </c>
      <c r="J5" s="220">
        <v>66.2</v>
      </c>
      <c r="K5" s="220">
        <f>Tabla22[[#This Row],[Venta mensual (4 años) Unitaria]]*Tabla22[[#This Row],[Cantidad total para proyecto]]</f>
        <v>6024.2</v>
      </c>
      <c r="L5" s="220">
        <v>68.97</v>
      </c>
      <c r="M5" s="220">
        <f>L5*Tabla22[[#This Row],[Cantidad total para proyecto]]</f>
        <v>6276.2699999999995</v>
      </c>
    </row>
    <row r="6" spans="2:14" ht="15.95" customHeight="1" thickBot="1">
      <c r="B6" s="209" t="s">
        <v>258</v>
      </c>
      <c r="C6" s="212">
        <v>1</v>
      </c>
      <c r="D6" s="218">
        <v>111921.88</v>
      </c>
      <c r="E6" s="218">
        <f>Tabla22[[#This Row],[Costo Unitario]]*Tabla22[[#This Row],[Cantidad total para proyecto]]</f>
        <v>111921.88</v>
      </c>
      <c r="F6" s="144">
        <f t="shared" si="0"/>
        <v>0.22793368813301476</v>
      </c>
      <c r="G6" s="218">
        <v>168664.81</v>
      </c>
      <c r="H6" s="219">
        <f>Tabla22[[#This Row],[Venta Unitario]]*Tabla22[[#This Row],[Cantidad total para proyecto]]</f>
        <v>168664.81</v>
      </c>
      <c r="I6" s="220">
        <v>2892.68</v>
      </c>
      <c r="J6" s="220">
        <v>4854</v>
      </c>
      <c r="K6" s="220">
        <f>Tabla22[[#This Row],[Venta mensual (4 años) Unitaria]]*Tabla22[[#This Row],[Cantidad total para proyecto]]</f>
        <v>4854</v>
      </c>
      <c r="L6" s="220">
        <v>5043.1000000000004</v>
      </c>
      <c r="M6" s="220">
        <f>L6*Tabla22[[#This Row],[Cantidad total para proyecto]]</f>
        <v>5043.1000000000004</v>
      </c>
    </row>
    <row r="7" spans="2:14" ht="15.95" customHeight="1" thickBot="1">
      <c r="B7" s="209" t="s">
        <v>259</v>
      </c>
      <c r="C7" s="213">
        <v>1</v>
      </c>
      <c r="D7" s="218">
        <v>47944.91</v>
      </c>
      <c r="E7" s="218">
        <f>Tabla22[[#This Row],[Costo Unitario]]*Tabla22[[#This Row],[Cantidad total para proyecto]]</f>
        <v>47944.91</v>
      </c>
      <c r="F7" s="144">
        <f t="shared" si="0"/>
        <v>9.7641856654886977E-2</v>
      </c>
      <c r="G7" s="218">
        <v>68586.13</v>
      </c>
      <c r="H7" s="219">
        <f>Tabla22[[#This Row],[Venta Unitario]]*Tabla22[[#This Row],[Cantidad total para proyecto]]</f>
        <v>68586.13</v>
      </c>
      <c r="I7" s="220">
        <v>1239.1600000000001</v>
      </c>
      <c r="J7" s="220">
        <v>1965.17</v>
      </c>
      <c r="K7" s="220">
        <f>Tabla22[[#This Row],[Venta mensual (4 años) Unitaria]]*Tabla22[[#This Row],[Cantidad total para proyecto]]</f>
        <v>1965.17</v>
      </c>
      <c r="L7" s="220">
        <v>1982.89</v>
      </c>
      <c r="M7" s="220">
        <f>L7*Tabla22[[#This Row],[Cantidad total para proyecto]]</f>
        <v>1982.89</v>
      </c>
    </row>
    <row r="8" spans="2:14" ht="15.95" customHeight="1" thickBot="1">
      <c r="B8" s="209" t="s">
        <v>260</v>
      </c>
      <c r="C8" s="212">
        <v>1</v>
      </c>
      <c r="D8" s="218">
        <v>23214.18</v>
      </c>
      <c r="E8" s="218">
        <f>Tabla22[[#This Row],[Costo Unitario]]*Tabla22[[#This Row],[Cantidad total para proyecto]]</f>
        <v>23214.18</v>
      </c>
      <c r="F8" s="144">
        <f t="shared" si="0"/>
        <v>4.7276668908560762E-2</v>
      </c>
      <c r="G8" s="218">
        <v>56727.96</v>
      </c>
      <c r="H8" s="219">
        <f>Tabla22[[#This Row],[Venta Unitario]]*Tabla22[[#This Row],[Cantidad total para proyecto]]</f>
        <v>56727.96</v>
      </c>
      <c r="I8" s="220">
        <v>599.98</v>
      </c>
      <c r="J8" s="220">
        <v>1481.42</v>
      </c>
      <c r="K8" s="220">
        <f>Tabla22[[#This Row],[Venta mensual (4 años) Unitaria]]*Tabla22[[#This Row],[Cantidad total para proyecto]]</f>
        <v>1481.42</v>
      </c>
      <c r="L8" s="220">
        <v>1293.0999999999999</v>
      </c>
      <c r="M8" s="220">
        <f>L8*Tabla22[[#This Row],[Cantidad total para proyecto]]</f>
        <v>1293.0999999999999</v>
      </c>
    </row>
    <row r="9" spans="2:14" ht="15.75" customHeight="1" thickBot="1">
      <c r="B9" s="209" t="s">
        <v>261</v>
      </c>
      <c r="C9" s="212">
        <v>46</v>
      </c>
      <c r="D9" s="218">
        <v>80</v>
      </c>
      <c r="E9" s="218">
        <f>Tabla22[[#This Row],[Costo Unitario]]*Tabla22[[#This Row],[Cantidad total para proyecto]]</f>
        <v>3680</v>
      </c>
      <c r="F9" s="144">
        <f t="shared" si="0"/>
        <v>7.4944771507545645E-3</v>
      </c>
      <c r="G9" s="218">
        <v>114.29</v>
      </c>
      <c r="H9" s="219">
        <f>Tabla22[[#This Row],[Venta Unitario]]*Tabla22[[#This Row],[Cantidad total para proyecto]]</f>
        <v>5257.34</v>
      </c>
      <c r="I9" s="220">
        <v>2.0699999999999998</v>
      </c>
      <c r="J9" s="220">
        <v>144.62</v>
      </c>
      <c r="K9" s="220">
        <f>Tabla22[[#This Row],[Venta mensual (4 años) Unitaria]]*Tabla22[[#This Row],[Cantidad total para proyecto]]</f>
        <v>6652.52</v>
      </c>
      <c r="L9" s="220">
        <v>152.80000000000001</v>
      </c>
      <c r="M9" s="220">
        <f>L9*Tabla22[[#This Row],[Cantidad total para proyecto]]</f>
        <v>7028.8</v>
      </c>
    </row>
    <row r="10" spans="2:14" ht="15.95" customHeight="1" thickBot="1">
      <c r="B10" s="209" t="s">
        <v>262</v>
      </c>
      <c r="C10" s="214">
        <v>45</v>
      </c>
      <c r="D10" s="218">
        <v>2619.29</v>
      </c>
      <c r="E10" s="218">
        <f>Tabla22[[#This Row],[Costo Unitario]]*Tabla22[[#This Row],[Cantidad total para proyecto]]</f>
        <v>117868.05</v>
      </c>
      <c r="F10" s="175">
        <f t="shared" si="0"/>
        <v>0.24004331726331429</v>
      </c>
      <c r="G10" s="218">
        <v>4100.6400000000003</v>
      </c>
      <c r="H10" s="219">
        <f>Tabla22[[#This Row],[Venta Unitario]]*Tabla22[[#This Row],[Cantidad total para proyecto]]</f>
        <v>184528.80000000002</v>
      </c>
      <c r="I10" s="220">
        <v>67.7</v>
      </c>
      <c r="J10" s="220">
        <v>124.81</v>
      </c>
      <c r="K10" s="220">
        <f>Tabla22[[#This Row],[Venta mensual (4 años) Unitaria]]*Tabla22[[#This Row],[Cantidad total para proyecto]]</f>
        <v>5616.45</v>
      </c>
      <c r="L10" s="220">
        <v>129.31</v>
      </c>
      <c r="M10" s="220">
        <f>L10*Tabla22[[#This Row],[Cantidad total para proyecto]]</f>
        <v>5818.95</v>
      </c>
    </row>
    <row r="11" spans="2:14" ht="15.95" customHeight="1" thickBot="1">
      <c r="B11" s="209" t="s">
        <v>263</v>
      </c>
      <c r="C11" s="215">
        <v>2</v>
      </c>
      <c r="D11" s="218">
        <v>1125</v>
      </c>
      <c r="E11" s="218">
        <f>Tabla22[[#This Row],[Costo Unitario]]*Tabla22[[#This Row],[Cantidad total para proyecto]]</f>
        <v>2250</v>
      </c>
      <c r="F11" s="174">
        <f t="shared" si="0"/>
        <v>4.582221084021133E-3</v>
      </c>
      <c r="G11" s="218">
        <v>1607.14</v>
      </c>
      <c r="H11" s="219">
        <f>Tabla22[[#This Row],[Venta Unitario]]*Tabla22[[#This Row],[Cantidad total para proyecto]]</f>
        <v>3214.28</v>
      </c>
      <c r="I11" s="220">
        <v>29.08</v>
      </c>
      <c r="J11" s="220">
        <v>43.61</v>
      </c>
      <c r="K11" s="220">
        <f>Tabla22[[#This Row],[Venta mensual (4 años) Unitaria]]*Tabla22[[#This Row],[Cantidad total para proyecto]]</f>
        <v>87.22</v>
      </c>
      <c r="L11" s="220">
        <v>52.07</v>
      </c>
      <c r="M11" s="220">
        <f>L11*Tabla22[[#This Row],[Cantidad total para proyecto]]</f>
        <v>104.14</v>
      </c>
    </row>
    <row r="12" spans="2:14" ht="15.95" customHeight="1" thickBot="1">
      <c r="B12" s="209" t="s">
        <v>264</v>
      </c>
      <c r="C12" s="216">
        <v>4</v>
      </c>
      <c r="D12" s="218">
        <v>5620.97</v>
      </c>
      <c r="E12" s="218">
        <f>Tabla22[[#This Row],[Costo Unitario]]*Tabla22[[#This Row],[Cantidad total para proyecto]]</f>
        <v>22483.88</v>
      </c>
      <c r="F12" s="144">
        <f t="shared" si="0"/>
        <v>4.57893817718227E-2</v>
      </c>
      <c r="G12" s="218">
        <v>8045.59</v>
      </c>
      <c r="H12" s="219">
        <f>Tabla22[[#This Row],[Venta Unitario]]*Tabla22[[#This Row],[Cantidad total para proyecto]]</f>
        <v>32182.36</v>
      </c>
      <c r="I12" s="220">
        <v>145.28</v>
      </c>
      <c r="J12" s="220">
        <v>256.70999999999998</v>
      </c>
      <c r="K12" s="220">
        <f>Tabla22[[#This Row],[Venta mensual (4 años) Unitaria]]*Tabla22[[#This Row],[Cantidad total para proyecto]]</f>
        <v>1026.8399999999999</v>
      </c>
      <c r="L12" s="220">
        <v>277.22000000000003</v>
      </c>
      <c r="M12" s="220">
        <f>L12*Tabla22[[#This Row],[Cantidad total para proyecto]]</f>
        <v>1108.8800000000001</v>
      </c>
    </row>
    <row r="13" spans="2:14" ht="15.95" customHeight="1" thickBot="1">
      <c r="B13" s="209" t="s">
        <v>265</v>
      </c>
      <c r="C13" s="217">
        <v>1</v>
      </c>
      <c r="D13" s="218">
        <v>4244.26</v>
      </c>
      <c r="E13" s="218">
        <f>Tabla22[[#This Row],[Costo Unitario]]*Tabla22[[#This Row],[Cantidad total para proyecto]]</f>
        <v>4244.26</v>
      </c>
      <c r="F13" s="175">
        <f t="shared" si="0"/>
        <v>8.6436167369189042E-3</v>
      </c>
      <c r="G13" s="218">
        <v>23132.02</v>
      </c>
      <c r="H13" s="219">
        <f>Tabla22[[#This Row],[Venta Unitario]]*Tabla22[[#This Row],[Cantidad total para proyecto]]</f>
        <v>23132.02</v>
      </c>
      <c r="I13" s="220">
        <v>109.7</v>
      </c>
      <c r="J13" s="220">
        <v>631.94000000000005</v>
      </c>
      <c r="K13" s="220">
        <f>Tabla22[[#This Row],[Venta mensual (4 años) Unitaria]]*Tabla22[[#This Row],[Cantidad total para proyecto]]</f>
        <v>631.94000000000005</v>
      </c>
      <c r="L13" s="220">
        <v>258.62</v>
      </c>
      <c r="M13" s="220">
        <f>L13*Tabla22[[#This Row],[Cantidad total para proyecto]]</f>
        <v>258.62</v>
      </c>
    </row>
    <row r="14" spans="2:14" ht="15.95" customHeight="1">
      <c r="B14" s="176" t="s">
        <v>266</v>
      </c>
      <c r="C14" s="176"/>
      <c r="D14" s="176"/>
      <c r="E14" s="221">
        <f>SUBTOTAL(109,E4:E13)</f>
        <v>491028.25</v>
      </c>
      <c r="F14" s="171">
        <f>SUBTOTAL(109,F4:F13)</f>
        <v>1</v>
      </c>
      <c r="G14" s="171"/>
      <c r="H14" s="222">
        <f>SUBTOTAL(109,H4:H13)</f>
        <v>766498.75000000012</v>
      </c>
      <c r="I14" s="222">
        <f>SUBTOTAL(109,I4:I13)</f>
        <v>5178.5599999999986</v>
      </c>
      <c r="J14" s="222">
        <f>SUBTOTAL(109,J4:J13)</f>
        <v>9674.58</v>
      </c>
      <c r="K14" s="222">
        <f>SUBTOTAL(109,K4:K13)</f>
        <v>30037.360000000001</v>
      </c>
      <c r="L14" s="222">
        <f>SUM(L4:L13)</f>
        <v>9399.75</v>
      </c>
      <c r="M14" s="222">
        <f>SUM(M4:M13)</f>
        <v>31181.469999999998</v>
      </c>
    </row>
    <row r="15" spans="2:14" ht="15.95" customHeight="1">
      <c r="E15" s="179"/>
      <c r="F15" s="180"/>
      <c r="G15" s="180"/>
      <c r="H15" s="181"/>
      <c r="I15" s="182"/>
      <c r="K15" s="19"/>
    </row>
    <row r="17" spans="1:6" ht="51">
      <c r="B17" s="224" t="s">
        <v>267</v>
      </c>
      <c r="C17" s="225" t="s">
        <v>268</v>
      </c>
      <c r="D17" s="37"/>
    </row>
    <row r="18" spans="1:6">
      <c r="B18" s="223" t="s">
        <v>256</v>
      </c>
      <c r="C18" s="226">
        <f>(J4-I4)/J4</f>
        <v>0.44882186616399622</v>
      </c>
    </row>
    <row r="19" spans="1:6">
      <c r="B19" s="223" t="s">
        <v>257</v>
      </c>
      <c r="C19" s="226">
        <f t="shared" ref="C19:C27" si="1">(J5-I5)/J5</f>
        <v>0.47990936555891239</v>
      </c>
    </row>
    <row r="20" spans="1:6">
      <c r="B20" s="223" t="s">
        <v>258</v>
      </c>
      <c r="C20" s="226">
        <f t="shared" si="1"/>
        <v>0.40406262875978577</v>
      </c>
    </row>
    <row r="21" spans="1:6">
      <c r="B21" s="223" t="s">
        <v>259</v>
      </c>
      <c r="C21" s="226">
        <f t="shared" si="1"/>
        <v>0.36943877628907423</v>
      </c>
    </row>
    <row r="22" spans="1:6">
      <c r="B22" s="223" t="s">
        <v>260</v>
      </c>
      <c r="C22" s="226">
        <f t="shared" si="1"/>
        <v>0.59499669236273312</v>
      </c>
    </row>
    <row r="23" spans="1:6">
      <c r="B23" s="223" t="s">
        <v>261</v>
      </c>
      <c r="C23" s="226">
        <f t="shared" si="1"/>
        <v>0.98568662702254184</v>
      </c>
    </row>
    <row r="24" spans="1:6">
      <c r="B24" s="223" t="s">
        <v>262</v>
      </c>
      <c r="C24" s="226">
        <f t="shared" si="1"/>
        <v>0.45757551478246933</v>
      </c>
    </row>
    <row r="25" spans="1:6">
      <c r="B25" s="223" t="s">
        <v>263</v>
      </c>
      <c r="C25" s="226">
        <f t="shared" si="1"/>
        <v>0.33318046319651456</v>
      </c>
    </row>
    <row r="26" spans="1:6">
      <c r="B26" s="223" t="s">
        <v>264</v>
      </c>
      <c r="C26" s="226">
        <f t="shared" si="1"/>
        <v>0.43406957266954926</v>
      </c>
    </row>
    <row r="27" spans="1:6">
      <c r="B27" s="223" t="s">
        <v>265</v>
      </c>
      <c r="C27" s="226">
        <f t="shared" si="1"/>
        <v>0.82640757033895618</v>
      </c>
    </row>
    <row r="30" spans="1:6">
      <c r="A30" s="230"/>
      <c r="B30" s="229" t="s">
        <v>269</v>
      </c>
      <c r="C30" s="229" t="s">
        <v>270</v>
      </c>
      <c r="E30" s="31"/>
      <c r="F30" s="31"/>
    </row>
    <row r="31" spans="1:6">
      <c r="A31" s="229" t="s">
        <v>271</v>
      </c>
      <c r="B31" s="227">
        <f>RESUMEN!C12</f>
        <v>0</v>
      </c>
      <c r="C31" s="227">
        <v>477579.73</v>
      </c>
      <c r="D31" s="227">
        <f>B31-C31</f>
        <v>-477579.73</v>
      </c>
      <c r="E31" s="228"/>
      <c r="F31" s="228"/>
    </row>
    <row r="32" spans="1:6" ht="25.5">
      <c r="A32" s="231" t="s">
        <v>272</v>
      </c>
      <c r="B32" s="227">
        <f>RESUMEN!F12</f>
        <v>0</v>
      </c>
      <c r="C32" s="227">
        <v>676559.19</v>
      </c>
      <c r="D32" s="227">
        <f>B32-C32</f>
        <v>-676559.19</v>
      </c>
      <c r="E32" s="228"/>
    </row>
    <row r="33" spans="1:4">
      <c r="A33" s="229" t="s">
        <v>273</v>
      </c>
      <c r="B33" s="232" t="e">
        <f>(B32-B31)/B32</f>
        <v>#DIV/0!</v>
      </c>
      <c r="C33" s="232">
        <f>(C32-C31)/C32</f>
        <v>0.29410502871153071</v>
      </c>
    </row>
    <row r="34" spans="1:4" ht="38.25">
      <c r="A34" s="231" t="s">
        <v>274</v>
      </c>
      <c r="B34" s="227">
        <f>RESUMEN!K5</f>
        <v>0</v>
      </c>
      <c r="C34" s="227">
        <v>33773.638964035439</v>
      </c>
    </row>
    <row r="35" spans="1:4" ht="25.5">
      <c r="A35" s="231" t="s">
        <v>275</v>
      </c>
      <c r="B35" s="116">
        <v>48</v>
      </c>
      <c r="C35" s="116">
        <v>48</v>
      </c>
    </row>
    <row r="36" spans="1:4" ht="25.5">
      <c r="A36" s="231" t="s">
        <v>276</v>
      </c>
      <c r="B36" s="227">
        <f>B34*B35</f>
        <v>0</v>
      </c>
      <c r="C36" s="227">
        <f>C34*C35</f>
        <v>1621134.6702737012</v>
      </c>
      <c r="D36" s="228">
        <f>C36-B36</f>
        <v>1621134.6702737012</v>
      </c>
    </row>
    <row r="37" spans="1:4" ht="25.5" customHeight="1">
      <c r="A37" s="231" t="s">
        <v>277</v>
      </c>
      <c r="B37" s="227">
        <f>RESUMEN!L7+D36</f>
        <v>1621134.6702737012</v>
      </c>
      <c r="C37" s="227">
        <v>1004708.1340252117</v>
      </c>
    </row>
    <row r="38" spans="1:4">
      <c r="B38" s="228"/>
      <c r="C38" s="31" t="s">
        <v>278</v>
      </c>
      <c r="D38" s="234">
        <f>B37/C36</f>
        <v>1</v>
      </c>
    </row>
  </sheetData>
  <mergeCells count="1">
    <mergeCell ref="B2:M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M37"/>
  <sheetViews>
    <sheetView showGridLines="0" topLeftCell="A9" zoomScale="90" zoomScaleNormal="90" workbookViewId="0">
      <selection activeCell="F16" sqref="F16"/>
    </sheetView>
  </sheetViews>
  <sheetFormatPr baseColWidth="10" defaultColWidth="10.5703125" defaultRowHeight="12.75"/>
  <cols>
    <col min="1" max="1" width="17.5703125" style="34" customWidth="1"/>
    <col min="2" max="2" width="45.85546875" style="16" customWidth="1"/>
    <col min="3" max="3" width="20.28515625" style="16" customWidth="1"/>
    <col min="4" max="4" width="19.140625" style="16" bestFit="1" customWidth="1"/>
    <col min="5" max="5" width="16.140625" style="16" customWidth="1"/>
    <col min="6" max="6" width="17.7109375" style="16" customWidth="1"/>
    <col min="7" max="7" width="21.140625" style="16" bestFit="1" customWidth="1"/>
    <col min="8" max="8" width="18.85546875" style="16" customWidth="1"/>
    <col min="9" max="9" width="18.28515625" style="16" customWidth="1"/>
    <col min="10" max="10" width="16.42578125" style="16" bestFit="1" customWidth="1"/>
    <col min="11" max="11" width="10.5703125" style="16" customWidth="1"/>
    <col min="12" max="12" width="13.140625" style="16" customWidth="1"/>
    <col min="13" max="13" width="13.7109375" style="16" customWidth="1"/>
    <col min="14" max="16384" width="10.5703125" style="16"/>
  </cols>
  <sheetData>
    <row r="1" spans="1:13" ht="15.75" thickBot="1">
      <c r="B1" s="173" t="s">
        <v>279</v>
      </c>
      <c r="F1" s="35" t="s">
        <v>280</v>
      </c>
      <c r="G1" s="12">
        <v>25</v>
      </c>
      <c r="J1" s="36"/>
    </row>
    <row r="2" spans="1:13" ht="16.5" customHeight="1" thickBot="1">
      <c r="B2" s="531" t="s">
        <v>243</v>
      </c>
      <c r="C2" s="531"/>
      <c r="D2" s="531"/>
      <c r="E2" s="531"/>
      <c r="F2" s="531"/>
      <c r="G2" s="531"/>
      <c r="H2" s="283"/>
      <c r="I2" s="284"/>
      <c r="J2" s="528" t="s">
        <v>287</v>
      </c>
      <c r="K2" s="529"/>
      <c r="L2" s="529"/>
      <c r="M2" s="530"/>
    </row>
    <row r="3" spans="1:13" s="48" customFormat="1" ht="31.5" customHeight="1" thickBot="1">
      <c r="A3" s="47"/>
      <c r="B3" s="169" t="s">
        <v>244</v>
      </c>
      <c r="C3" s="170" t="s">
        <v>281</v>
      </c>
      <c r="D3" s="170" t="s">
        <v>248</v>
      </c>
      <c r="E3" s="170" t="s">
        <v>282</v>
      </c>
      <c r="F3" s="170" t="s">
        <v>283</v>
      </c>
      <c r="G3" s="170" t="s">
        <v>284</v>
      </c>
      <c r="H3" s="398"/>
      <c r="I3" s="282"/>
      <c r="J3" s="183" t="s">
        <v>288</v>
      </c>
      <c r="K3" s="33">
        <f>+F12</f>
        <v>0</v>
      </c>
      <c r="L3" s="184" t="s">
        <v>289</v>
      </c>
      <c r="M3" s="241">
        <v>0.1</v>
      </c>
    </row>
    <row r="4" spans="1:13" ht="15.95" customHeight="1" thickBot="1">
      <c r="A4" s="532" t="s">
        <v>285</v>
      </c>
      <c r="B4" s="210" t="str">
        <f>Equipos!B3</f>
        <v>Productos 1</v>
      </c>
      <c r="C4" s="255">
        <f>+Equipos!M21</f>
        <v>0</v>
      </c>
      <c r="D4" s="257" t="e">
        <f>C4/$C$12</f>
        <v>#DIV/0!</v>
      </c>
      <c r="E4" s="258">
        <f>+Equipos!N4</f>
        <v>0.27400000000000002</v>
      </c>
      <c r="F4" s="259">
        <f>Tabla2[[#This Row],[Costo]]/(1-Tabla2[[#This Row],[% de venta]])</f>
        <v>0</v>
      </c>
      <c r="G4" s="260">
        <f>+Tabla2[[#This Row],[P. Venta ]]-Tabla2[[#This Row],[Costo]]</f>
        <v>0</v>
      </c>
      <c r="H4" s="277"/>
      <c r="J4" s="185" t="s">
        <v>290</v>
      </c>
      <c r="K4" s="240">
        <v>48</v>
      </c>
      <c r="L4" s="12"/>
      <c r="M4" s="186"/>
    </row>
    <row r="5" spans="1:13" ht="15.95" customHeight="1">
      <c r="A5" s="533"/>
      <c r="B5" s="451" t="str">
        <f>+'Productos 2'!A3</f>
        <v>Productos 2</v>
      </c>
      <c r="C5" s="452">
        <f>+'Productos 2'!L17</f>
        <v>0</v>
      </c>
      <c r="D5" s="453" t="e">
        <f t="shared" ref="D5:D11" si="0">C5/$C$12</f>
        <v>#DIV/0!</v>
      </c>
      <c r="E5" s="454">
        <f>+'Productos 2'!M4</f>
        <v>0.3</v>
      </c>
      <c r="F5" s="455">
        <f>Tabla2[[#This Row],[Costo]]/(1-Tabla2[[#This Row],[% de venta]])</f>
        <v>0</v>
      </c>
      <c r="G5" s="456">
        <f>+Tabla2[[#This Row],[P. Venta ]]-Tabla2[[#This Row],[Costo]]</f>
        <v>0</v>
      </c>
      <c r="H5" s="278"/>
      <c r="J5" s="185" t="s">
        <v>292</v>
      </c>
      <c r="K5" s="38">
        <f>PMT(M3/12,K4,-K3)</f>
        <v>0</v>
      </c>
      <c r="L5" s="187"/>
      <c r="M5" s="49"/>
    </row>
    <row r="6" spans="1:13" ht="15.95" customHeight="1" thickBot="1">
      <c r="A6" s="533"/>
      <c r="B6" s="457" t="str">
        <f>+'Productos 3'!A3</f>
        <v>Productos 3</v>
      </c>
      <c r="C6" s="452">
        <f>+'Productos 3'!L22</f>
        <v>0</v>
      </c>
      <c r="D6" s="453" t="e">
        <f t="shared" si="0"/>
        <v>#DIV/0!</v>
      </c>
      <c r="E6" s="454">
        <f>+'Productos 3'!M4</f>
        <v>0.3</v>
      </c>
      <c r="F6" s="455">
        <f>Tabla2[[#This Row],[Costo]]/(1-Tabla2[[#This Row],[% de venta]])</f>
        <v>0</v>
      </c>
      <c r="G6" s="456">
        <f>+Tabla2[[#This Row],[P. Venta ]]-Tabla2[[#This Row],[Costo]]</f>
        <v>0</v>
      </c>
      <c r="H6" s="278"/>
      <c r="J6" s="188" t="s">
        <v>241</v>
      </c>
      <c r="K6" s="189" t="e">
        <f>'Evaluacion TIR-VAN'!F45</f>
        <v>#NUM!</v>
      </c>
      <c r="L6" s="108"/>
      <c r="M6" s="190"/>
    </row>
    <row r="7" spans="1:13" ht="15.95" customHeight="1" thickBot="1">
      <c r="A7" s="533"/>
      <c r="B7" s="451" t="str">
        <f>+'Productos 4'!A3</f>
        <v>Productos 4</v>
      </c>
      <c r="C7" s="452">
        <f>+'Productos 4'!L21</f>
        <v>0</v>
      </c>
      <c r="D7" s="453" t="e">
        <f t="shared" si="0"/>
        <v>#DIV/0!</v>
      </c>
      <c r="E7" s="454">
        <f>+'Productos 4'!M4</f>
        <v>0.3</v>
      </c>
      <c r="F7" s="455">
        <f>Tabla2[[#This Row],[Costo]]/(1-Tabla2[[#This Row],[% de venta]])</f>
        <v>0</v>
      </c>
      <c r="G7" s="456">
        <f>+Tabla2[[#This Row],[P. Venta ]]-Tabla2[[#This Row],[Costo]]</f>
        <v>0</v>
      </c>
      <c r="H7" s="278"/>
      <c r="J7" s="191" t="s">
        <v>295</v>
      </c>
      <c r="K7" s="192"/>
      <c r="L7" s="196">
        <f>'Evaluacion TIR-VAN'!H47</f>
        <v>0</v>
      </c>
      <c r="M7" s="233" t="e">
        <f>L7/K3</f>
        <v>#DIV/0!</v>
      </c>
    </row>
    <row r="8" spans="1:13" ht="15.95" customHeight="1" thickBot="1">
      <c r="A8" s="534"/>
      <c r="B8" s="214" t="str">
        <f>+'Productos 5'!A3</f>
        <v>Productos 5</v>
      </c>
      <c r="C8" s="256">
        <f>+'Productos 5'!L25</f>
        <v>0</v>
      </c>
      <c r="D8" s="261" t="e">
        <f t="shared" si="0"/>
        <v>#DIV/0!</v>
      </c>
      <c r="E8" s="262">
        <f>+'Productos 5'!M4</f>
        <v>0.3</v>
      </c>
      <c r="F8" s="263">
        <f>Tabla2[[#This Row],[Costo]]/(1-Tabla2[[#This Row],[% de venta]])</f>
        <v>0</v>
      </c>
      <c r="G8" s="264">
        <f>+Tabla2[[#This Row],[P. Venta ]]-Tabla2[[#This Row],[Costo]]</f>
        <v>0</v>
      </c>
      <c r="H8" s="279"/>
    </row>
    <row r="9" spans="1:13" ht="114.75" customHeight="1" thickBot="1">
      <c r="A9" s="309" t="s">
        <v>286</v>
      </c>
      <c r="B9" s="286" t="str">
        <f>+MATERIALES!A3</f>
        <v>Materiales</v>
      </c>
      <c r="C9" s="287">
        <f>+MATERIALES!L46</f>
        <v>0</v>
      </c>
      <c r="D9" s="265" t="e">
        <f t="shared" si="0"/>
        <v>#DIV/0!</v>
      </c>
      <c r="E9" s="288">
        <f>+MATERIALES!M4</f>
        <v>0.3</v>
      </c>
      <c r="F9" s="289">
        <f>Tabla2[[#This Row],[Costo]]/(1-Tabla2[[#This Row],[% de venta]])</f>
        <v>0</v>
      </c>
      <c r="G9" s="290">
        <f>+Tabla2[[#This Row],[P. Venta ]]-Tabla2[[#This Row],[Costo]]</f>
        <v>0</v>
      </c>
      <c r="H9" s="280"/>
    </row>
    <row r="10" spans="1:13" ht="57" customHeight="1" thickBot="1">
      <c r="A10" s="308"/>
      <c r="B10" s="458" t="str">
        <f>+'OPEX GV'!A3</f>
        <v>OPEX GV</v>
      </c>
      <c r="C10" s="459">
        <v>0</v>
      </c>
      <c r="D10" s="292" t="e">
        <f t="shared" si="0"/>
        <v>#DIV/0!</v>
      </c>
      <c r="E10" s="262">
        <f>+'OPEX GV'!M4</f>
        <v>0.27400000000000002</v>
      </c>
      <c r="F10" s="263">
        <f>Tabla2[[#This Row],[Costo]]/(1-Tabla2[[#This Row],[% de venta]])</f>
        <v>0</v>
      </c>
      <c r="G10" s="291">
        <f>+Tabla2[[#This Row],[P. Venta ]]-Tabla2[[#This Row],[Costo]]</f>
        <v>0</v>
      </c>
      <c r="H10" s="293"/>
    </row>
    <row r="11" spans="1:13" ht="36.6" customHeight="1" thickBot="1">
      <c r="A11" s="172" t="s">
        <v>217</v>
      </c>
      <c r="B11" s="211" t="str">
        <f>+'OPEX Proyecto'!A3</f>
        <v>OPEX</v>
      </c>
      <c r="C11" s="256">
        <v>0</v>
      </c>
      <c r="D11" s="285" t="e">
        <f t="shared" si="0"/>
        <v>#DIV/0!</v>
      </c>
      <c r="E11" s="266">
        <f>+'OPEX Proyecto'!M4</f>
        <v>0.3</v>
      </c>
      <c r="F11" s="267">
        <f>Tabla2[[#This Row],[Costo]]/(1-Tabla2[[#This Row],[% de venta]])</f>
        <v>0</v>
      </c>
      <c r="G11" s="268">
        <f>+Tabla2[[#This Row],[P. Venta ]]-Tabla2[[#This Row],[Costo]]</f>
        <v>0</v>
      </c>
      <c r="H11" s="278"/>
    </row>
    <row r="12" spans="1:13" ht="15.95" customHeight="1">
      <c r="A12" s="16"/>
      <c r="B12" s="176" t="s">
        <v>266</v>
      </c>
      <c r="C12" s="177">
        <f>SUBTOTAL(109,C4:C11)</f>
        <v>0</v>
      </c>
      <c r="D12" s="171" t="e">
        <f>SUBTOTAL(109,D4:D11)</f>
        <v>#DIV/0!</v>
      </c>
      <c r="E12" s="171">
        <f>+AVERAGE(E4:E11)</f>
        <v>0.29349999999999998</v>
      </c>
      <c r="F12" s="178">
        <f>SUBTOTAL(109,F4:F11)</f>
        <v>0</v>
      </c>
      <c r="G12" s="178">
        <f>SUBTOTAL(109,G4:G11)</f>
        <v>0</v>
      </c>
      <c r="H12" s="281"/>
    </row>
    <row r="13" spans="1:13" ht="15.95" customHeight="1">
      <c r="A13" s="16"/>
      <c r="C13" s="179"/>
      <c r="D13" s="180"/>
      <c r="E13" s="180"/>
      <c r="F13" s="181"/>
      <c r="G13" s="182"/>
    </row>
    <row r="14" spans="1:13" ht="15.95" customHeight="1">
      <c r="A14" s="16"/>
    </row>
    <row r="15" spans="1:13" ht="15.95" customHeight="1">
      <c r="A15" s="16"/>
      <c r="B15" s="296" t="s">
        <v>211</v>
      </c>
      <c r="C15" s="297">
        <f>F12</f>
        <v>0</v>
      </c>
    </row>
    <row r="16" spans="1:13" ht="15.95" customHeight="1">
      <c r="A16" s="16"/>
      <c r="B16" s="223" t="s">
        <v>214</v>
      </c>
      <c r="C16" s="298">
        <f>C12</f>
        <v>0</v>
      </c>
    </row>
    <row r="17" spans="1:9" ht="15.95" customHeight="1">
      <c r="A17" s="16"/>
      <c r="B17" s="223" t="s">
        <v>291</v>
      </c>
      <c r="C17" s="299">
        <f>C15-C16</f>
        <v>0</v>
      </c>
    </row>
    <row r="18" spans="1:9" ht="15.95" customHeight="1">
      <c r="A18" s="16"/>
      <c r="B18" s="223" t="s">
        <v>293</v>
      </c>
      <c r="C18" s="298">
        <f>C11</f>
        <v>0</v>
      </c>
    </row>
    <row r="19" spans="1:9" ht="15.95" customHeight="1">
      <c r="A19" s="16"/>
      <c r="B19" s="223" t="s">
        <v>294</v>
      </c>
      <c r="C19" s="298"/>
      <c r="D19" s="300">
        <v>6530.4621315789482</v>
      </c>
    </row>
    <row r="20" spans="1:9">
      <c r="A20" s="16"/>
      <c r="B20" s="223" t="s">
        <v>296</v>
      </c>
      <c r="C20" s="298">
        <f>C15*3%</f>
        <v>0</v>
      </c>
    </row>
    <row r="21" spans="1:9">
      <c r="A21" s="16"/>
      <c r="B21" s="301" t="s">
        <v>297</v>
      </c>
      <c r="C21" s="302">
        <f>+C17-SUM(C18:C20)</f>
        <v>0</v>
      </c>
    </row>
    <row r="22" spans="1:9">
      <c r="B22" s="223" t="s">
        <v>298</v>
      </c>
      <c r="C22" s="298">
        <v>0</v>
      </c>
      <c r="H22" s="228"/>
    </row>
    <row r="23" spans="1:9">
      <c r="B23" s="223" t="s">
        <v>299</v>
      </c>
      <c r="C23" s="303">
        <v>0</v>
      </c>
      <c r="G23" s="31"/>
      <c r="I23" s="228">
        <f>K5*574</f>
        <v>0</v>
      </c>
    </row>
    <row r="24" spans="1:9">
      <c r="B24" s="304" t="s">
        <v>300</v>
      </c>
      <c r="C24" s="305">
        <f>C21-C22-C23</f>
        <v>0</v>
      </c>
      <c r="G24" s="31"/>
    </row>
    <row r="25" spans="1:9">
      <c r="B25" s="223" t="s">
        <v>301</v>
      </c>
      <c r="C25" s="303">
        <f>C24*Tabla2[[#This Row],[% del costo]]</f>
        <v>0</v>
      </c>
      <c r="D25" s="306">
        <f>_xlfn.IFS(C24&lt;=D34,C34,C24&lt;=D35,C35,C24&gt;D36,C36)</f>
        <v>0.1</v>
      </c>
      <c r="G25" s="31"/>
    </row>
    <row r="26" spans="1:9">
      <c r="B26" s="301" t="s">
        <v>302</v>
      </c>
      <c r="C26" s="302">
        <f>C24-C25</f>
        <v>0</v>
      </c>
      <c r="D26" s="32" t="e">
        <f>Tabla2[[#This Row],[Costo]]/F12</f>
        <v>#DIV/0!</v>
      </c>
      <c r="G26" s="31"/>
    </row>
    <row r="27" spans="1:9">
      <c r="B27" s="295"/>
      <c r="C27" s="19"/>
      <c r="D27" s="294"/>
      <c r="G27" s="31"/>
    </row>
    <row r="28" spans="1:9">
      <c r="B28" s="295"/>
      <c r="C28" s="19"/>
      <c r="D28" s="294"/>
      <c r="G28" s="31"/>
    </row>
    <row r="29" spans="1:9" ht="15.75">
      <c r="B29" s="242" t="s">
        <v>295</v>
      </c>
      <c r="C29" s="243">
        <f>C26</f>
        <v>0</v>
      </c>
      <c r="D29" s="244" t="e">
        <f>+C29/F12</f>
        <v>#DIV/0!</v>
      </c>
    </row>
    <row r="30" spans="1:9">
      <c r="B30" s="31"/>
      <c r="C30" s="19"/>
    </row>
    <row r="31" spans="1:9" ht="29.25" customHeight="1" thickBot="1">
      <c r="B31" s="31"/>
      <c r="C31" s="19"/>
      <c r="E31" s="275"/>
    </row>
    <row r="32" spans="1:9" ht="31.5" thickBot="1">
      <c r="A32" s="274" t="s">
        <v>303</v>
      </c>
      <c r="B32" s="525" t="s">
        <v>304</v>
      </c>
      <c r="C32" s="526"/>
      <c r="D32" s="527"/>
      <c r="F32"/>
    </row>
    <row r="33" spans="1:6" ht="31.5" thickBot="1">
      <c r="A33" s="274" t="s">
        <v>303</v>
      </c>
      <c r="B33" s="270" t="s">
        <v>305</v>
      </c>
      <c r="C33" s="273" t="s">
        <v>306</v>
      </c>
      <c r="D33" s="270" t="s">
        <v>307</v>
      </c>
    </row>
    <row r="34" spans="1:6" ht="46.5" thickBot="1">
      <c r="A34" s="274" t="s">
        <v>308</v>
      </c>
      <c r="B34" s="271">
        <v>54303000</v>
      </c>
      <c r="C34" s="272">
        <v>0.1</v>
      </c>
      <c r="D34" s="276">
        <f>B34/565</f>
        <v>96111.504424778759</v>
      </c>
    </row>
    <row r="35" spans="1:6" ht="13.5" thickBot="1">
      <c r="B35" s="271">
        <v>109228000</v>
      </c>
      <c r="C35" s="272">
        <v>0.2</v>
      </c>
      <c r="D35" s="276">
        <f t="shared" ref="D35:D36" si="1">B35/565</f>
        <v>193323.89380530972</v>
      </c>
      <c r="F35" s="16">
        <f>_xlfn.IFS(C14&lt;=D34,C34,C14&lt;=D35,C35,C14&gt;D36,C36)</f>
        <v>0.1</v>
      </c>
    </row>
    <row r="36" spans="1:6" ht="13.5" thickBot="1">
      <c r="B36" s="271">
        <v>109228000</v>
      </c>
      <c r="C36" s="272">
        <v>0.3</v>
      </c>
      <c r="D36" s="276">
        <f t="shared" si="1"/>
        <v>193323.89380530972</v>
      </c>
    </row>
    <row r="37" spans="1:6">
      <c r="B37" s="269"/>
      <c r="C37" s="245"/>
      <c r="D37" s="275"/>
    </row>
  </sheetData>
  <mergeCells count="4">
    <mergeCell ref="B32:D32"/>
    <mergeCell ref="J2:M2"/>
    <mergeCell ref="B2:G2"/>
    <mergeCell ref="A4:A8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44AA-A5C7-44E6-A812-9DCD8B5CB8B3}">
  <dimension ref="B1:L52"/>
  <sheetViews>
    <sheetView topLeftCell="A14" zoomScale="70" zoomScaleNormal="70" workbookViewId="0">
      <selection activeCell="N18" sqref="N18"/>
    </sheetView>
  </sheetViews>
  <sheetFormatPr baseColWidth="10" defaultColWidth="11.42578125" defaultRowHeight="15"/>
  <cols>
    <col min="1" max="1" width="11.42578125" style="335"/>
    <col min="2" max="2" width="5.85546875" style="335" customWidth="1"/>
    <col min="3" max="3" width="10.7109375" style="335" customWidth="1"/>
    <col min="4" max="4" width="11.7109375" style="339" hidden="1" customWidth="1"/>
    <col min="5" max="5" width="11.5703125" style="335" hidden="1" customWidth="1"/>
    <col min="6" max="6" width="39.5703125" style="335" customWidth="1"/>
    <col min="7" max="7" width="13.140625" style="335" hidden="1" customWidth="1"/>
    <col min="8" max="8" width="32.85546875" style="335" customWidth="1"/>
    <col min="9" max="9" width="28.85546875" style="335" customWidth="1"/>
    <col min="10" max="11" width="38" style="335" customWidth="1"/>
    <col min="12" max="12" width="50.140625" style="335" hidden="1" customWidth="1"/>
    <col min="13" max="16384" width="11.42578125" style="335"/>
  </cols>
  <sheetData>
    <row r="1" spans="2:11">
      <c r="B1" s="333" t="s">
        <v>309</v>
      </c>
      <c r="C1" s="333" t="s">
        <v>310</v>
      </c>
      <c r="D1" s="334" t="s">
        <v>311</v>
      </c>
      <c r="E1" s="333" t="s">
        <v>312</v>
      </c>
      <c r="F1" s="333" t="s">
        <v>14</v>
      </c>
    </row>
    <row r="2" spans="2:11">
      <c r="B2" s="336">
        <v>1</v>
      </c>
      <c r="C2" s="337" t="s">
        <v>313</v>
      </c>
      <c r="D2" s="338">
        <v>1</v>
      </c>
      <c r="E2" s="337">
        <v>6459.0788864753895</v>
      </c>
      <c r="F2" s="337">
        <f>E2*D2</f>
        <v>6459.0788864753895</v>
      </c>
    </row>
    <row r="3" spans="2:11">
      <c r="B3" s="336">
        <v>2</v>
      </c>
      <c r="C3" s="337" t="s">
        <v>314</v>
      </c>
      <c r="D3" s="338">
        <v>1</v>
      </c>
      <c r="E3" s="337">
        <v>0</v>
      </c>
      <c r="F3" s="337">
        <f>E3*D3</f>
        <v>0</v>
      </c>
    </row>
    <row r="4" spans="2:11">
      <c r="B4" s="336">
        <v>3</v>
      </c>
      <c r="C4" s="337" t="s">
        <v>315</v>
      </c>
      <c r="D4" s="338">
        <v>1</v>
      </c>
      <c r="E4" s="337">
        <v>0</v>
      </c>
      <c r="F4" s="337">
        <f>E4*D4</f>
        <v>0</v>
      </c>
    </row>
    <row r="5" spans="2:11">
      <c r="B5" s="336">
        <v>5</v>
      </c>
      <c r="C5" s="337" t="s">
        <v>316</v>
      </c>
      <c r="D5" s="338">
        <v>1</v>
      </c>
      <c r="E5" s="337">
        <v>0</v>
      </c>
      <c r="F5" s="337">
        <f>E5*D5</f>
        <v>0</v>
      </c>
    </row>
    <row r="6" spans="2:11">
      <c r="B6" s="336">
        <v>6</v>
      </c>
      <c r="C6" s="337" t="s">
        <v>317</v>
      </c>
      <c r="D6" s="338">
        <v>1</v>
      </c>
      <c r="E6" s="337">
        <v>0</v>
      </c>
      <c r="F6" s="337">
        <f>E6*D6</f>
        <v>0</v>
      </c>
    </row>
    <row r="7" spans="2:11">
      <c r="E7" s="340" t="s">
        <v>318</v>
      </c>
      <c r="F7" s="340">
        <f>SUM(F2:F6)</f>
        <v>6459.0788864753895</v>
      </c>
    </row>
    <row r="8" spans="2:11">
      <c r="B8" s="336">
        <v>4</v>
      </c>
      <c r="C8" s="337" t="s">
        <v>319</v>
      </c>
      <c r="D8" s="338">
        <v>1</v>
      </c>
      <c r="E8" s="337">
        <v>0</v>
      </c>
      <c r="F8" s="337">
        <f>E8*D8</f>
        <v>0</v>
      </c>
    </row>
    <row r="9" spans="2:11">
      <c r="E9" s="340" t="s">
        <v>320</v>
      </c>
      <c r="F9" s="340">
        <f>F7*0.13</f>
        <v>839.68025524180064</v>
      </c>
    </row>
    <row r="10" spans="2:11">
      <c r="E10" s="340" t="s">
        <v>14</v>
      </c>
      <c r="F10" s="340">
        <f>SUM(F7:F9)</f>
        <v>7298.7591417171898</v>
      </c>
    </row>
    <row r="15" spans="2:11" ht="15.75">
      <c r="B15" s="341" t="s">
        <v>309</v>
      </c>
      <c r="C15" s="342" t="s">
        <v>8</v>
      </c>
      <c r="D15" s="342" t="s">
        <v>321</v>
      </c>
      <c r="E15" s="342" t="s">
        <v>322</v>
      </c>
      <c r="F15" s="342" t="s">
        <v>323</v>
      </c>
      <c r="G15" s="342" t="s">
        <v>323</v>
      </c>
      <c r="H15" s="538" t="s">
        <v>324</v>
      </c>
      <c r="I15" s="539"/>
      <c r="J15" s="343" t="s">
        <v>246</v>
      </c>
      <c r="K15" s="344" t="s">
        <v>318</v>
      </c>
    </row>
    <row r="16" spans="2:11" ht="21" customHeight="1">
      <c r="B16" s="540" t="s">
        <v>325</v>
      </c>
      <c r="C16" s="541"/>
      <c r="D16" s="541"/>
      <c r="E16" s="541"/>
      <c r="F16" s="541"/>
      <c r="G16" s="541"/>
      <c r="H16" s="541"/>
      <c r="I16" s="541"/>
      <c r="J16" s="541"/>
      <c r="K16" s="542"/>
    </row>
    <row r="17" spans="2:12" ht="67.5" customHeight="1">
      <c r="B17" s="345">
        <v>1</v>
      </c>
      <c r="C17" s="346" t="e">
        <f>+Equipos!#REF!</f>
        <v>#REF!</v>
      </c>
      <c r="D17" s="347"/>
      <c r="E17" s="347"/>
      <c r="F17" s="348" t="s">
        <v>326</v>
      </c>
      <c r="G17" s="361" t="s">
        <v>326</v>
      </c>
      <c r="H17" s="545" t="e">
        <f>+Equipos!#REF!</f>
        <v>#REF!</v>
      </c>
      <c r="I17" s="546"/>
      <c r="J17" s="349" t="e">
        <f>+Equipos!#REF!</f>
        <v>#REF!</v>
      </c>
      <c r="K17" s="349" t="e">
        <f t="shared" ref="K17:K20" si="0">+J17*C17</f>
        <v>#REF!</v>
      </c>
    </row>
    <row r="18" spans="2:12" ht="55.5" customHeight="1">
      <c r="B18" s="345">
        <v>2</v>
      </c>
      <c r="C18" s="346">
        <f>+Equipos!D6</f>
        <v>0</v>
      </c>
      <c r="D18" s="347"/>
      <c r="E18" s="347"/>
      <c r="F18" s="348" t="s">
        <v>327</v>
      </c>
      <c r="G18" s="361" t="s">
        <v>328</v>
      </c>
      <c r="H18" s="545">
        <f>+Equipos!B6</f>
        <v>0</v>
      </c>
      <c r="I18" s="546"/>
      <c r="J18" s="349">
        <f>+Equipos!O6</f>
        <v>0</v>
      </c>
      <c r="K18" s="349">
        <f t="shared" si="0"/>
        <v>0</v>
      </c>
      <c r="L18" s="544"/>
    </row>
    <row r="19" spans="2:12" ht="134.25" customHeight="1">
      <c r="B19" s="345">
        <v>3</v>
      </c>
      <c r="C19" s="346">
        <f>+Equipos!D7</f>
        <v>0</v>
      </c>
      <c r="D19" s="347"/>
      <c r="E19" s="347"/>
      <c r="F19" s="348" t="s">
        <v>326</v>
      </c>
      <c r="G19" s="361" t="s">
        <v>328</v>
      </c>
      <c r="H19" s="545">
        <f>+Equipos!B7</f>
        <v>0</v>
      </c>
      <c r="I19" s="546"/>
      <c r="J19" s="349">
        <f>+Equipos!O7</f>
        <v>0</v>
      </c>
      <c r="K19" s="349">
        <f t="shared" si="0"/>
        <v>0</v>
      </c>
      <c r="L19" s="544"/>
    </row>
    <row r="20" spans="2:12" ht="40.5" customHeight="1">
      <c r="B20" s="345">
        <v>4</v>
      </c>
      <c r="C20" s="346" t="e">
        <f>+Equipos!#REF!</f>
        <v>#REF!</v>
      </c>
      <c r="D20" s="347"/>
      <c r="E20" s="347"/>
      <c r="F20" s="348" t="s">
        <v>327</v>
      </c>
      <c r="G20" s="361" t="s">
        <v>329</v>
      </c>
      <c r="H20" s="545" t="e">
        <f>+Equipos!#REF!</f>
        <v>#REF!</v>
      </c>
      <c r="I20" s="546"/>
      <c r="J20" s="349" t="e">
        <f>+Equipos!#REF!</f>
        <v>#REF!</v>
      </c>
      <c r="K20" s="349" t="e">
        <f t="shared" si="0"/>
        <v>#REF!</v>
      </c>
    </row>
    <row r="21" spans="2:12" ht="38.25" hidden="1" customHeight="1">
      <c r="B21" s="345">
        <v>5</v>
      </c>
      <c r="C21" s="346" t="e">
        <f>+Equipos!#REF!</f>
        <v>#REF!</v>
      </c>
      <c r="D21" s="347"/>
      <c r="E21" s="347"/>
      <c r="F21" s="348" t="s">
        <v>327</v>
      </c>
      <c r="G21" s="361" t="s">
        <v>329</v>
      </c>
      <c r="H21" s="545" t="e">
        <f>+Equipos!#REF!</f>
        <v>#REF!</v>
      </c>
      <c r="I21" s="546"/>
      <c r="J21" s="349" t="e">
        <f>+Equipos!#REF!</f>
        <v>#REF!</v>
      </c>
      <c r="K21" s="349" t="e">
        <f>J21*C21</f>
        <v>#REF!</v>
      </c>
    </row>
    <row r="22" spans="2:12" ht="40.5" hidden="1" customHeight="1">
      <c r="B22" s="345">
        <v>6</v>
      </c>
      <c r="C22" s="346" t="e">
        <f>+Equipos!#REF!</f>
        <v>#REF!</v>
      </c>
      <c r="D22" s="347"/>
      <c r="E22" s="347"/>
      <c r="F22" s="348" t="s">
        <v>327</v>
      </c>
      <c r="G22" s="361" t="s">
        <v>329</v>
      </c>
      <c r="H22" s="545" t="e">
        <f>+Equipos!#REF!</f>
        <v>#REF!</v>
      </c>
      <c r="I22" s="546"/>
      <c r="J22" s="349" t="e">
        <f>+Equipos!#REF!</f>
        <v>#REF!</v>
      </c>
      <c r="K22" s="349" t="e">
        <f>J22*C22</f>
        <v>#REF!</v>
      </c>
    </row>
    <row r="23" spans="2:12" ht="40.5" hidden="1" customHeight="1">
      <c r="B23" s="345">
        <v>7</v>
      </c>
      <c r="C23" s="346">
        <f>+'Productos 5'!C9</f>
        <v>0</v>
      </c>
      <c r="D23" s="347"/>
      <c r="E23" s="347"/>
      <c r="F23" s="348"/>
      <c r="G23" s="361" t="s">
        <v>329</v>
      </c>
      <c r="H23" s="547"/>
      <c r="I23" s="547"/>
      <c r="J23" s="349">
        <f>+'Productos 5'!N9</f>
        <v>0</v>
      </c>
      <c r="K23" s="349">
        <f t="shared" ref="K23:K25" si="1">J23*C23</f>
        <v>0</v>
      </c>
    </row>
    <row r="24" spans="2:12" ht="38.25" hidden="1" customHeight="1">
      <c r="B24" s="345">
        <v>6</v>
      </c>
      <c r="C24" s="346">
        <f>+'Productos 5'!C10</f>
        <v>0</v>
      </c>
      <c r="D24" s="347"/>
      <c r="E24" s="347"/>
      <c r="F24" s="348"/>
      <c r="G24" s="361" t="s">
        <v>329</v>
      </c>
      <c r="H24" s="547"/>
      <c r="I24" s="547"/>
      <c r="J24" s="349">
        <f>+'Productos 5'!N10</f>
        <v>0</v>
      </c>
      <c r="K24" s="349">
        <f t="shared" si="1"/>
        <v>0</v>
      </c>
    </row>
    <row r="25" spans="2:12" ht="40.5" hidden="1" customHeight="1">
      <c r="B25" s="345">
        <v>7</v>
      </c>
      <c r="C25" s="346">
        <f>+'Productos 5'!C11</f>
        <v>0</v>
      </c>
      <c r="D25" s="347"/>
      <c r="E25" s="347"/>
      <c r="F25" s="348"/>
      <c r="G25" s="361" t="s">
        <v>329</v>
      </c>
      <c r="H25" s="547"/>
      <c r="I25" s="547"/>
      <c r="J25" s="349">
        <f>+'Productos 5'!N11</f>
        <v>0</v>
      </c>
      <c r="K25" s="349">
        <f t="shared" si="1"/>
        <v>0</v>
      </c>
    </row>
    <row r="26" spans="2:12" ht="15.75" hidden="1" customHeight="1">
      <c r="B26" s="535" t="s">
        <v>330</v>
      </c>
      <c r="C26" s="536"/>
      <c r="D26" s="536"/>
      <c r="E26" s="536"/>
      <c r="F26" s="536"/>
      <c r="G26" s="536"/>
      <c r="H26" s="536"/>
      <c r="I26" s="536"/>
      <c r="J26" s="536"/>
      <c r="K26" s="537"/>
    </row>
    <row r="27" spans="2:12" ht="15.75">
      <c r="B27" s="350"/>
      <c r="C27" s="351"/>
      <c r="D27" s="351"/>
      <c r="E27" s="351"/>
      <c r="F27" s="351"/>
      <c r="G27" s="351"/>
      <c r="H27" s="351"/>
      <c r="I27" s="352"/>
      <c r="J27" s="353" t="s">
        <v>331</v>
      </c>
      <c r="K27" s="354" t="e">
        <f>SUM(K17:K25)</f>
        <v>#REF!</v>
      </c>
    </row>
    <row r="28" spans="2:12" ht="15.75" hidden="1">
      <c r="B28" s="350"/>
      <c r="C28" s="351"/>
      <c r="D28" s="351"/>
      <c r="E28" s="351"/>
      <c r="F28" s="351"/>
      <c r="G28" s="351"/>
      <c r="H28" s="351"/>
      <c r="I28" s="352"/>
      <c r="J28" s="353" t="s">
        <v>332</v>
      </c>
      <c r="K28" s="355">
        <f>+MATERIALES!O46</f>
        <v>0</v>
      </c>
    </row>
    <row r="29" spans="2:12" ht="63" hidden="1" customHeight="1">
      <c r="B29" s="350"/>
      <c r="C29" s="351"/>
      <c r="D29" s="351"/>
      <c r="E29" s="351"/>
      <c r="F29" s="351"/>
      <c r="G29" s="351"/>
      <c r="H29" s="351"/>
      <c r="I29" s="352"/>
      <c r="J29" s="363" t="s">
        <v>333</v>
      </c>
      <c r="K29" s="395">
        <f>+'OPEX GV'!O17</f>
        <v>0</v>
      </c>
    </row>
    <row r="30" spans="2:12" ht="16.5" thickBot="1">
      <c r="B30" s="350"/>
      <c r="C30" s="351"/>
      <c r="D30" s="351"/>
      <c r="E30" s="351"/>
      <c r="F30" s="351"/>
      <c r="G30" s="351"/>
      <c r="H30" s="351"/>
      <c r="I30" s="352"/>
      <c r="J30" s="353" t="s">
        <v>334</v>
      </c>
      <c r="K30" s="397" t="e">
        <f>(K27+K28+K29)*0.13</f>
        <v>#REF!</v>
      </c>
    </row>
    <row r="31" spans="2:12" ht="20.25">
      <c r="B31" s="356"/>
      <c r="C31" s="357"/>
      <c r="D31" s="357"/>
      <c r="E31" s="357"/>
      <c r="F31" s="357"/>
      <c r="G31" s="357"/>
      <c r="H31" s="357"/>
      <c r="I31" s="358"/>
      <c r="J31" s="359" t="s">
        <v>335</v>
      </c>
      <c r="K31" s="396" t="e">
        <f>SUM(K27:K30)</f>
        <v>#REF!</v>
      </c>
    </row>
    <row r="39" spans="2:11">
      <c r="K39" s="335" t="e">
        <f>K31*635</f>
        <v>#REF!</v>
      </c>
    </row>
    <row r="44" spans="2:11" ht="15.75">
      <c r="B44" s="341" t="s">
        <v>309</v>
      </c>
      <c r="C44" s="342" t="s">
        <v>8</v>
      </c>
      <c r="D44" s="342"/>
      <c r="E44" s="342"/>
      <c r="F44" s="342" t="s">
        <v>336</v>
      </c>
      <c r="G44" s="342" t="s">
        <v>323</v>
      </c>
      <c r="H44" s="538" t="s">
        <v>324</v>
      </c>
      <c r="I44" s="539"/>
      <c r="J44" s="343" t="s">
        <v>246</v>
      </c>
      <c r="K44" s="344" t="s">
        <v>318</v>
      </c>
    </row>
    <row r="45" spans="2:11" ht="18">
      <c r="B45" s="540" t="s">
        <v>337</v>
      </c>
      <c r="C45" s="541"/>
      <c r="D45" s="541"/>
      <c r="E45" s="541"/>
      <c r="F45" s="541"/>
      <c r="G45" s="541"/>
      <c r="H45" s="541"/>
      <c r="I45" s="541"/>
      <c r="J45" s="541"/>
      <c r="K45" s="542"/>
    </row>
    <row r="46" spans="2:11" ht="173.25" customHeight="1">
      <c r="B46" s="345">
        <v>1</v>
      </c>
      <c r="C46" s="346">
        <v>1</v>
      </c>
      <c r="D46" s="347"/>
      <c r="E46" s="347"/>
      <c r="F46" s="348"/>
      <c r="G46" s="361" t="s">
        <v>338</v>
      </c>
      <c r="H46" s="543">
        <f>'Productos 2'!A6</f>
        <v>0</v>
      </c>
      <c r="I46" s="543"/>
      <c r="J46" s="349">
        <f>'Productos 2'!N6</f>
        <v>0</v>
      </c>
      <c r="K46" s="349">
        <f>+J46*C46</f>
        <v>0</v>
      </c>
    </row>
    <row r="47" spans="2:11">
      <c r="B47" s="535" t="s">
        <v>330</v>
      </c>
      <c r="C47" s="536"/>
      <c r="D47" s="536"/>
      <c r="E47" s="536"/>
      <c r="F47" s="536"/>
      <c r="G47" s="536"/>
      <c r="H47" s="536"/>
      <c r="I47" s="536"/>
      <c r="J47" s="536"/>
      <c r="K47" s="537"/>
    </row>
    <row r="48" spans="2:11" ht="15.75">
      <c r="B48" s="350"/>
      <c r="C48" s="351"/>
      <c r="D48" s="351"/>
      <c r="E48" s="351"/>
      <c r="F48" s="351"/>
      <c r="G48" s="351"/>
      <c r="H48" s="351"/>
      <c r="I48" s="352"/>
      <c r="J48" s="353" t="s">
        <v>331</v>
      </c>
      <c r="K48" s="354">
        <f>K46</f>
        <v>0</v>
      </c>
    </row>
    <row r="49" spans="2:11" ht="15.75" hidden="1">
      <c r="B49" s="350"/>
      <c r="C49" s="351"/>
      <c r="D49" s="351"/>
      <c r="E49" s="351"/>
      <c r="F49" s="351"/>
      <c r="G49" s="351"/>
      <c r="H49" s="351"/>
      <c r="I49" s="352"/>
      <c r="J49" s="353" t="s">
        <v>332</v>
      </c>
      <c r="K49" s="355">
        <f>+MATERIALES!O83</f>
        <v>0</v>
      </c>
    </row>
    <row r="50" spans="2:11" ht="15.75" hidden="1">
      <c r="B50" s="350"/>
      <c r="C50" s="351"/>
      <c r="D50" s="351"/>
      <c r="E50" s="351"/>
      <c r="F50" s="351"/>
      <c r="G50" s="351"/>
      <c r="H50" s="351"/>
      <c r="I50" s="352"/>
      <c r="J50" s="353" t="s">
        <v>333</v>
      </c>
      <c r="K50" s="355">
        <v>0</v>
      </c>
    </row>
    <row r="51" spans="2:11" ht="15.75">
      <c r="B51" s="350"/>
      <c r="C51" s="351"/>
      <c r="D51" s="351"/>
      <c r="E51" s="351"/>
      <c r="F51" s="351"/>
      <c r="G51" s="351"/>
      <c r="H51" s="351"/>
      <c r="I51" s="352"/>
      <c r="J51" s="353" t="s">
        <v>334</v>
      </c>
      <c r="K51" s="355">
        <f>(K48+K49+K50)*0.13</f>
        <v>0</v>
      </c>
    </row>
    <row r="52" spans="2:11" ht="20.25">
      <c r="B52" s="356"/>
      <c r="C52" s="357"/>
      <c r="D52" s="357"/>
      <c r="E52" s="357"/>
      <c r="F52" s="357"/>
      <c r="G52" s="357"/>
      <c r="H52" s="357"/>
      <c r="I52" s="358"/>
      <c r="J52" s="359" t="s">
        <v>335</v>
      </c>
      <c r="K52" s="360">
        <f>SUM(K48:K51)</f>
        <v>0</v>
      </c>
    </row>
  </sheetData>
  <mergeCells count="17">
    <mergeCell ref="H25:I25"/>
    <mergeCell ref="H17:I17"/>
    <mergeCell ref="H18:I18"/>
    <mergeCell ref="H19:I19"/>
    <mergeCell ref="H24:I24"/>
    <mergeCell ref="H23:I23"/>
    <mergeCell ref="H22:I22"/>
    <mergeCell ref="L18:L19"/>
    <mergeCell ref="H20:I20"/>
    <mergeCell ref="H21:I21"/>
    <mergeCell ref="H15:I15"/>
    <mergeCell ref="B16:K16"/>
    <mergeCell ref="B47:K47"/>
    <mergeCell ref="H44:I44"/>
    <mergeCell ref="B45:K45"/>
    <mergeCell ref="H46:I46"/>
    <mergeCell ref="B26:K26"/>
  </mergeCells>
  <pageMargins left="0.7" right="0.7" top="0.75" bottom="0.75" header="0.3" footer="0.3"/>
  <pageSetup orientation="portrait" horizontalDpi="4294967295" verticalDpi="4294967295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7B9FF-CB57-4AE7-9505-9440C76824F6}">
  <sheetPr>
    <pageSetUpPr fitToPage="1"/>
  </sheetPr>
  <dimension ref="B1:N47"/>
  <sheetViews>
    <sheetView topLeftCell="A22" zoomScale="90" zoomScaleNormal="90" workbookViewId="0">
      <selection activeCell="P40" sqref="P40"/>
    </sheetView>
  </sheetViews>
  <sheetFormatPr baseColWidth="10" defaultColWidth="9.140625" defaultRowHeight="15"/>
  <cols>
    <col min="1" max="1" width="3.42578125" style="399" customWidth="1"/>
    <col min="2" max="2" width="16.7109375" style="399" customWidth="1"/>
    <col min="3" max="3" width="15.7109375" style="399" customWidth="1"/>
    <col min="4" max="4" width="14" style="399" customWidth="1"/>
    <col min="5" max="5" width="14.140625" style="399" customWidth="1"/>
    <col min="6" max="6" width="9.140625" style="399" bestFit="1" customWidth="1"/>
    <col min="7" max="7" width="2.85546875" style="399" customWidth="1"/>
    <col min="8" max="8" width="27.5703125" style="399" customWidth="1"/>
    <col min="9" max="9" width="16.140625" style="399" customWidth="1"/>
    <col min="10" max="10" width="16.7109375" style="401" customWidth="1"/>
    <col min="11" max="11" width="12.28515625" style="399" customWidth="1"/>
    <col min="12" max="16384" width="9.140625" style="399"/>
  </cols>
  <sheetData>
    <row r="1" spans="2:10">
      <c r="H1" s="402"/>
      <c r="I1" s="403"/>
      <c r="J1" s="404" t="s">
        <v>339</v>
      </c>
    </row>
    <row r="5" spans="2:10" ht="18.75">
      <c r="B5" s="557" t="s">
        <v>340</v>
      </c>
      <c r="C5" s="557"/>
      <c r="F5" s="402"/>
      <c r="I5" s="405" t="s">
        <v>341</v>
      </c>
    </row>
    <row r="6" spans="2:10" ht="15" customHeight="1">
      <c r="B6" s="558" t="s">
        <v>342</v>
      </c>
      <c r="C6" s="558"/>
      <c r="D6" s="558"/>
      <c r="E6" s="558"/>
      <c r="F6" s="558"/>
    </row>
    <row r="7" spans="2:10">
      <c r="B7" s="399" t="s">
        <v>343</v>
      </c>
    </row>
    <row r="8" spans="2:10">
      <c r="B8" s="399" t="s">
        <v>344</v>
      </c>
    </row>
    <row r="9" spans="2:10" ht="18.75" customHeight="1">
      <c r="B9" s="406"/>
      <c r="C9" s="406"/>
      <c r="D9" s="406"/>
      <c r="E9" s="406"/>
      <c r="F9" s="406"/>
      <c r="G9" s="407"/>
      <c r="H9" s="407"/>
      <c r="I9" s="406"/>
      <c r="J9" s="408"/>
    </row>
    <row r="10" spans="2:10" ht="18.75" customHeight="1">
      <c r="G10" s="409"/>
      <c r="H10" s="409"/>
      <c r="J10" s="513" t="s">
        <v>641</v>
      </c>
    </row>
    <row r="12" spans="2:10">
      <c r="B12" s="411" t="s">
        <v>345</v>
      </c>
      <c r="C12" s="559"/>
      <c r="D12" s="559"/>
      <c r="E12" s="559"/>
      <c r="F12" s="559"/>
      <c r="G12" s="559"/>
      <c r="I12" s="399" t="s">
        <v>346</v>
      </c>
      <c r="J12" s="412">
        <f ca="1">TODAY()</f>
        <v>46057</v>
      </c>
    </row>
    <row r="13" spans="2:10">
      <c r="B13" s="505" t="s">
        <v>644</v>
      </c>
      <c r="C13" s="560"/>
      <c r="D13" s="561"/>
      <c r="E13" s="561"/>
      <c r="F13" s="561"/>
      <c r="G13" s="561"/>
      <c r="I13" s="399" t="s">
        <v>347</v>
      </c>
      <c r="J13" s="413" t="s">
        <v>649</v>
      </c>
    </row>
    <row r="14" spans="2:10">
      <c r="B14" s="505" t="s">
        <v>645</v>
      </c>
      <c r="C14" s="556"/>
      <c r="D14" s="556"/>
      <c r="E14" s="556"/>
      <c r="F14" s="556"/>
      <c r="G14" s="556"/>
      <c r="I14" s="399" t="s">
        <v>348</v>
      </c>
      <c r="J14" s="414" t="s">
        <v>640</v>
      </c>
    </row>
    <row r="15" spans="2:10">
      <c r="B15" s="505" t="s">
        <v>643</v>
      </c>
      <c r="C15" s="510"/>
      <c r="D15" s="511"/>
      <c r="E15" s="511"/>
      <c r="F15" s="511"/>
      <c r="G15" s="511"/>
      <c r="I15" s="512" t="s">
        <v>349</v>
      </c>
      <c r="J15" s="414" t="s">
        <v>350</v>
      </c>
    </row>
    <row r="16" spans="2:10">
      <c r="B16" s="505" t="s">
        <v>647</v>
      </c>
      <c r="C16" s="510" t="s">
        <v>650</v>
      </c>
      <c r="D16" s="511"/>
      <c r="E16" s="511"/>
      <c r="F16" s="511"/>
      <c r="G16" s="511"/>
      <c r="I16" s="512" t="s">
        <v>648</v>
      </c>
      <c r="J16" s="414"/>
    </row>
    <row r="17" spans="2:14">
      <c r="B17" s="505" t="s">
        <v>646</v>
      </c>
      <c r="C17" s="510"/>
      <c r="D17" s="511"/>
      <c r="E17" s="511"/>
      <c r="F17" s="511"/>
      <c r="G17" s="511"/>
      <c r="J17" s="399"/>
    </row>
    <row r="18" spans="2:14" hidden="1">
      <c r="B18" s="411"/>
      <c r="C18" s="556"/>
      <c r="D18" s="556"/>
      <c r="E18" s="556"/>
      <c r="F18" s="556"/>
      <c r="G18" s="556"/>
      <c r="J18" s="415"/>
    </row>
    <row r="19" spans="2:14" ht="18" customHeight="1"/>
    <row r="20" spans="2:14" ht="15.75">
      <c r="B20" s="416" t="s">
        <v>8</v>
      </c>
      <c r="C20" s="562" t="s">
        <v>310</v>
      </c>
      <c r="D20" s="563"/>
      <c r="E20" s="563"/>
      <c r="F20" s="563"/>
      <c r="G20" s="563"/>
      <c r="H20" s="564"/>
      <c r="I20" s="417" t="s">
        <v>351</v>
      </c>
      <c r="J20" s="418" t="s">
        <v>352</v>
      </c>
    </row>
    <row r="21" spans="2:14" ht="15.75">
      <c r="B21" s="506"/>
      <c r="C21" s="565" t="s">
        <v>596</v>
      </c>
      <c r="D21" s="566"/>
      <c r="E21" s="566"/>
      <c r="F21" s="566"/>
      <c r="G21" s="566"/>
      <c r="H21" s="567"/>
      <c r="I21" s="507"/>
      <c r="J21" s="508"/>
    </row>
    <row r="22" spans="2:14" ht="42" customHeight="1">
      <c r="B22" s="439">
        <f>Equipos!D6</f>
        <v>0</v>
      </c>
      <c r="C22" s="548">
        <f>Equipos!B6</f>
        <v>0</v>
      </c>
      <c r="D22" s="549"/>
      <c r="E22" s="549"/>
      <c r="F22" s="549"/>
      <c r="G22" s="549"/>
      <c r="H22" s="550"/>
      <c r="I22" s="438">
        <f>Equipos!O6</f>
        <v>0</v>
      </c>
      <c r="J22" s="438">
        <f t="shared" ref="J22:J26" si="0">I22*B22</f>
        <v>0</v>
      </c>
    </row>
    <row r="23" spans="2:14" s="400" customFormat="1" ht="52.5" customHeight="1">
      <c r="B23" s="439">
        <f>Equipos!D7</f>
        <v>0</v>
      </c>
      <c r="C23" s="548">
        <f>Equipos!B7</f>
        <v>0</v>
      </c>
      <c r="D23" s="549"/>
      <c r="E23" s="549"/>
      <c r="F23" s="549"/>
      <c r="G23" s="549"/>
      <c r="H23" s="550"/>
      <c r="I23" s="438">
        <f>Equipos!O7</f>
        <v>0</v>
      </c>
      <c r="J23" s="438">
        <f t="shared" si="0"/>
        <v>0</v>
      </c>
      <c r="N23" s="419"/>
    </row>
    <row r="24" spans="2:14" s="400" customFormat="1" ht="57.75" customHeight="1">
      <c r="B24" s="439">
        <f>Equipos!D8</f>
        <v>0</v>
      </c>
      <c r="C24" s="548">
        <f>Equipos!B8</f>
        <v>0</v>
      </c>
      <c r="D24" s="549"/>
      <c r="E24" s="549"/>
      <c r="F24" s="549"/>
      <c r="G24" s="549"/>
      <c r="H24" s="550"/>
      <c r="I24" s="438">
        <f>Equipos!O8</f>
        <v>0</v>
      </c>
      <c r="J24" s="438">
        <f t="shared" si="0"/>
        <v>0</v>
      </c>
      <c r="N24" s="419"/>
    </row>
    <row r="25" spans="2:14" s="400" customFormat="1" ht="53.25" customHeight="1">
      <c r="B25" s="439">
        <f>Equipos!D9</f>
        <v>0</v>
      </c>
      <c r="C25" s="548">
        <f>Equipos!B9</f>
        <v>0</v>
      </c>
      <c r="D25" s="549"/>
      <c r="E25" s="549"/>
      <c r="F25" s="549"/>
      <c r="G25" s="549"/>
      <c r="H25" s="550"/>
      <c r="I25" s="438">
        <f>Equipos!O9</f>
        <v>0</v>
      </c>
      <c r="J25" s="438">
        <f t="shared" si="0"/>
        <v>0</v>
      </c>
      <c r="N25" s="419"/>
    </row>
    <row r="26" spans="2:14" s="400" customFormat="1" ht="39" customHeight="1">
      <c r="B26" s="439">
        <f>Equipos!D10</f>
        <v>0</v>
      </c>
      <c r="C26" s="548">
        <f>Equipos!B10</f>
        <v>0</v>
      </c>
      <c r="D26" s="549"/>
      <c r="E26" s="549"/>
      <c r="F26" s="549"/>
      <c r="G26" s="549"/>
      <c r="H26" s="550"/>
      <c r="I26" s="438">
        <f>Equipos!O10</f>
        <v>0</v>
      </c>
      <c r="J26" s="438">
        <f t="shared" si="0"/>
        <v>0</v>
      </c>
      <c r="N26" s="419"/>
    </row>
    <row r="27" spans="2:14">
      <c r="B27" s="553" t="s">
        <v>353</v>
      </c>
      <c r="C27" s="554"/>
      <c r="D27" s="554"/>
      <c r="E27" s="554"/>
      <c r="F27" s="554"/>
      <c r="G27" s="554"/>
      <c r="H27" s="554"/>
      <c r="I27" s="554"/>
      <c r="J27" s="555"/>
    </row>
    <row r="28" spans="2:14" ht="15.75" customHeight="1">
      <c r="B28" s="421"/>
      <c r="C28" s="422"/>
      <c r="D28" s="423"/>
      <c r="E28" s="423"/>
      <c r="F28" s="423"/>
      <c r="G28" s="423"/>
      <c r="H28" s="424"/>
      <c r="I28" s="425"/>
      <c r="J28" s="426"/>
    </row>
    <row r="29" spans="2:14">
      <c r="B29" s="411"/>
      <c r="C29" s="427"/>
      <c r="D29" s="411"/>
      <c r="I29" s="428" t="s">
        <v>354</v>
      </c>
      <c r="J29" s="429">
        <f>SUM(J21:J28)</f>
        <v>0</v>
      </c>
      <c r="K29" s="509">
        <f>+Equipos!P21+'OPEX GV'!O17</f>
        <v>0</v>
      </c>
    </row>
    <row r="30" spans="2:14">
      <c r="B30" s="411"/>
      <c r="C30" s="427"/>
      <c r="D30" s="411"/>
      <c r="I30" s="430" t="s">
        <v>355</v>
      </c>
      <c r="J30" s="431">
        <f>+J29*0.13</f>
        <v>0</v>
      </c>
    </row>
    <row r="31" spans="2:14">
      <c r="B31" s="432" t="s">
        <v>356</v>
      </c>
      <c r="C31" s="427"/>
      <c r="D31" s="411"/>
      <c r="I31" s="428" t="s">
        <v>357</v>
      </c>
      <c r="J31" s="433">
        <f>ROUNDDOWN(J29+J30,2)</f>
        <v>0</v>
      </c>
    </row>
    <row r="32" spans="2:14" ht="15" customHeight="1">
      <c r="B32" s="432"/>
      <c r="C32" s="427"/>
      <c r="D32" s="411"/>
    </row>
    <row r="33" spans="2:10" ht="15" customHeight="1">
      <c r="B33" s="432"/>
      <c r="C33" s="427"/>
      <c r="D33" s="411"/>
    </row>
    <row r="34" spans="2:10" ht="18.75" customHeight="1">
      <c r="B34" s="406"/>
      <c r="C34" s="406"/>
      <c r="D34" s="406"/>
      <c r="E34" s="406"/>
      <c r="F34" s="406"/>
      <c r="G34" s="407"/>
      <c r="H34" s="407"/>
      <c r="I34" s="406"/>
      <c r="J34" s="408"/>
    </row>
    <row r="35" spans="2:10" ht="18.75">
      <c r="G35" s="409"/>
      <c r="H35" s="409"/>
      <c r="J35" s="410"/>
    </row>
    <row r="36" spans="2:10" ht="18.75">
      <c r="G36" s="409"/>
      <c r="H36" s="409"/>
      <c r="J36" s="410"/>
    </row>
    <row r="37" spans="2:10" ht="18.75">
      <c r="G37" s="409"/>
      <c r="H37" s="409"/>
      <c r="J37" s="410"/>
    </row>
    <row r="38" spans="2:10" ht="18.75">
      <c r="G38" s="409"/>
      <c r="H38" s="409"/>
      <c r="J38" s="410"/>
    </row>
    <row r="43" spans="2:10">
      <c r="B43" s="434" t="s">
        <v>654</v>
      </c>
      <c r="C43" s="435"/>
      <c r="D43" s="435"/>
    </row>
    <row r="44" spans="2:10">
      <c r="B44" s="551" t="s">
        <v>358</v>
      </c>
      <c r="C44" s="551"/>
      <c r="D44" s="551"/>
      <c r="E44" s="551"/>
    </row>
    <row r="45" spans="2:10" ht="25.5" customHeight="1">
      <c r="B45" s="552" t="s">
        <v>359</v>
      </c>
      <c r="C45" s="552"/>
      <c r="D45" s="552"/>
      <c r="E45" s="552"/>
    </row>
    <row r="46" spans="2:10">
      <c r="B46" s="551" t="s">
        <v>344</v>
      </c>
      <c r="C46" s="551"/>
      <c r="D46" s="551"/>
      <c r="E46" s="551"/>
    </row>
    <row r="47" spans="2:10">
      <c r="B47" s="551" t="s">
        <v>653</v>
      </c>
      <c r="C47" s="551"/>
      <c r="D47" s="551"/>
      <c r="E47" s="420"/>
    </row>
  </sheetData>
  <mergeCells count="18">
    <mergeCell ref="C18:G18"/>
    <mergeCell ref="C23:H23"/>
    <mergeCell ref="B5:C5"/>
    <mergeCell ref="B6:F6"/>
    <mergeCell ref="C12:G12"/>
    <mergeCell ref="C13:G13"/>
    <mergeCell ref="C14:G14"/>
    <mergeCell ref="C20:H20"/>
    <mergeCell ref="C21:H21"/>
    <mergeCell ref="C22:H22"/>
    <mergeCell ref="C26:H26"/>
    <mergeCell ref="C24:H24"/>
    <mergeCell ref="C25:H25"/>
    <mergeCell ref="B47:D47"/>
    <mergeCell ref="B44:E44"/>
    <mergeCell ref="B45:E45"/>
    <mergeCell ref="B46:E46"/>
    <mergeCell ref="B27:J27"/>
  </mergeCells>
  <dataValidations count="3">
    <dataValidation type="whole" errorStyle="warning" allowBlank="1" showErrorMessage="1" errorTitle="Quantity" error="You must enter a number in this cell." promptTitle="Quantity" sqref="B28" xr:uid="{83244C3E-7D03-45A1-ADE2-365B8DDB520F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29" xr:uid="{7BCFF04F-1E91-4BBF-BC30-1062246E718B}">
      <formula1>0</formula1>
      <formula2>0</formula2>
    </dataValidation>
    <dataValidation type="decimal" allowBlank="1" showErrorMessage="1" errorTitle="Unit Price" error="You must enter a number into this cell." promptTitle="Unit Price" sqref="J21:J26" xr:uid="{93391C51-59DB-4525-BFB3-29A3FCA88581}">
      <formula1>0</formula1>
      <formula2>1000000000</formula2>
    </dataValidation>
  </dataValidations>
  <hyperlinks>
    <hyperlink ref="I5" r:id="rId1" xr:uid="{74508568-1A12-4D7E-A581-E59D60A05D90}"/>
  </hyperlinks>
  <pageMargins left="0.25" right="0.25" top="0.75" bottom="0.75" header="0.3" footer="0.3"/>
  <pageSetup scale="83" fitToHeight="0"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Q29"/>
  <sheetViews>
    <sheetView showGridLines="0" tabSelected="1" zoomScale="90" zoomScaleNormal="90" workbookViewId="0">
      <pane ySplit="4" topLeftCell="A5" activePane="bottomLeft" state="frozen"/>
      <selection pane="bottomLeft" activeCell="K25" sqref="K25"/>
    </sheetView>
  </sheetViews>
  <sheetFormatPr baseColWidth="10" defaultColWidth="9.140625" defaultRowHeight="12.75"/>
  <cols>
    <col min="1" max="1" width="4.7109375" style="12" customWidth="1"/>
    <col min="2" max="2" width="44.140625" style="16" customWidth="1"/>
    <col min="3" max="3" width="15.7109375" style="16" customWidth="1"/>
    <col min="4" max="4" width="8.7109375" style="12" customWidth="1"/>
    <col min="5" max="5" width="18.5703125" style="16" customWidth="1"/>
    <col min="6" max="6" width="15.5703125" style="16" customWidth="1"/>
    <col min="7" max="7" width="11.7109375" style="16" customWidth="1"/>
    <col min="8" max="9" width="11.28515625" style="16" customWidth="1"/>
    <col min="10" max="10" width="12.85546875" style="16" customWidth="1"/>
    <col min="11" max="11" width="14" style="16" customWidth="1"/>
    <col min="12" max="12" width="22.7109375" style="16" customWidth="1"/>
    <col min="13" max="13" width="15.42578125" style="16" customWidth="1"/>
    <col min="14" max="14" width="16.7109375" style="16" customWidth="1"/>
    <col min="15" max="15" width="15.140625" style="16" customWidth="1"/>
    <col min="16" max="16" width="19.140625" style="16" customWidth="1"/>
    <col min="17" max="17" width="25.5703125" style="16" customWidth="1"/>
    <col min="18" max="16384" width="9.140625" style="16"/>
  </cols>
  <sheetData>
    <row r="1" spans="1:16" ht="28.5" customHeight="1">
      <c r="B1" s="568" t="s">
        <v>360</v>
      </c>
      <c r="C1" s="568"/>
      <c r="D1" s="568"/>
      <c r="E1" s="569"/>
      <c r="F1" s="570"/>
      <c r="G1" s="228"/>
    </row>
    <row r="2" spans="1:16">
      <c r="B2" s="12"/>
      <c r="C2" s="12"/>
      <c r="E2" s="18"/>
      <c r="F2" s="236"/>
      <c r="H2" s="30"/>
      <c r="L2" s="248">
        <v>0.04</v>
      </c>
    </row>
    <row r="3" spans="1:16">
      <c r="B3" s="571" t="s">
        <v>361</v>
      </c>
      <c r="C3" s="571"/>
      <c r="D3" s="571"/>
      <c r="E3" s="571"/>
      <c r="F3" s="571"/>
      <c r="G3" s="24" t="s">
        <v>362</v>
      </c>
      <c r="H3" s="24" t="s">
        <v>430</v>
      </c>
      <c r="I3" s="24" t="s">
        <v>320</v>
      </c>
      <c r="J3" s="24" t="s">
        <v>364</v>
      </c>
      <c r="K3" s="22" t="s">
        <v>365</v>
      </c>
      <c r="L3" s="249" t="s">
        <v>366</v>
      </c>
      <c r="M3" s="23" t="s">
        <v>247</v>
      </c>
      <c r="N3" s="24" t="s">
        <v>367</v>
      </c>
      <c r="O3" s="25" t="s">
        <v>312</v>
      </c>
      <c r="P3" s="25" t="s">
        <v>312</v>
      </c>
    </row>
    <row r="4" spans="1:16">
      <c r="B4" s="28" t="s">
        <v>0</v>
      </c>
      <c r="C4" s="250" t="s">
        <v>368</v>
      </c>
      <c r="D4" s="28" t="s">
        <v>1</v>
      </c>
      <c r="E4" s="28" t="s">
        <v>369</v>
      </c>
      <c r="F4" s="28" t="s">
        <v>370</v>
      </c>
      <c r="G4" s="27">
        <v>0.1</v>
      </c>
      <c r="H4" s="29">
        <v>0.03</v>
      </c>
      <c r="I4" s="246">
        <v>0</v>
      </c>
      <c r="J4" s="27">
        <v>0.15</v>
      </c>
      <c r="K4" s="24" t="s">
        <v>371</v>
      </c>
      <c r="L4" s="248">
        <v>0.03</v>
      </c>
      <c r="M4" s="26" t="s">
        <v>371</v>
      </c>
      <c r="N4" s="246">
        <v>0.27400000000000002</v>
      </c>
      <c r="O4" s="25" t="s">
        <v>372</v>
      </c>
      <c r="P4" s="25" t="s">
        <v>14</v>
      </c>
    </row>
    <row r="5" spans="1:16">
      <c r="B5" s="86" t="s">
        <v>373</v>
      </c>
      <c r="C5" s="86"/>
      <c r="D5" s="81"/>
      <c r="E5" s="81"/>
      <c r="F5" s="81"/>
      <c r="G5" s="85"/>
      <c r="H5" s="141"/>
      <c r="I5" s="85"/>
      <c r="J5" s="85"/>
      <c r="K5" s="84"/>
      <c r="L5" s="84"/>
      <c r="M5" s="84"/>
      <c r="N5" s="85"/>
      <c r="O5" s="84"/>
      <c r="P5" s="84"/>
    </row>
    <row r="6" spans="1:16">
      <c r="A6" s="500"/>
      <c r="B6" s="503"/>
      <c r="C6" s="501" t="s">
        <v>374</v>
      </c>
      <c r="D6" s="502">
        <v>0</v>
      </c>
      <c r="E6" s="461">
        <v>0</v>
      </c>
      <c r="F6" s="462">
        <f>E6*D6</f>
        <v>0</v>
      </c>
      <c r="G6" s="461">
        <f t="shared" ref="G6:G19" si="0">IF(C6="si",E6*$G$4,0)</f>
        <v>0</v>
      </c>
      <c r="H6" s="461">
        <f>(E6+G6)*$H$4</f>
        <v>0</v>
      </c>
      <c r="I6" s="461">
        <f>+(E6+G6+H6)*$I$4</f>
        <v>0</v>
      </c>
      <c r="J6" s="461">
        <f>IF(C6="si",(E6+G6+H6+I6)*$J$4,0)</f>
        <v>0</v>
      </c>
      <c r="K6" s="461">
        <f>E6+G6+H6+I6+J6</f>
        <v>0</v>
      </c>
      <c r="L6" s="461">
        <f>K6*$L$4</f>
        <v>0</v>
      </c>
      <c r="M6" s="463">
        <f>(K6+L6)*D6</f>
        <v>0</v>
      </c>
      <c r="N6" s="461">
        <f>(K6+L6)*$N$4/(1-$N$4)</f>
        <v>0</v>
      </c>
      <c r="O6" s="461">
        <f>N6+K6+L6</f>
        <v>0</v>
      </c>
      <c r="P6" s="461">
        <f>O6*D6</f>
        <v>0</v>
      </c>
    </row>
    <row r="7" spans="1:16">
      <c r="A7" s="500"/>
      <c r="B7" s="500"/>
      <c r="C7" s="501" t="s">
        <v>374</v>
      </c>
      <c r="D7" s="502">
        <v>0</v>
      </c>
      <c r="E7" s="461">
        <v>0</v>
      </c>
      <c r="F7" s="462">
        <f t="shared" ref="F7:F19" si="1">E7*D7</f>
        <v>0</v>
      </c>
      <c r="G7" s="461">
        <f t="shared" si="0"/>
        <v>0</v>
      </c>
      <c r="H7" s="461">
        <f t="shared" ref="H7:H19" si="2">(E7+G7)*$H$4</f>
        <v>0</v>
      </c>
      <c r="I7" s="461">
        <f t="shared" ref="I7:I19" si="3">+(E7+G7+H7)*$I$4</f>
        <v>0</v>
      </c>
      <c r="J7" s="461">
        <f t="shared" ref="J7:J19" si="4">IF(C7="si",(E7+G7+H7+I7)*$J$4,0)</f>
        <v>0</v>
      </c>
      <c r="K7" s="461">
        <f t="shared" ref="K7:K19" si="5">E7+G7+H7+I7+J7</f>
        <v>0</v>
      </c>
      <c r="L7" s="461">
        <f t="shared" ref="L7:L19" si="6">K7*$L$4</f>
        <v>0</v>
      </c>
      <c r="M7" s="463">
        <f t="shared" ref="M7:M19" si="7">(K7+L7)*D7</f>
        <v>0</v>
      </c>
      <c r="N7" s="461">
        <f t="shared" ref="N7:N19" si="8">(K7+L7)*$N$4/(1-$N$4)</f>
        <v>0</v>
      </c>
      <c r="O7" s="461">
        <f t="shared" ref="O7:O19" si="9">N7+K7+L7</f>
        <v>0</v>
      </c>
      <c r="P7" s="461">
        <f t="shared" ref="P7:P19" si="10">O7*D7</f>
        <v>0</v>
      </c>
    </row>
    <row r="8" spans="1:16">
      <c r="A8" s="500"/>
      <c r="B8" s="500"/>
      <c r="C8" s="501" t="s">
        <v>374</v>
      </c>
      <c r="D8" s="502">
        <v>0</v>
      </c>
      <c r="E8" s="461">
        <v>0</v>
      </c>
      <c r="F8" s="462">
        <f t="shared" si="1"/>
        <v>0</v>
      </c>
      <c r="G8" s="461">
        <f t="shared" si="0"/>
        <v>0</v>
      </c>
      <c r="H8" s="461">
        <f t="shared" si="2"/>
        <v>0</v>
      </c>
      <c r="I8" s="461">
        <f t="shared" si="3"/>
        <v>0</v>
      </c>
      <c r="J8" s="461">
        <f t="shared" si="4"/>
        <v>0</v>
      </c>
      <c r="K8" s="461">
        <f t="shared" si="5"/>
        <v>0</v>
      </c>
      <c r="L8" s="461">
        <f t="shared" si="6"/>
        <v>0</v>
      </c>
      <c r="M8" s="463">
        <f t="shared" si="7"/>
        <v>0</v>
      </c>
      <c r="N8" s="461">
        <f t="shared" si="8"/>
        <v>0</v>
      </c>
      <c r="O8" s="461">
        <f t="shared" si="9"/>
        <v>0</v>
      </c>
      <c r="P8" s="461">
        <f t="shared" si="10"/>
        <v>0</v>
      </c>
    </row>
    <row r="9" spans="1:16">
      <c r="A9" s="500"/>
      <c r="B9" s="500"/>
      <c r="C9" s="501" t="s">
        <v>374</v>
      </c>
      <c r="D9" s="502">
        <v>0</v>
      </c>
      <c r="E9" s="461">
        <v>0</v>
      </c>
      <c r="F9" s="462">
        <f t="shared" si="1"/>
        <v>0</v>
      </c>
      <c r="G9" s="461">
        <f t="shared" si="0"/>
        <v>0</v>
      </c>
      <c r="H9" s="461">
        <f t="shared" si="2"/>
        <v>0</v>
      </c>
      <c r="I9" s="461">
        <f t="shared" si="3"/>
        <v>0</v>
      </c>
      <c r="J9" s="461">
        <f t="shared" si="4"/>
        <v>0</v>
      </c>
      <c r="K9" s="461">
        <f t="shared" si="5"/>
        <v>0</v>
      </c>
      <c r="L9" s="461">
        <f t="shared" si="6"/>
        <v>0</v>
      </c>
      <c r="M9" s="463">
        <f t="shared" si="7"/>
        <v>0</v>
      </c>
      <c r="N9" s="461">
        <f t="shared" si="8"/>
        <v>0</v>
      </c>
      <c r="O9" s="461">
        <f t="shared" si="9"/>
        <v>0</v>
      </c>
      <c r="P9" s="461">
        <f t="shared" si="10"/>
        <v>0</v>
      </c>
    </row>
    <row r="10" spans="1:16">
      <c r="A10" s="500"/>
      <c r="B10" s="503"/>
      <c r="C10" s="501" t="s">
        <v>374</v>
      </c>
      <c r="D10" s="502">
        <v>0</v>
      </c>
      <c r="E10" s="461">
        <v>0</v>
      </c>
      <c r="F10" s="462">
        <f t="shared" si="1"/>
        <v>0</v>
      </c>
      <c r="G10" s="461">
        <f t="shared" si="0"/>
        <v>0</v>
      </c>
      <c r="H10" s="461">
        <f t="shared" si="2"/>
        <v>0</v>
      </c>
      <c r="I10" s="461">
        <f t="shared" si="3"/>
        <v>0</v>
      </c>
      <c r="J10" s="461">
        <f t="shared" si="4"/>
        <v>0</v>
      </c>
      <c r="K10" s="461">
        <f t="shared" si="5"/>
        <v>0</v>
      </c>
      <c r="L10" s="461">
        <f t="shared" si="6"/>
        <v>0</v>
      </c>
      <c r="M10" s="463">
        <f t="shared" si="7"/>
        <v>0</v>
      </c>
      <c r="N10" s="461">
        <f t="shared" si="8"/>
        <v>0</v>
      </c>
      <c r="O10" s="461">
        <f t="shared" si="9"/>
        <v>0</v>
      </c>
      <c r="P10" s="461">
        <f t="shared" si="10"/>
        <v>0</v>
      </c>
    </row>
    <row r="11" spans="1:16">
      <c r="A11" s="500"/>
      <c r="B11" s="500"/>
      <c r="C11" s="501" t="s">
        <v>374</v>
      </c>
      <c r="D11" s="502">
        <v>0</v>
      </c>
      <c r="E11" s="461">
        <v>0</v>
      </c>
      <c r="F11" s="462">
        <f t="shared" si="1"/>
        <v>0</v>
      </c>
      <c r="G11" s="461">
        <f t="shared" si="0"/>
        <v>0</v>
      </c>
      <c r="H11" s="461">
        <f t="shared" si="2"/>
        <v>0</v>
      </c>
      <c r="I11" s="461">
        <f t="shared" si="3"/>
        <v>0</v>
      </c>
      <c r="J11" s="461">
        <f t="shared" si="4"/>
        <v>0</v>
      </c>
      <c r="K11" s="461">
        <f t="shared" si="5"/>
        <v>0</v>
      </c>
      <c r="L11" s="461">
        <f t="shared" si="6"/>
        <v>0</v>
      </c>
      <c r="M11" s="463">
        <f t="shared" si="7"/>
        <v>0</v>
      </c>
      <c r="N11" s="461">
        <f t="shared" si="8"/>
        <v>0</v>
      </c>
      <c r="O11" s="461">
        <f t="shared" si="9"/>
        <v>0</v>
      </c>
      <c r="P11" s="461">
        <f t="shared" si="10"/>
        <v>0</v>
      </c>
    </row>
    <row r="12" spans="1:16">
      <c r="A12" s="500"/>
      <c r="B12" s="503"/>
      <c r="C12" s="501" t="s">
        <v>374</v>
      </c>
      <c r="D12" s="502">
        <v>0</v>
      </c>
      <c r="E12" s="461">
        <v>0</v>
      </c>
      <c r="F12" s="462">
        <f t="shared" si="1"/>
        <v>0</v>
      </c>
      <c r="G12" s="461">
        <f t="shared" si="0"/>
        <v>0</v>
      </c>
      <c r="H12" s="461">
        <f t="shared" si="2"/>
        <v>0</v>
      </c>
      <c r="I12" s="461">
        <f t="shared" si="3"/>
        <v>0</v>
      </c>
      <c r="J12" s="461">
        <f t="shared" si="4"/>
        <v>0</v>
      </c>
      <c r="K12" s="461">
        <f t="shared" si="5"/>
        <v>0</v>
      </c>
      <c r="L12" s="461">
        <f t="shared" si="6"/>
        <v>0</v>
      </c>
      <c r="M12" s="463">
        <f t="shared" si="7"/>
        <v>0</v>
      </c>
      <c r="N12" s="461">
        <f t="shared" si="8"/>
        <v>0</v>
      </c>
      <c r="O12" s="461">
        <f t="shared" si="9"/>
        <v>0</v>
      </c>
      <c r="P12" s="461">
        <f t="shared" si="10"/>
        <v>0</v>
      </c>
    </row>
    <row r="13" spans="1:16">
      <c r="A13" s="500"/>
      <c r="B13" s="500"/>
      <c r="C13" s="501" t="s">
        <v>374</v>
      </c>
      <c r="D13" s="502">
        <v>0</v>
      </c>
      <c r="E13" s="461">
        <v>0</v>
      </c>
      <c r="F13" s="462">
        <f t="shared" si="1"/>
        <v>0</v>
      </c>
      <c r="G13" s="461">
        <f t="shared" si="0"/>
        <v>0</v>
      </c>
      <c r="H13" s="461">
        <f t="shared" si="2"/>
        <v>0</v>
      </c>
      <c r="I13" s="461">
        <f t="shared" si="3"/>
        <v>0</v>
      </c>
      <c r="J13" s="461">
        <f t="shared" si="4"/>
        <v>0</v>
      </c>
      <c r="K13" s="461">
        <f t="shared" si="5"/>
        <v>0</v>
      </c>
      <c r="L13" s="461">
        <f t="shared" si="6"/>
        <v>0</v>
      </c>
      <c r="M13" s="463">
        <f t="shared" si="7"/>
        <v>0</v>
      </c>
      <c r="N13" s="461">
        <f t="shared" si="8"/>
        <v>0</v>
      </c>
      <c r="O13" s="461">
        <f t="shared" si="9"/>
        <v>0</v>
      </c>
      <c r="P13" s="461">
        <f t="shared" si="10"/>
        <v>0</v>
      </c>
    </row>
    <row r="14" spans="1:16">
      <c r="A14" s="500"/>
      <c r="B14" s="472"/>
      <c r="C14" s="501" t="s">
        <v>374</v>
      </c>
      <c r="D14" s="502">
        <v>0</v>
      </c>
      <c r="E14" s="461">
        <v>0</v>
      </c>
      <c r="F14" s="462">
        <f t="shared" si="1"/>
        <v>0</v>
      </c>
      <c r="G14" s="461">
        <f t="shared" si="0"/>
        <v>0</v>
      </c>
      <c r="H14" s="461">
        <f t="shared" si="2"/>
        <v>0</v>
      </c>
      <c r="I14" s="461">
        <f t="shared" si="3"/>
        <v>0</v>
      </c>
      <c r="J14" s="461">
        <f t="shared" si="4"/>
        <v>0</v>
      </c>
      <c r="K14" s="461">
        <f t="shared" si="5"/>
        <v>0</v>
      </c>
      <c r="L14" s="461">
        <f t="shared" si="6"/>
        <v>0</v>
      </c>
      <c r="M14" s="463">
        <f t="shared" si="7"/>
        <v>0</v>
      </c>
      <c r="N14" s="461">
        <f t="shared" si="8"/>
        <v>0</v>
      </c>
      <c r="O14" s="461">
        <f t="shared" si="9"/>
        <v>0</v>
      </c>
      <c r="P14" s="461">
        <f t="shared" si="10"/>
        <v>0</v>
      </c>
    </row>
    <row r="15" spans="1:16">
      <c r="A15" s="500"/>
      <c r="B15" s="472"/>
      <c r="C15" s="501" t="s">
        <v>374</v>
      </c>
      <c r="D15" s="502">
        <v>0</v>
      </c>
      <c r="E15" s="461">
        <v>0</v>
      </c>
      <c r="F15" s="462">
        <f t="shared" si="1"/>
        <v>0</v>
      </c>
      <c r="G15" s="461">
        <f t="shared" si="0"/>
        <v>0</v>
      </c>
      <c r="H15" s="461">
        <f t="shared" si="2"/>
        <v>0</v>
      </c>
      <c r="I15" s="461">
        <f t="shared" si="3"/>
        <v>0</v>
      </c>
      <c r="J15" s="461">
        <f t="shared" si="4"/>
        <v>0</v>
      </c>
      <c r="K15" s="461">
        <f t="shared" si="5"/>
        <v>0</v>
      </c>
      <c r="L15" s="461">
        <f t="shared" si="6"/>
        <v>0</v>
      </c>
      <c r="M15" s="463">
        <f t="shared" si="7"/>
        <v>0</v>
      </c>
      <c r="N15" s="461">
        <f t="shared" si="8"/>
        <v>0</v>
      </c>
      <c r="O15" s="461">
        <f t="shared" si="9"/>
        <v>0</v>
      </c>
      <c r="P15" s="461">
        <f t="shared" si="10"/>
        <v>0</v>
      </c>
    </row>
    <row r="16" spans="1:16">
      <c r="A16" s="500"/>
      <c r="B16" s="140"/>
      <c r="C16" s="501" t="s">
        <v>374</v>
      </c>
      <c r="D16" s="502">
        <v>0</v>
      </c>
      <c r="E16" s="461">
        <v>0</v>
      </c>
      <c r="F16" s="462">
        <f t="shared" si="1"/>
        <v>0</v>
      </c>
      <c r="G16" s="461">
        <f t="shared" si="0"/>
        <v>0</v>
      </c>
      <c r="H16" s="461">
        <f t="shared" si="2"/>
        <v>0</v>
      </c>
      <c r="I16" s="461">
        <f t="shared" si="3"/>
        <v>0</v>
      </c>
      <c r="J16" s="461">
        <f t="shared" si="4"/>
        <v>0</v>
      </c>
      <c r="K16" s="461">
        <f t="shared" si="5"/>
        <v>0</v>
      </c>
      <c r="L16" s="461">
        <f t="shared" si="6"/>
        <v>0</v>
      </c>
      <c r="M16" s="463">
        <f t="shared" si="7"/>
        <v>0</v>
      </c>
      <c r="N16" s="461">
        <f t="shared" si="8"/>
        <v>0</v>
      </c>
      <c r="O16" s="461">
        <f t="shared" si="9"/>
        <v>0</v>
      </c>
      <c r="P16" s="461">
        <f t="shared" si="10"/>
        <v>0</v>
      </c>
    </row>
    <row r="17" spans="1:17">
      <c r="A17" s="500"/>
      <c r="B17" s="500"/>
      <c r="C17" s="501" t="s">
        <v>374</v>
      </c>
      <c r="D17" s="502">
        <v>0</v>
      </c>
      <c r="E17" s="461">
        <v>0</v>
      </c>
      <c r="F17" s="462">
        <f t="shared" si="1"/>
        <v>0</v>
      </c>
      <c r="G17" s="461">
        <f t="shared" si="0"/>
        <v>0</v>
      </c>
      <c r="H17" s="461">
        <f t="shared" si="2"/>
        <v>0</v>
      </c>
      <c r="I17" s="461">
        <f t="shared" si="3"/>
        <v>0</v>
      </c>
      <c r="J17" s="461">
        <f t="shared" si="4"/>
        <v>0</v>
      </c>
      <c r="K17" s="461">
        <f t="shared" si="5"/>
        <v>0</v>
      </c>
      <c r="L17" s="461">
        <f t="shared" si="6"/>
        <v>0</v>
      </c>
      <c r="M17" s="463">
        <f t="shared" si="7"/>
        <v>0</v>
      </c>
      <c r="N17" s="461">
        <f t="shared" si="8"/>
        <v>0</v>
      </c>
      <c r="O17" s="461">
        <f t="shared" si="9"/>
        <v>0</v>
      </c>
      <c r="P17" s="461">
        <f t="shared" si="10"/>
        <v>0</v>
      </c>
    </row>
    <row r="18" spans="1:17">
      <c r="A18" s="500"/>
      <c r="B18" s="472"/>
      <c r="C18" s="501" t="s">
        <v>374</v>
      </c>
      <c r="D18" s="502">
        <v>0</v>
      </c>
      <c r="E18" s="461">
        <v>0</v>
      </c>
      <c r="F18" s="462">
        <f t="shared" si="1"/>
        <v>0</v>
      </c>
      <c r="G18" s="461">
        <f t="shared" si="0"/>
        <v>0</v>
      </c>
      <c r="H18" s="461">
        <f t="shared" si="2"/>
        <v>0</v>
      </c>
      <c r="I18" s="461">
        <f t="shared" si="3"/>
        <v>0</v>
      </c>
      <c r="J18" s="461">
        <f t="shared" si="4"/>
        <v>0</v>
      </c>
      <c r="K18" s="461">
        <f t="shared" si="5"/>
        <v>0</v>
      </c>
      <c r="L18" s="461">
        <f t="shared" si="6"/>
        <v>0</v>
      </c>
      <c r="M18" s="463">
        <f t="shared" si="7"/>
        <v>0</v>
      </c>
      <c r="N18" s="461">
        <f t="shared" si="8"/>
        <v>0</v>
      </c>
      <c r="O18" s="461">
        <f t="shared" si="9"/>
        <v>0</v>
      </c>
      <c r="P18" s="461">
        <f t="shared" si="10"/>
        <v>0</v>
      </c>
    </row>
    <row r="19" spans="1:17">
      <c r="A19" s="500"/>
      <c r="B19" s="472"/>
      <c r="C19" s="501" t="s">
        <v>374</v>
      </c>
      <c r="D19" s="502">
        <v>0</v>
      </c>
      <c r="E19" s="461">
        <v>0</v>
      </c>
      <c r="F19" s="462">
        <f t="shared" si="1"/>
        <v>0</v>
      </c>
      <c r="G19" s="461">
        <f t="shared" si="0"/>
        <v>0</v>
      </c>
      <c r="H19" s="461">
        <f t="shared" si="2"/>
        <v>0</v>
      </c>
      <c r="I19" s="461">
        <f t="shared" si="3"/>
        <v>0</v>
      </c>
      <c r="J19" s="461">
        <f t="shared" si="4"/>
        <v>0</v>
      </c>
      <c r="K19" s="461">
        <f t="shared" si="5"/>
        <v>0</v>
      </c>
      <c r="L19" s="461">
        <f t="shared" si="6"/>
        <v>0</v>
      </c>
      <c r="M19" s="463">
        <f t="shared" si="7"/>
        <v>0</v>
      </c>
      <c r="N19" s="461">
        <f t="shared" si="8"/>
        <v>0</v>
      </c>
      <c r="O19" s="461">
        <f t="shared" si="9"/>
        <v>0</v>
      </c>
      <c r="P19" s="461">
        <f t="shared" si="10"/>
        <v>0</v>
      </c>
    </row>
    <row r="20" spans="1:17">
      <c r="A20" s="237"/>
      <c r="B20" s="239"/>
      <c r="C20" s="239"/>
      <c r="E20" s="182"/>
      <c r="F20" s="19"/>
      <c r="G20" s="182"/>
      <c r="H20" s="182"/>
      <c r="I20" s="182"/>
      <c r="J20" s="182"/>
      <c r="K20" s="182"/>
      <c r="L20" s="182"/>
      <c r="M20" s="182"/>
      <c r="N20" s="9"/>
      <c r="O20" s="9"/>
      <c r="P20" s="9"/>
    </row>
    <row r="21" spans="1:17">
      <c r="B21" s="13"/>
      <c r="C21" s="13"/>
      <c r="D21" s="14"/>
      <c r="E21" s="15" t="s">
        <v>376</v>
      </c>
      <c r="F21" s="15">
        <f>SUM(F3:F19)</f>
        <v>0</v>
      </c>
      <c r="K21" s="17" t="s">
        <v>377</v>
      </c>
      <c r="L21" s="17"/>
      <c r="M21" s="15">
        <f>SUM(M6:M19)</f>
        <v>0</v>
      </c>
      <c r="O21" s="17" t="s">
        <v>378</v>
      </c>
      <c r="P21" s="15">
        <f>SUM(P6:P19)</f>
        <v>0</v>
      </c>
      <c r="Q21" s="181"/>
    </row>
    <row r="22" spans="1:17">
      <c r="B22" s="18"/>
      <c r="C22" s="18"/>
      <c r="F22" s="19"/>
      <c r="O22" s="20" t="s">
        <v>379</v>
      </c>
      <c r="P22" s="21">
        <f>P21-M21</f>
        <v>0</v>
      </c>
      <c r="Q22" s="181"/>
    </row>
    <row r="23" spans="1:17">
      <c r="B23" s="31"/>
      <c r="C23" s="31"/>
      <c r="F23" s="19"/>
      <c r="Q23" s="19"/>
    </row>
    <row r="24" spans="1:17">
      <c r="B24" s="223" t="s">
        <v>368</v>
      </c>
      <c r="C24" s="31"/>
      <c r="F24" s="19"/>
      <c r="P24" s="19"/>
      <c r="Q24" s="19"/>
    </row>
    <row r="25" spans="1:17">
      <c r="B25" s="116" t="s">
        <v>380</v>
      </c>
      <c r="F25" s="19"/>
    </row>
    <row r="26" spans="1:17">
      <c r="B26" s="116" t="s">
        <v>374</v>
      </c>
    </row>
    <row r="27" spans="1:17">
      <c r="B27" s="31"/>
      <c r="C27" s="31"/>
      <c r="E27" s="32"/>
      <c r="F27" s="142"/>
      <c r="K27" s="19"/>
      <c r="L27" s="19"/>
    </row>
    <row r="29" spans="1:17">
      <c r="F29" s="19"/>
    </row>
  </sheetData>
  <mergeCells count="3">
    <mergeCell ref="B1:D1"/>
    <mergeCell ref="E1:F1"/>
    <mergeCell ref="B3:F3"/>
  </mergeCells>
  <phoneticPr fontId="0" type="noConversion"/>
  <dataValidations count="1">
    <dataValidation type="list" allowBlank="1" showErrorMessage="1" errorTitle="opción no válida" sqref="C6:C19" xr:uid="{7FF08B5D-5D38-4357-A9CC-82BE1042E12E}">
      <formula1>$B$25:$B$26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R23"/>
  <sheetViews>
    <sheetView showGridLines="0" zoomScale="90" zoomScaleNormal="90" workbookViewId="0">
      <selection activeCell="C38" sqref="C38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16.28515625" customWidth="1"/>
    <col min="6" max="6" width="10.7109375" bestFit="1" customWidth="1"/>
    <col min="7" max="7" width="10.28515625" bestFit="1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7" ht="15.75">
      <c r="A1" s="568" t="s">
        <v>360</v>
      </c>
      <c r="B1" s="568"/>
      <c r="C1" s="568"/>
      <c r="D1" s="568"/>
      <c r="E1" s="251">
        <f>+Equipos!E1</f>
        <v>0</v>
      </c>
    </row>
    <row r="2" spans="1:17">
      <c r="A2" s="1"/>
      <c r="B2" s="1"/>
      <c r="C2" s="1"/>
      <c r="D2" s="1"/>
      <c r="E2" s="2"/>
    </row>
    <row r="3" spans="1:17">
      <c r="A3" s="571" t="s">
        <v>381</v>
      </c>
      <c r="B3" s="571"/>
      <c r="C3" s="571"/>
      <c r="D3" s="571"/>
      <c r="E3" s="571"/>
      <c r="F3" s="5" t="s">
        <v>362</v>
      </c>
      <c r="G3" s="5" t="s">
        <v>363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7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0.1</v>
      </c>
      <c r="G4" s="7">
        <v>0</v>
      </c>
      <c r="H4" s="6">
        <v>0.13</v>
      </c>
      <c r="I4" s="247">
        <v>0.14000000000000001</v>
      </c>
      <c r="J4" s="24" t="s">
        <v>371</v>
      </c>
      <c r="K4" s="253">
        <v>0.03</v>
      </c>
      <c r="L4" s="26" t="s">
        <v>382</v>
      </c>
      <c r="M4" s="27">
        <v>0.3</v>
      </c>
      <c r="N4" s="235" t="s">
        <v>372</v>
      </c>
      <c r="O4" s="25" t="s">
        <v>14</v>
      </c>
    </row>
    <row r="5" spans="1:17" s="16" customFormat="1">
      <c r="A5" s="86" t="s">
        <v>373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7">
      <c r="A6" s="467"/>
      <c r="B6" s="467" t="s">
        <v>374</v>
      </c>
      <c r="C6" s="468">
        <v>0</v>
      </c>
      <c r="D6" s="466">
        <v>0</v>
      </c>
      <c r="E6" s="469">
        <f>+D6*C6</f>
        <v>0</v>
      </c>
      <c r="F6" s="461">
        <f t="shared" ref="F6:F15" si="0">IF(B6="si",D6*$F$4,0)</f>
        <v>0</v>
      </c>
      <c r="G6" s="461">
        <v>0</v>
      </c>
      <c r="H6" s="461">
        <f>(D6+F6+G6)*$H$4</f>
        <v>0</v>
      </c>
      <c r="I6" s="461">
        <f t="shared" ref="I6:I15" si="1">IF(B6="si",(D6+F6+G6+H6)*$I$4,0)</f>
        <v>0</v>
      </c>
      <c r="J6" s="461">
        <f>D6+F6+G6+H6+I6</f>
        <v>0</v>
      </c>
      <c r="K6" s="461">
        <f>J6*$K$4</f>
        <v>0</v>
      </c>
      <c r="L6" s="463">
        <f t="shared" ref="L6:L15" si="2">(J6+K6)*C6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7">
      <c r="A7" s="470"/>
      <c r="B7" s="467" t="s">
        <v>374</v>
      </c>
      <c r="C7" s="468">
        <v>0</v>
      </c>
      <c r="D7" s="466">
        <v>0</v>
      </c>
      <c r="E7" s="469">
        <f t="shared" ref="E7:E15" si="3">+D7*C7</f>
        <v>0</v>
      </c>
      <c r="F7" s="461">
        <f t="shared" si="0"/>
        <v>0</v>
      </c>
      <c r="G7" s="471">
        <f t="shared" ref="G7:G15" si="4">(D7+F7)*$G$4</f>
        <v>0</v>
      </c>
      <c r="H7" s="471">
        <f t="shared" ref="H7:H15" si="5">(D7+F7+G7)*$H$4</f>
        <v>0</v>
      </c>
      <c r="I7" s="461">
        <f t="shared" si="1"/>
        <v>0</v>
      </c>
      <c r="J7" s="471">
        <f t="shared" ref="J7:J15" si="6">D7+F7+G7+H7+I7</f>
        <v>0</v>
      </c>
      <c r="K7" s="461">
        <f t="shared" ref="K7:K15" si="7">J7*$K$4</f>
        <v>0</v>
      </c>
      <c r="L7" s="463">
        <f t="shared" si="2"/>
        <v>0</v>
      </c>
      <c r="M7" s="461">
        <f t="shared" ref="M7:M15" si="8">(J7+K7)*$M$4/(1-$M$4)</f>
        <v>0</v>
      </c>
      <c r="N7" s="461">
        <f t="shared" ref="N7:N15" si="9">M7+J7+K7</f>
        <v>0</v>
      </c>
      <c r="O7" s="471">
        <f t="shared" ref="O7:O15" si="10">N7*C7</f>
        <v>0</v>
      </c>
    </row>
    <row r="8" spans="1:17">
      <c r="A8" s="470"/>
      <c r="B8" s="467" t="s">
        <v>374</v>
      </c>
      <c r="C8" s="468">
        <v>0</v>
      </c>
      <c r="D8" s="466">
        <v>0</v>
      </c>
      <c r="E8" s="469">
        <f t="shared" si="3"/>
        <v>0</v>
      </c>
      <c r="F8" s="461">
        <f t="shared" si="0"/>
        <v>0</v>
      </c>
      <c r="G8" s="471">
        <f t="shared" si="4"/>
        <v>0</v>
      </c>
      <c r="H8" s="471">
        <f t="shared" si="5"/>
        <v>0</v>
      </c>
      <c r="I8" s="461">
        <f t="shared" si="1"/>
        <v>0</v>
      </c>
      <c r="J8" s="471">
        <f t="shared" si="6"/>
        <v>0</v>
      </c>
      <c r="K8" s="461">
        <f t="shared" si="7"/>
        <v>0</v>
      </c>
      <c r="L8" s="463">
        <f t="shared" si="2"/>
        <v>0</v>
      </c>
      <c r="M8" s="461">
        <f t="shared" si="8"/>
        <v>0</v>
      </c>
      <c r="N8" s="461">
        <f t="shared" si="9"/>
        <v>0</v>
      </c>
      <c r="O8" s="471">
        <f t="shared" si="10"/>
        <v>0</v>
      </c>
    </row>
    <row r="9" spans="1:17">
      <c r="A9" s="472"/>
      <c r="B9" s="467" t="s">
        <v>374</v>
      </c>
      <c r="C9" s="468">
        <v>0</v>
      </c>
      <c r="D9" s="466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7"/>
        <v>0</v>
      </c>
      <c r="L9" s="463">
        <f t="shared" si="2"/>
        <v>0</v>
      </c>
      <c r="M9" s="461">
        <f t="shared" si="8"/>
        <v>0</v>
      </c>
      <c r="N9" s="461">
        <f t="shared" si="9"/>
        <v>0</v>
      </c>
      <c r="O9" s="471">
        <f t="shared" si="10"/>
        <v>0</v>
      </c>
    </row>
    <row r="10" spans="1:17">
      <c r="A10" s="472"/>
      <c r="B10" s="467" t="s">
        <v>374</v>
      </c>
      <c r="C10" s="468">
        <v>0</v>
      </c>
      <c r="D10" s="466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7"/>
        <v>0</v>
      </c>
      <c r="L10" s="463">
        <f t="shared" si="2"/>
        <v>0</v>
      </c>
      <c r="M10" s="461">
        <f t="shared" si="8"/>
        <v>0</v>
      </c>
      <c r="N10" s="461">
        <f t="shared" si="9"/>
        <v>0</v>
      </c>
      <c r="O10" s="471">
        <f t="shared" si="10"/>
        <v>0</v>
      </c>
    </row>
    <row r="11" spans="1:17">
      <c r="A11" s="472"/>
      <c r="B11" s="467" t="s">
        <v>374</v>
      </c>
      <c r="C11" s="468">
        <v>0</v>
      </c>
      <c r="D11" s="466">
        <v>0</v>
      </c>
      <c r="E11" s="469">
        <f t="shared" ref="E11:E12" si="11">+D11*C11</f>
        <v>0</v>
      </c>
      <c r="F11" s="461">
        <f t="shared" si="0"/>
        <v>0</v>
      </c>
      <c r="G11" s="471">
        <f t="shared" ref="G11:G12" si="12">(D11+F11)*$G$4</f>
        <v>0</v>
      </c>
      <c r="H11" s="471">
        <f t="shared" ref="H11:H12" si="13">(D11+F11+G11)*$H$4</f>
        <v>0</v>
      </c>
      <c r="I11" s="461">
        <f t="shared" si="1"/>
        <v>0</v>
      </c>
      <c r="J11" s="471">
        <f t="shared" ref="J11:J12" si="14">D11+F11+G11+H11+I11</f>
        <v>0</v>
      </c>
      <c r="K11" s="461">
        <f t="shared" si="7"/>
        <v>0</v>
      </c>
      <c r="L11" s="463">
        <f t="shared" si="2"/>
        <v>0</v>
      </c>
      <c r="M11" s="461">
        <f t="shared" si="8"/>
        <v>0</v>
      </c>
      <c r="N11" s="461">
        <f t="shared" si="9"/>
        <v>0</v>
      </c>
      <c r="O11" s="471">
        <f t="shared" ref="O11:O12" si="15">N11*C11</f>
        <v>0</v>
      </c>
    </row>
    <row r="12" spans="1:17">
      <c r="A12" s="472"/>
      <c r="B12" s="467" t="s">
        <v>374</v>
      </c>
      <c r="C12" s="468">
        <v>0</v>
      </c>
      <c r="D12" s="466">
        <v>0</v>
      </c>
      <c r="E12" s="469">
        <f t="shared" si="11"/>
        <v>0</v>
      </c>
      <c r="F12" s="461">
        <f t="shared" si="0"/>
        <v>0</v>
      </c>
      <c r="G12" s="471">
        <f t="shared" si="12"/>
        <v>0</v>
      </c>
      <c r="H12" s="471">
        <f t="shared" si="13"/>
        <v>0</v>
      </c>
      <c r="I12" s="461">
        <f t="shared" si="1"/>
        <v>0</v>
      </c>
      <c r="J12" s="471">
        <f t="shared" si="14"/>
        <v>0</v>
      </c>
      <c r="K12" s="461">
        <f t="shared" si="7"/>
        <v>0</v>
      </c>
      <c r="L12" s="463">
        <f t="shared" si="2"/>
        <v>0</v>
      </c>
      <c r="M12" s="461">
        <f t="shared" si="8"/>
        <v>0</v>
      </c>
      <c r="N12" s="461">
        <f t="shared" si="9"/>
        <v>0</v>
      </c>
      <c r="O12" s="471">
        <f t="shared" si="15"/>
        <v>0</v>
      </c>
    </row>
    <row r="13" spans="1:17">
      <c r="A13" s="472"/>
      <c r="B13" s="467" t="s">
        <v>374</v>
      </c>
      <c r="C13" s="468">
        <v>0</v>
      </c>
      <c r="D13" s="466">
        <v>0</v>
      </c>
      <c r="E13" s="469">
        <f t="shared" ref="E13:E14" si="16">+D13*C13</f>
        <v>0</v>
      </c>
      <c r="F13" s="461">
        <f t="shared" si="0"/>
        <v>0</v>
      </c>
      <c r="G13" s="471">
        <f t="shared" ref="G13:G14" si="17">(D13+F13)*$G$4</f>
        <v>0</v>
      </c>
      <c r="H13" s="471">
        <f t="shared" ref="H13:H14" si="18">(D13+F13+G13)*$H$4</f>
        <v>0</v>
      </c>
      <c r="I13" s="461">
        <f t="shared" si="1"/>
        <v>0</v>
      </c>
      <c r="J13" s="471">
        <f t="shared" ref="J13:J14" si="19">D13+F13+G13+H13+I13</f>
        <v>0</v>
      </c>
      <c r="K13" s="461">
        <f t="shared" si="7"/>
        <v>0</v>
      </c>
      <c r="L13" s="463">
        <f t="shared" si="2"/>
        <v>0</v>
      </c>
      <c r="M13" s="461">
        <f t="shared" si="8"/>
        <v>0</v>
      </c>
      <c r="N13" s="461">
        <f t="shared" si="9"/>
        <v>0</v>
      </c>
      <c r="O13" s="471">
        <f t="shared" ref="O13:O14" si="20">N13*C13</f>
        <v>0</v>
      </c>
    </row>
    <row r="14" spans="1:17">
      <c r="A14" s="472"/>
      <c r="B14" s="467" t="s">
        <v>374</v>
      </c>
      <c r="C14" s="468">
        <v>0</v>
      </c>
      <c r="D14" s="466">
        <v>0</v>
      </c>
      <c r="E14" s="469">
        <f t="shared" si="16"/>
        <v>0</v>
      </c>
      <c r="F14" s="461">
        <f t="shared" si="0"/>
        <v>0</v>
      </c>
      <c r="G14" s="471">
        <f t="shared" si="17"/>
        <v>0</v>
      </c>
      <c r="H14" s="471">
        <f t="shared" si="18"/>
        <v>0</v>
      </c>
      <c r="I14" s="461">
        <f t="shared" si="1"/>
        <v>0</v>
      </c>
      <c r="J14" s="471">
        <f t="shared" si="19"/>
        <v>0</v>
      </c>
      <c r="K14" s="461">
        <f t="shared" si="7"/>
        <v>0</v>
      </c>
      <c r="L14" s="463">
        <f t="shared" si="2"/>
        <v>0</v>
      </c>
      <c r="M14" s="461">
        <f t="shared" si="8"/>
        <v>0</v>
      </c>
      <c r="N14" s="461">
        <f t="shared" si="9"/>
        <v>0</v>
      </c>
      <c r="O14" s="471">
        <f t="shared" si="20"/>
        <v>0</v>
      </c>
    </row>
    <row r="15" spans="1:17">
      <c r="A15" s="472"/>
      <c r="B15" s="467" t="s">
        <v>374</v>
      </c>
      <c r="C15" s="468">
        <v>0</v>
      </c>
      <c r="D15" s="466">
        <v>0</v>
      </c>
      <c r="E15" s="469">
        <f t="shared" si="3"/>
        <v>0</v>
      </c>
      <c r="F15" s="461">
        <f t="shared" si="0"/>
        <v>0</v>
      </c>
      <c r="G15" s="471">
        <f t="shared" si="4"/>
        <v>0</v>
      </c>
      <c r="H15" s="471">
        <f t="shared" si="5"/>
        <v>0</v>
      </c>
      <c r="I15" s="461">
        <f t="shared" si="1"/>
        <v>0</v>
      </c>
      <c r="J15" s="471">
        <f t="shared" si="6"/>
        <v>0</v>
      </c>
      <c r="K15" s="461">
        <f t="shared" si="7"/>
        <v>0</v>
      </c>
      <c r="L15" s="463">
        <f t="shared" si="2"/>
        <v>0</v>
      </c>
      <c r="M15" s="461">
        <f t="shared" si="8"/>
        <v>0</v>
      </c>
      <c r="N15" s="461">
        <f t="shared" si="9"/>
        <v>0</v>
      </c>
      <c r="O15" s="471">
        <f t="shared" si="10"/>
        <v>0</v>
      </c>
    </row>
    <row r="16" spans="1:17">
      <c r="A16" s="140"/>
      <c r="B16" s="140"/>
      <c r="C16" s="12"/>
      <c r="D16" s="139"/>
      <c r="E16" s="19"/>
      <c r="F16" s="9"/>
      <c r="G16" s="9"/>
      <c r="H16" s="9"/>
      <c r="I16" s="9"/>
      <c r="J16" s="9"/>
      <c r="K16" s="9"/>
      <c r="L16" s="182"/>
      <c r="M16" s="9"/>
      <c r="N16" s="9"/>
      <c r="O16" s="9"/>
      <c r="Q16" s="4"/>
    </row>
    <row r="17" spans="1:18">
      <c r="A17" s="13"/>
      <c r="B17" s="13"/>
      <c r="C17" s="14"/>
      <c r="D17" s="15" t="s">
        <v>376</v>
      </c>
      <c r="E17" s="15">
        <f>SUM(E6:E15)</f>
        <v>0</v>
      </c>
      <c r="F17" s="16"/>
      <c r="G17" s="16"/>
      <c r="H17" s="16"/>
      <c r="I17" s="16"/>
      <c r="J17" s="17" t="s">
        <v>377</v>
      </c>
      <c r="K17" s="17"/>
      <c r="L17" s="15">
        <f>SUM(L6:L15)</f>
        <v>0</v>
      </c>
      <c r="M17" s="16"/>
      <c r="N17" s="17" t="s">
        <v>378</v>
      </c>
      <c r="O17" s="15">
        <f>SUM(O6:O15)</f>
        <v>0</v>
      </c>
      <c r="Q17" s="4"/>
      <c r="R17" s="3"/>
    </row>
    <row r="18" spans="1:18">
      <c r="A18" s="35"/>
      <c r="B18" s="35"/>
      <c r="C18" s="238"/>
      <c r="D18" s="16"/>
      <c r="E18" s="19"/>
      <c r="F18" s="16"/>
      <c r="G18" s="16"/>
      <c r="H18" s="16"/>
      <c r="I18" s="16"/>
      <c r="J18" s="16"/>
      <c r="K18" s="16"/>
      <c r="L18" s="16"/>
      <c r="M18" s="16"/>
      <c r="N18" s="20" t="s">
        <v>379</v>
      </c>
      <c r="O18" s="21">
        <f>O17-L17</f>
        <v>0</v>
      </c>
      <c r="Q18" s="4"/>
      <c r="R18" s="3"/>
    </row>
    <row r="19" spans="1:18">
      <c r="Q19" s="4"/>
      <c r="R19" s="3"/>
    </row>
    <row r="20" spans="1:18">
      <c r="A20" s="223" t="s">
        <v>368</v>
      </c>
      <c r="E20" s="3"/>
      <c r="Q20" s="4"/>
      <c r="R20" s="3"/>
    </row>
    <row r="21" spans="1:18">
      <c r="A21" s="116" t="s">
        <v>380</v>
      </c>
      <c r="B21" s="8"/>
      <c r="E21" s="3"/>
      <c r="Q21" s="4"/>
    </row>
    <row r="22" spans="1:18">
      <c r="A22" s="116" t="s">
        <v>374</v>
      </c>
      <c r="B22" s="48"/>
      <c r="C22" s="16"/>
      <c r="D22" s="16"/>
      <c r="O22" s="3"/>
    </row>
    <row r="23" spans="1:18">
      <c r="A23" s="48"/>
      <c r="B23" s="48"/>
      <c r="C23" s="16"/>
      <c r="D23" s="16"/>
      <c r="P23" s="3"/>
    </row>
  </sheetData>
  <mergeCells count="2">
    <mergeCell ref="A3:E3"/>
    <mergeCell ref="A1:D1"/>
  </mergeCells>
  <dataValidations count="1">
    <dataValidation type="list" allowBlank="1" showErrorMessage="1" errorTitle="Opción no válida" sqref="B6:B15" xr:uid="{48EE099D-CE0D-4B64-82D7-23A7A802EDF1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9212-49E4-48C6-A7CD-9AB4EE4DB87B}">
  <sheetPr>
    <tabColor rgb="FF92D050"/>
  </sheetPr>
  <dimension ref="A1:R28"/>
  <sheetViews>
    <sheetView showGridLines="0" zoomScale="90" zoomScaleNormal="90" workbookViewId="0">
      <selection activeCell="M6" sqref="M6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20.42578125" bestFit="1" customWidth="1"/>
    <col min="6" max="6" width="10.7109375" bestFit="1" customWidth="1"/>
    <col min="7" max="7" width="10.28515625" bestFit="1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6" ht="15.75">
      <c r="A1" s="568" t="s">
        <v>360</v>
      </c>
      <c r="B1" s="568"/>
      <c r="C1" s="568"/>
      <c r="D1" s="568"/>
      <c r="E1" s="364">
        <f>+Equipos!E1</f>
        <v>0</v>
      </c>
    </row>
    <row r="2" spans="1:16">
      <c r="A2" s="1"/>
      <c r="B2" s="1"/>
      <c r="C2" s="1"/>
      <c r="D2" s="1"/>
      <c r="E2" s="2"/>
    </row>
    <row r="3" spans="1:16">
      <c r="A3" s="571" t="s">
        <v>384</v>
      </c>
      <c r="B3" s="571"/>
      <c r="C3" s="571"/>
      <c r="D3" s="571"/>
      <c r="E3" s="571"/>
      <c r="F3" s="5" t="s">
        <v>362</v>
      </c>
      <c r="G3" s="5" t="s">
        <v>363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6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0.1</v>
      </c>
      <c r="G4" s="7">
        <v>0</v>
      </c>
      <c r="H4" s="6">
        <v>0.13</v>
      </c>
      <c r="I4" s="247">
        <v>0.14000000000000001</v>
      </c>
      <c r="J4" s="24" t="s">
        <v>371</v>
      </c>
      <c r="K4" s="253">
        <v>0.03</v>
      </c>
      <c r="L4" s="26" t="s">
        <v>382</v>
      </c>
      <c r="M4" s="27">
        <v>0.3</v>
      </c>
      <c r="N4" s="235" t="s">
        <v>372</v>
      </c>
      <c r="O4" s="25" t="s">
        <v>14</v>
      </c>
    </row>
    <row r="5" spans="1:16" s="16" customFormat="1">
      <c r="A5" s="86" t="s">
        <v>385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374</v>
      </c>
      <c r="C6" s="460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(J6+K6)*C6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374</v>
      </c>
      <c r="C7" s="460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63">
        <f t="shared" ref="L7:L20" si="3">(J7+K7)*C7</f>
        <v>0</v>
      </c>
      <c r="M7" s="461">
        <f t="shared" ref="M7:M20" si="4">(J7+K7)*$M$4/(1-$M$4)</f>
        <v>0</v>
      </c>
      <c r="N7" s="461">
        <f t="shared" ref="N7:N20" si="5">M7+J7+K7</f>
        <v>0</v>
      </c>
      <c r="O7" s="471">
        <f>N7*C7</f>
        <v>0</v>
      </c>
    </row>
    <row r="8" spans="1:16">
      <c r="A8" s="470"/>
      <c r="B8" s="467" t="s">
        <v>374</v>
      </c>
      <c r="C8" s="460">
        <v>0</v>
      </c>
      <c r="D8" s="466">
        <v>0</v>
      </c>
      <c r="E8" s="469">
        <f t="shared" ref="E8:E12" si="6">+D8*C8</f>
        <v>0</v>
      </c>
      <c r="F8" s="461">
        <f t="shared" si="0"/>
        <v>0</v>
      </c>
      <c r="G8" s="471">
        <f t="shared" ref="G8:G12" si="7">(D8+F8)*$G$4</f>
        <v>0</v>
      </c>
      <c r="H8" s="471">
        <f t="shared" ref="H8:H12" si="8">(D8+F8+G8)*$H$4</f>
        <v>0</v>
      </c>
      <c r="I8" s="461">
        <f t="shared" si="1"/>
        <v>0</v>
      </c>
      <c r="J8" s="471">
        <f t="shared" ref="J8:J12" si="9">D8+F8+G8+H8+I8</f>
        <v>0</v>
      </c>
      <c r="K8" s="461">
        <f t="shared" si="2"/>
        <v>0</v>
      </c>
      <c r="L8" s="463">
        <f t="shared" si="3"/>
        <v>0</v>
      </c>
      <c r="M8" s="461">
        <f t="shared" si="4"/>
        <v>0</v>
      </c>
      <c r="N8" s="461">
        <f t="shared" si="5"/>
        <v>0</v>
      </c>
      <c r="O8" s="471">
        <f t="shared" ref="O8:O12" si="10">N8*C8</f>
        <v>0</v>
      </c>
    </row>
    <row r="9" spans="1:16">
      <c r="A9" s="470"/>
      <c r="B9" s="467" t="s">
        <v>374</v>
      </c>
      <c r="C9" s="460">
        <v>0</v>
      </c>
      <c r="D9" s="466">
        <v>0</v>
      </c>
      <c r="E9" s="469">
        <f t="shared" si="6"/>
        <v>0</v>
      </c>
      <c r="F9" s="461">
        <f t="shared" si="0"/>
        <v>0</v>
      </c>
      <c r="G9" s="471">
        <f t="shared" si="7"/>
        <v>0</v>
      </c>
      <c r="H9" s="471">
        <f t="shared" si="8"/>
        <v>0</v>
      </c>
      <c r="I9" s="461">
        <f t="shared" si="1"/>
        <v>0</v>
      </c>
      <c r="J9" s="471">
        <f t="shared" si="9"/>
        <v>0</v>
      </c>
      <c r="K9" s="461">
        <f t="shared" si="2"/>
        <v>0</v>
      </c>
      <c r="L9" s="463">
        <f t="shared" si="3"/>
        <v>0</v>
      </c>
      <c r="M9" s="461">
        <f t="shared" si="4"/>
        <v>0</v>
      </c>
      <c r="N9" s="461">
        <f t="shared" si="5"/>
        <v>0</v>
      </c>
      <c r="O9" s="471">
        <f t="shared" si="10"/>
        <v>0</v>
      </c>
    </row>
    <row r="10" spans="1:16">
      <c r="A10" s="470"/>
      <c r="B10" s="467" t="s">
        <v>374</v>
      </c>
      <c r="C10" s="460">
        <v>0</v>
      </c>
      <c r="D10" s="466">
        <v>0</v>
      </c>
      <c r="E10" s="469">
        <f t="shared" si="6"/>
        <v>0</v>
      </c>
      <c r="F10" s="461">
        <f t="shared" si="0"/>
        <v>0</v>
      </c>
      <c r="G10" s="471">
        <f t="shared" si="7"/>
        <v>0</v>
      </c>
      <c r="H10" s="471">
        <f t="shared" si="8"/>
        <v>0</v>
      </c>
      <c r="I10" s="461">
        <f t="shared" si="1"/>
        <v>0</v>
      </c>
      <c r="J10" s="471">
        <f t="shared" si="9"/>
        <v>0</v>
      </c>
      <c r="K10" s="461">
        <f t="shared" si="2"/>
        <v>0</v>
      </c>
      <c r="L10" s="463">
        <f t="shared" si="3"/>
        <v>0</v>
      </c>
      <c r="M10" s="461">
        <f t="shared" si="4"/>
        <v>0</v>
      </c>
      <c r="N10" s="461">
        <f t="shared" si="5"/>
        <v>0</v>
      </c>
      <c r="O10" s="471">
        <f t="shared" si="10"/>
        <v>0</v>
      </c>
    </row>
    <row r="11" spans="1:16">
      <c r="A11" s="472"/>
      <c r="B11" s="467" t="s">
        <v>374</v>
      </c>
      <c r="C11" s="460">
        <v>0</v>
      </c>
      <c r="D11" s="466">
        <v>0</v>
      </c>
      <c r="E11" s="469">
        <f t="shared" si="6"/>
        <v>0</v>
      </c>
      <c r="F11" s="461">
        <f t="shared" si="0"/>
        <v>0</v>
      </c>
      <c r="G11" s="471">
        <f t="shared" si="7"/>
        <v>0</v>
      </c>
      <c r="H11" s="471">
        <f t="shared" si="8"/>
        <v>0</v>
      </c>
      <c r="I11" s="461">
        <f t="shared" si="1"/>
        <v>0</v>
      </c>
      <c r="J11" s="471">
        <f t="shared" si="9"/>
        <v>0</v>
      </c>
      <c r="K11" s="461">
        <f t="shared" si="2"/>
        <v>0</v>
      </c>
      <c r="L11" s="463">
        <f t="shared" si="3"/>
        <v>0</v>
      </c>
      <c r="M11" s="461">
        <f t="shared" si="4"/>
        <v>0</v>
      </c>
      <c r="N11" s="461">
        <f t="shared" si="5"/>
        <v>0</v>
      </c>
      <c r="O11" s="471">
        <f t="shared" si="10"/>
        <v>0</v>
      </c>
    </row>
    <row r="12" spans="1:16">
      <c r="A12" s="472"/>
      <c r="B12" s="467" t="s">
        <v>374</v>
      </c>
      <c r="C12" s="460">
        <v>0</v>
      </c>
      <c r="D12" s="466">
        <v>0</v>
      </c>
      <c r="E12" s="469">
        <f t="shared" si="6"/>
        <v>0</v>
      </c>
      <c r="F12" s="461">
        <f t="shared" si="0"/>
        <v>0</v>
      </c>
      <c r="G12" s="471">
        <f t="shared" si="7"/>
        <v>0</v>
      </c>
      <c r="H12" s="471">
        <f t="shared" si="8"/>
        <v>0</v>
      </c>
      <c r="I12" s="461">
        <f t="shared" si="1"/>
        <v>0</v>
      </c>
      <c r="J12" s="471">
        <f t="shared" si="9"/>
        <v>0</v>
      </c>
      <c r="K12" s="461">
        <f t="shared" si="2"/>
        <v>0</v>
      </c>
      <c r="L12" s="463">
        <f t="shared" si="3"/>
        <v>0</v>
      </c>
      <c r="M12" s="461">
        <f t="shared" si="4"/>
        <v>0</v>
      </c>
      <c r="N12" s="461">
        <f t="shared" si="5"/>
        <v>0</v>
      </c>
      <c r="O12" s="471">
        <f t="shared" si="10"/>
        <v>0</v>
      </c>
    </row>
    <row r="13" spans="1:16">
      <c r="A13" s="87" t="s">
        <v>386</v>
      </c>
      <c r="B13" s="84"/>
      <c r="C13" s="84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</row>
    <row r="14" spans="1:16">
      <c r="A14" s="467"/>
      <c r="B14" s="467" t="s">
        <v>374</v>
      </c>
      <c r="C14" s="460">
        <v>0</v>
      </c>
      <c r="D14" s="466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si="3"/>
        <v>0</v>
      </c>
      <c r="M14" s="461">
        <f t="shared" si="4"/>
        <v>0</v>
      </c>
      <c r="N14" s="461">
        <f t="shared" si="5"/>
        <v>0</v>
      </c>
      <c r="O14" s="461">
        <f t="shared" ref="O14:O18" si="14">N14*C14</f>
        <v>0</v>
      </c>
    </row>
    <row r="15" spans="1:16">
      <c r="A15" s="473"/>
      <c r="B15" s="467" t="s">
        <v>374</v>
      </c>
      <c r="C15" s="460">
        <v>0</v>
      </c>
      <c r="D15" s="466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3"/>
        <v>0</v>
      </c>
      <c r="M15" s="461">
        <f t="shared" si="4"/>
        <v>0</v>
      </c>
      <c r="N15" s="461">
        <f t="shared" si="5"/>
        <v>0</v>
      </c>
      <c r="O15" s="461">
        <f t="shared" si="14"/>
        <v>0</v>
      </c>
    </row>
    <row r="16" spans="1:16">
      <c r="A16" s="473"/>
      <c r="B16" s="467" t="s">
        <v>374</v>
      </c>
      <c r="C16" s="460">
        <v>0</v>
      </c>
      <c r="D16" s="466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3"/>
        <v>0</v>
      </c>
      <c r="M16" s="461">
        <f t="shared" si="4"/>
        <v>0</v>
      </c>
      <c r="N16" s="461">
        <f t="shared" si="5"/>
        <v>0</v>
      </c>
      <c r="O16" s="461">
        <f t="shared" si="14"/>
        <v>0</v>
      </c>
    </row>
    <row r="17" spans="1:18">
      <c r="A17" s="474"/>
      <c r="B17" s="467" t="s">
        <v>374</v>
      </c>
      <c r="C17" s="460">
        <v>0</v>
      </c>
      <c r="D17" s="466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3"/>
        <v>0</v>
      </c>
      <c r="M17" s="461">
        <f t="shared" si="4"/>
        <v>0</v>
      </c>
      <c r="N17" s="461">
        <f t="shared" si="5"/>
        <v>0</v>
      </c>
      <c r="O17" s="461">
        <f t="shared" si="14"/>
        <v>0</v>
      </c>
    </row>
    <row r="18" spans="1:18">
      <c r="A18" s="474"/>
      <c r="B18" s="467" t="s">
        <v>374</v>
      </c>
      <c r="C18" s="460">
        <v>0</v>
      </c>
      <c r="D18" s="466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3"/>
        <v>0</v>
      </c>
      <c r="M18" s="461">
        <f t="shared" si="4"/>
        <v>0</v>
      </c>
      <c r="N18" s="461">
        <f t="shared" si="5"/>
        <v>0</v>
      </c>
      <c r="O18" s="461">
        <f t="shared" si="14"/>
        <v>0</v>
      </c>
    </row>
    <row r="19" spans="1:18">
      <c r="A19" s="86" t="s">
        <v>375</v>
      </c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</row>
    <row r="20" spans="1:18">
      <c r="A20" s="465"/>
      <c r="B20" s="467" t="s">
        <v>374</v>
      </c>
      <c r="C20" s="460">
        <v>0</v>
      </c>
      <c r="D20" s="466">
        <v>0</v>
      </c>
      <c r="E20" s="462">
        <f>+C20*D20</f>
        <v>0</v>
      </c>
      <c r="F20" s="461">
        <f t="shared" si="0"/>
        <v>0</v>
      </c>
      <c r="G20" s="461">
        <f t="shared" ref="G20" si="15">(D20+F20)*$G$4</f>
        <v>0</v>
      </c>
      <c r="H20" s="461">
        <f t="shared" ref="H20" si="16">(D20+F20+G20)*$H$4</f>
        <v>0</v>
      </c>
      <c r="I20" s="461">
        <f t="shared" si="1"/>
        <v>0</v>
      </c>
      <c r="J20" s="461">
        <f t="shared" ref="J20" si="17">D20+F20+G20+H20+I20</f>
        <v>0</v>
      </c>
      <c r="K20" s="461">
        <f t="shared" si="2"/>
        <v>0</v>
      </c>
      <c r="L20" s="463">
        <f t="shared" si="3"/>
        <v>0</v>
      </c>
      <c r="M20" s="461">
        <f t="shared" si="4"/>
        <v>0</v>
      </c>
      <c r="N20" s="461">
        <f t="shared" si="5"/>
        <v>0</v>
      </c>
      <c r="O20" s="461">
        <f t="shared" ref="O20" si="18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>
      <c r="A22" s="13"/>
      <c r="B22" s="13"/>
      <c r="C22" s="14"/>
      <c r="D22" s="15" t="s">
        <v>376</v>
      </c>
      <c r="E22" s="15">
        <f>SUM(E6:E20)</f>
        <v>0</v>
      </c>
      <c r="F22" s="16"/>
      <c r="G22" s="16"/>
      <c r="H22" s="16"/>
      <c r="I22" s="16"/>
      <c r="J22" s="17" t="s">
        <v>377</v>
      </c>
      <c r="K22" s="17"/>
      <c r="L22" s="15">
        <f>SUM(L6:L20)</f>
        <v>0</v>
      </c>
      <c r="M22" s="16"/>
      <c r="N22" s="17" t="s">
        <v>378</v>
      </c>
      <c r="O22" s="15">
        <f>SUM(O6:O20)</f>
        <v>0</v>
      </c>
      <c r="Q22" s="4"/>
      <c r="R22" s="3"/>
    </row>
    <row r="23" spans="1:18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379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368</v>
      </c>
      <c r="E25" s="3"/>
      <c r="Q25" s="4"/>
      <c r="R25" s="3"/>
    </row>
    <row r="26" spans="1:18">
      <c r="A26" s="116" t="s">
        <v>380</v>
      </c>
      <c r="B26" s="8"/>
      <c r="E26" s="3"/>
      <c r="Q26" s="4"/>
    </row>
    <row r="27" spans="1:18">
      <c r="A27" s="116" t="s">
        <v>374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6:B12 B14:B18 B20" xr:uid="{A0F505FC-25D8-4F9E-BDDF-DFB93A2AE193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5C190-59D0-4502-99A2-1139D15DEB1A}">
  <sheetPr>
    <tabColor rgb="FF92D050"/>
  </sheetPr>
  <dimension ref="A1:R27"/>
  <sheetViews>
    <sheetView showGridLines="0" zoomScale="90" zoomScaleNormal="90" workbookViewId="0">
      <selection activeCell="C22" sqref="C22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20.42578125" bestFit="1" customWidth="1"/>
    <col min="6" max="6" width="10.7109375" bestFit="1" customWidth="1"/>
    <col min="7" max="7" width="10.28515625" bestFit="1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5" ht="15.75">
      <c r="A1" s="568" t="s">
        <v>360</v>
      </c>
      <c r="B1" s="568"/>
      <c r="C1" s="568"/>
      <c r="D1" s="568"/>
      <c r="E1" s="364">
        <f>+Equipos!E1</f>
        <v>0</v>
      </c>
    </row>
    <row r="2" spans="1:15">
      <c r="A2" s="1"/>
      <c r="B2" s="1"/>
      <c r="C2" s="1"/>
      <c r="D2" s="1"/>
      <c r="E2" s="2"/>
    </row>
    <row r="3" spans="1:15">
      <c r="A3" s="571" t="s">
        <v>387</v>
      </c>
      <c r="B3" s="571"/>
      <c r="C3" s="571"/>
      <c r="D3" s="571"/>
      <c r="E3" s="571"/>
      <c r="F3" s="5" t="s">
        <v>362</v>
      </c>
      <c r="G3" s="5" t="s">
        <v>363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5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0.1</v>
      </c>
      <c r="G4" s="7">
        <v>0</v>
      </c>
      <c r="H4" s="6">
        <v>0.13</v>
      </c>
      <c r="I4" s="247">
        <v>0.14000000000000001</v>
      </c>
      <c r="J4" s="24" t="s">
        <v>371</v>
      </c>
      <c r="K4" s="253">
        <v>0.03</v>
      </c>
      <c r="L4" s="26" t="s">
        <v>382</v>
      </c>
      <c r="M4" s="27">
        <v>0.3</v>
      </c>
      <c r="N4" s="235" t="s">
        <v>372</v>
      </c>
      <c r="O4" s="25" t="s">
        <v>14</v>
      </c>
    </row>
    <row r="5" spans="1:15" s="16" customFormat="1">
      <c r="A5" s="86" t="s">
        <v>373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5" ht="15">
      <c r="A6" s="470"/>
      <c r="B6" s="467" t="s">
        <v>374</v>
      </c>
      <c r="C6" s="475">
        <v>0</v>
      </c>
      <c r="D6" s="466">
        <v>0</v>
      </c>
      <c r="E6" s="469">
        <f>+D6*C6</f>
        <v>0</v>
      </c>
      <c r="F6" s="461">
        <f t="shared" ref="F6:F19" si="0">IF(B6="si",D6*$F$4,0)</f>
        <v>0</v>
      </c>
      <c r="G6" s="471">
        <f>(D6+F6)*$G$4</f>
        <v>0</v>
      </c>
      <c r="H6" s="471">
        <f>(D6+F6+G6)*$H$4</f>
        <v>0</v>
      </c>
      <c r="I6" s="461">
        <f t="shared" ref="I6:I19" si="1">IF(B6="si",(D6+F6+G6+H6)*$I$4,0)</f>
        <v>0</v>
      </c>
      <c r="J6" s="471">
        <f>D6+F6+G6+H6+I6</f>
        <v>0</v>
      </c>
      <c r="K6" s="461">
        <f t="shared" ref="K6:K19" si="2">J6*$K$4</f>
        <v>0</v>
      </c>
      <c r="L6" s="476">
        <f>(J6+K6)*C6</f>
        <v>0</v>
      </c>
      <c r="M6" s="471">
        <f>(J6+K6)*$M$4/(1-$M$4)</f>
        <v>0</v>
      </c>
      <c r="N6" s="471">
        <f>M6+J6+K6</f>
        <v>0</v>
      </c>
      <c r="O6" s="471">
        <f>N6*C6</f>
        <v>0</v>
      </c>
    </row>
    <row r="7" spans="1:15" ht="15">
      <c r="A7" s="470"/>
      <c r="B7" s="467" t="s">
        <v>374</v>
      </c>
      <c r="C7" s="475">
        <v>0</v>
      </c>
      <c r="D7" s="466">
        <v>0</v>
      </c>
      <c r="E7" s="469">
        <f t="shared" ref="E7:E11" si="3">+D7*C7</f>
        <v>0</v>
      </c>
      <c r="F7" s="461">
        <f t="shared" si="0"/>
        <v>0</v>
      </c>
      <c r="G7" s="471">
        <f t="shared" ref="G7:G11" si="4">(D7+F7)*$G$4</f>
        <v>0</v>
      </c>
      <c r="H7" s="471">
        <f t="shared" ref="H7:H11" si="5">(D7+F7+G7)*$H$4</f>
        <v>0</v>
      </c>
      <c r="I7" s="461">
        <f t="shared" si="1"/>
        <v>0</v>
      </c>
      <c r="J7" s="471">
        <f t="shared" ref="J7:J11" si="6">D7+F7+G7+H7+I7</f>
        <v>0</v>
      </c>
      <c r="K7" s="461">
        <f t="shared" si="2"/>
        <v>0</v>
      </c>
      <c r="L7" s="476">
        <f t="shared" ref="L7:L19" si="7">(J7+K7)*C7</f>
        <v>0</v>
      </c>
      <c r="M7" s="471">
        <f t="shared" ref="M7:M19" si="8">(J7+K7)*$M$4/(1-$M$4)</f>
        <v>0</v>
      </c>
      <c r="N7" s="471">
        <f t="shared" ref="N7:N19" si="9">M7+J7+K7</f>
        <v>0</v>
      </c>
      <c r="O7" s="471">
        <f t="shared" ref="O7:O11" si="10">N7*C7</f>
        <v>0</v>
      </c>
    </row>
    <row r="8" spans="1:15" ht="15">
      <c r="A8" s="470"/>
      <c r="B8" s="467" t="s">
        <v>374</v>
      </c>
      <c r="C8" s="475">
        <v>0</v>
      </c>
      <c r="D8" s="466">
        <v>0</v>
      </c>
      <c r="E8" s="469">
        <f t="shared" si="3"/>
        <v>0</v>
      </c>
      <c r="F8" s="461">
        <f t="shared" si="0"/>
        <v>0</v>
      </c>
      <c r="G8" s="471">
        <f t="shared" si="4"/>
        <v>0</v>
      </c>
      <c r="H8" s="471">
        <f t="shared" si="5"/>
        <v>0</v>
      </c>
      <c r="I8" s="461">
        <f t="shared" si="1"/>
        <v>0</v>
      </c>
      <c r="J8" s="471">
        <f t="shared" si="6"/>
        <v>0</v>
      </c>
      <c r="K8" s="461">
        <f t="shared" si="2"/>
        <v>0</v>
      </c>
      <c r="L8" s="476">
        <f t="shared" si="7"/>
        <v>0</v>
      </c>
      <c r="M8" s="471">
        <f t="shared" si="8"/>
        <v>0</v>
      </c>
      <c r="N8" s="471">
        <f t="shared" si="9"/>
        <v>0</v>
      </c>
      <c r="O8" s="471">
        <f t="shared" si="10"/>
        <v>0</v>
      </c>
    </row>
    <row r="9" spans="1:15" ht="15">
      <c r="A9" s="470"/>
      <c r="B9" s="467" t="s">
        <v>374</v>
      </c>
      <c r="C9" s="475">
        <v>0</v>
      </c>
      <c r="D9" s="466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5" ht="15">
      <c r="A10" s="472"/>
      <c r="B10" s="467" t="s">
        <v>374</v>
      </c>
      <c r="C10" s="475">
        <v>0</v>
      </c>
      <c r="D10" s="466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5" ht="15">
      <c r="A11" s="472"/>
      <c r="B11" s="467" t="s">
        <v>374</v>
      </c>
      <c r="C11" s="475">
        <v>0</v>
      </c>
      <c r="D11" s="466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5">
      <c r="A12" s="87" t="s">
        <v>383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</row>
    <row r="13" spans="1:15" ht="15">
      <c r="A13" s="467"/>
      <c r="B13" s="467" t="s">
        <v>374</v>
      </c>
      <c r="C13" s="475">
        <v>0</v>
      </c>
      <c r="D13" s="466">
        <v>0</v>
      </c>
      <c r="E13" s="462">
        <f>+C13*D13*(1-C22)</f>
        <v>0</v>
      </c>
      <c r="F13" s="461">
        <f t="shared" si="0"/>
        <v>0</v>
      </c>
      <c r="G13" s="461">
        <f t="shared" ref="G13:G17" si="11">(D13+F13)*$G$4</f>
        <v>0</v>
      </c>
      <c r="H13" s="461">
        <f t="shared" ref="H13:H17" si="12">(D13+F13+G13)*$H$4</f>
        <v>0</v>
      </c>
      <c r="I13" s="461">
        <f t="shared" si="1"/>
        <v>0</v>
      </c>
      <c r="J13" s="461">
        <f t="shared" ref="J13:J17" si="13">D13+F13+G13+H13+I13</f>
        <v>0</v>
      </c>
      <c r="K13" s="461">
        <f t="shared" si="2"/>
        <v>0</v>
      </c>
      <c r="L13" s="476">
        <f t="shared" si="7"/>
        <v>0</v>
      </c>
      <c r="M13" s="471">
        <f t="shared" si="8"/>
        <v>0</v>
      </c>
      <c r="N13" s="471">
        <f t="shared" si="9"/>
        <v>0</v>
      </c>
      <c r="O13" s="461">
        <f t="shared" ref="O13:O17" si="14">N13*C13</f>
        <v>0</v>
      </c>
    </row>
    <row r="14" spans="1:15" ht="15">
      <c r="A14" s="473"/>
      <c r="B14" s="467" t="s">
        <v>374</v>
      </c>
      <c r="C14" s="475">
        <v>0</v>
      </c>
      <c r="D14" s="466">
        <v>0</v>
      </c>
      <c r="E14" s="462">
        <f>+C14*D14</f>
        <v>0</v>
      </c>
      <c r="F14" s="461">
        <f t="shared" si="0"/>
        <v>0</v>
      </c>
      <c r="G14" s="461">
        <f t="shared" si="11"/>
        <v>0</v>
      </c>
      <c r="H14" s="461">
        <f t="shared" si="12"/>
        <v>0</v>
      </c>
      <c r="I14" s="461">
        <f t="shared" si="1"/>
        <v>0</v>
      </c>
      <c r="J14" s="461">
        <f t="shared" si="13"/>
        <v>0</v>
      </c>
      <c r="K14" s="461">
        <f t="shared" si="2"/>
        <v>0</v>
      </c>
      <c r="L14" s="476">
        <f t="shared" si="7"/>
        <v>0</v>
      </c>
      <c r="M14" s="471">
        <f t="shared" si="8"/>
        <v>0</v>
      </c>
      <c r="N14" s="471">
        <f t="shared" si="9"/>
        <v>0</v>
      </c>
      <c r="O14" s="461">
        <f t="shared" si="14"/>
        <v>0</v>
      </c>
    </row>
    <row r="15" spans="1:15" ht="15">
      <c r="A15" s="473"/>
      <c r="B15" s="467" t="s">
        <v>374</v>
      </c>
      <c r="C15" s="475">
        <v>0</v>
      </c>
      <c r="D15" s="466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76">
        <f t="shared" si="7"/>
        <v>0</v>
      </c>
      <c r="M15" s="471">
        <f t="shared" si="8"/>
        <v>0</v>
      </c>
      <c r="N15" s="471">
        <f t="shared" si="9"/>
        <v>0</v>
      </c>
      <c r="O15" s="461">
        <f t="shared" si="14"/>
        <v>0</v>
      </c>
    </row>
    <row r="16" spans="1:15" ht="15">
      <c r="A16" s="474"/>
      <c r="B16" s="467" t="s">
        <v>374</v>
      </c>
      <c r="C16" s="475">
        <v>0</v>
      </c>
      <c r="D16" s="466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76">
        <f t="shared" si="7"/>
        <v>0</v>
      </c>
      <c r="M16" s="471">
        <f t="shared" si="8"/>
        <v>0</v>
      </c>
      <c r="N16" s="471">
        <f t="shared" si="9"/>
        <v>0</v>
      </c>
      <c r="O16" s="461">
        <f t="shared" si="14"/>
        <v>0</v>
      </c>
    </row>
    <row r="17" spans="1:18" ht="15">
      <c r="A17" s="474"/>
      <c r="B17" s="467" t="s">
        <v>374</v>
      </c>
      <c r="C17" s="475">
        <v>0</v>
      </c>
      <c r="D17" s="466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76">
        <f t="shared" si="7"/>
        <v>0</v>
      </c>
      <c r="M17" s="471">
        <f t="shared" si="8"/>
        <v>0</v>
      </c>
      <c r="N17" s="471">
        <f t="shared" si="9"/>
        <v>0</v>
      </c>
      <c r="O17" s="461">
        <f t="shared" si="14"/>
        <v>0</v>
      </c>
    </row>
    <row r="18" spans="1:18">
      <c r="A18" s="86" t="s">
        <v>375</v>
      </c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</row>
    <row r="19" spans="1:18" ht="15">
      <c r="A19" s="464"/>
      <c r="B19" s="467" t="s">
        <v>374</v>
      </c>
      <c r="C19" s="475">
        <v>0</v>
      </c>
      <c r="D19" s="466">
        <v>0</v>
      </c>
      <c r="E19" s="462">
        <f>+C19*D19</f>
        <v>0</v>
      </c>
      <c r="F19" s="461">
        <f t="shared" si="0"/>
        <v>0</v>
      </c>
      <c r="G19" s="461">
        <f t="shared" ref="G19" si="15">(D19+F19)*$G$4</f>
        <v>0</v>
      </c>
      <c r="H19" s="461">
        <f t="shared" ref="H19" si="16">(D19+F19+G19)*$H$4</f>
        <v>0</v>
      </c>
      <c r="I19" s="461">
        <f t="shared" si="1"/>
        <v>0</v>
      </c>
      <c r="J19" s="461">
        <f t="shared" ref="J19" si="17">D19+F19+G19+H19+I19</f>
        <v>0</v>
      </c>
      <c r="K19" s="461">
        <f t="shared" si="2"/>
        <v>0</v>
      </c>
      <c r="L19" s="476">
        <f t="shared" si="7"/>
        <v>0</v>
      </c>
      <c r="M19" s="471">
        <f t="shared" si="8"/>
        <v>0</v>
      </c>
      <c r="N19" s="471">
        <f t="shared" si="9"/>
        <v>0</v>
      </c>
      <c r="O19" s="461">
        <f t="shared" ref="O19" si="18">N19*C19</f>
        <v>0</v>
      </c>
    </row>
    <row r="20" spans="1:18">
      <c r="A20" s="140"/>
      <c r="B20" s="140"/>
      <c r="C20" s="12"/>
      <c r="D20" s="139"/>
      <c r="E20" s="19"/>
      <c r="F20" s="9"/>
      <c r="G20" s="9"/>
      <c r="H20" s="9"/>
      <c r="I20" s="9"/>
      <c r="J20" s="9"/>
      <c r="K20" s="9"/>
      <c r="L20" s="182"/>
      <c r="M20" s="9"/>
      <c r="N20" s="9"/>
      <c r="O20" s="9"/>
      <c r="Q20" s="4"/>
    </row>
    <row r="21" spans="1:18">
      <c r="A21" s="13"/>
      <c r="B21" s="13"/>
      <c r="C21" s="14"/>
      <c r="D21" s="15" t="s">
        <v>376</v>
      </c>
      <c r="E21" s="15">
        <f>SUM(E6:E19)</f>
        <v>0</v>
      </c>
      <c r="F21" s="16"/>
      <c r="G21" s="16"/>
      <c r="H21" s="16"/>
      <c r="I21" s="16"/>
      <c r="J21" s="17" t="s">
        <v>377</v>
      </c>
      <c r="K21" s="17"/>
      <c r="L21" s="15">
        <f>SUM(L6:L19)</f>
        <v>0</v>
      </c>
      <c r="M21" s="16"/>
      <c r="N21" s="17" t="s">
        <v>378</v>
      </c>
      <c r="O21" s="15">
        <f>SUM(O6:O19)</f>
        <v>0</v>
      </c>
      <c r="Q21" s="4"/>
      <c r="R21" s="3"/>
    </row>
    <row r="22" spans="1:18">
      <c r="A22" s="35"/>
      <c r="B22" s="35"/>
      <c r="C22" s="238"/>
      <c r="D22" s="16"/>
      <c r="E22" s="19"/>
      <c r="F22" s="16"/>
      <c r="G22" s="16"/>
      <c r="H22" s="16"/>
      <c r="I22" s="16"/>
      <c r="J22" s="16"/>
      <c r="K22" s="16"/>
      <c r="L22" s="16"/>
      <c r="M22" s="16"/>
      <c r="N22" s="20" t="s">
        <v>379</v>
      </c>
      <c r="O22" s="21">
        <f>O21-L21</f>
        <v>0</v>
      </c>
      <c r="Q22" s="4"/>
      <c r="R22" s="3"/>
    </row>
    <row r="23" spans="1:18">
      <c r="Q23" s="4"/>
      <c r="R23" s="3"/>
    </row>
    <row r="24" spans="1:18">
      <c r="A24" s="223" t="s">
        <v>368</v>
      </c>
      <c r="E24" s="3"/>
      <c r="Q24" s="4"/>
      <c r="R24" s="3"/>
    </row>
    <row r="25" spans="1:18">
      <c r="A25" s="116" t="s">
        <v>380</v>
      </c>
      <c r="B25" s="8"/>
      <c r="E25" s="3"/>
      <c r="Q25" s="4"/>
    </row>
    <row r="26" spans="1:18">
      <c r="A26" s="116" t="s">
        <v>374</v>
      </c>
      <c r="B26" s="48"/>
      <c r="C26" s="16"/>
      <c r="D26" s="16"/>
      <c r="O26" s="3"/>
    </row>
    <row r="27" spans="1:18">
      <c r="A27" s="48"/>
      <c r="B27" s="48"/>
      <c r="C27" s="16"/>
      <c r="D27" s="16"/>
      <c r="P27" s="3"/>
    </row>
  </sheetData>
  <mergeCells count="2">
    <mergeCell ref="A1:D1"/>
    <mergeCell ref="A3:E3"/>
  </mergeCells>
  <dataValidations count="1">
    <dataValidation type="list" allowBlank="1" showErrorMessage="1" errorTitle="Opción no válida" sqref="B19 B6:B11 B13:B17" xr:uid="{BD783A14-7A5E-4021-A64D-EF3FC4F45E14}">
      <formula1>$A$25:$A$26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6700B-3C54-4920-B067-E260DDFF2A18}">
  <sheetPr>
    <tabColor rgb="FF92D050"/>
  </sheetPr>
  <dimension ref="A1:R31"/>
  <sheetViews>
    <sheetView showGridLines="0" zoomScale="90" zoomScaleNormal="90" workbookViewId="0">
      <selection activeCell="D18" sqref="D18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21.85546875" customWidth="1"/>
    <col min="6" max="6" width="10.7109375" bestFit="1" customWidth="1"/>
    <col min="7" max="7" width="10.28515625" bestFit="1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6" ht="15.75">
      <c r="A1" s="568" t="s">
        <v>360</v>
      </c>
      <c r="B1" s="568"/>
      <c r="C1" s="568"/>
      <c r="D1" s="568"/>
      <c r="E1" s="364">
        <f>+Equipos!E1</f>
        <v>0</v>
      </c>
    </row>
    <row r="2" spans="1:16">
      <c r="A2" s="1"/>
      <c r="B2" s="1"/>
      <c r="C2" s="1"/>
      <c r="D2" s="1"/>
      <c r="E2" s="2"/>
    </row>
    <row r="3" spans="1:16">
      <c r="A3" s="571" t="s">
        <v>388</v>
      </c>
      <c r="B3" s="571"/>
      <c r="C3" s="571"/>
      <c r="D3" s="571"/>
      <c r="E3" s="571"/>
      <c r="F3" s="5" t="s">
        <v>362</v>
      </c>
      <c r="G3" s="5" t="s">
        <v>363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6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0.1</v>
      </c>
      <c r="G4" s="7">
        <v>0</v>
      </c>
      <c r="H4" s="6">
        <v>0.13</v>
      </c>
      <c r="I4" s="247">
        <v>0.14000000000000001</v>
      </c>
      <c r="J4" s="24" t="s">
        <v>371</v>
      </c>
      <c r="K4" s="253">
        <v>0.03</v>
      </c>
      <c r="L4" s="26" t="s">
        <v>382</v>
      </c>
      <c r="M4" s="27">
        <v>0.3</v>
      </c>
      <c r="N4" s="235" t="s">
        <v>372</v>
      </c>
      <c r="O4" s="25" t="s">
        <v>14</v>
      </c>
    </row>
    <row r="5" spans="1:16" s="16" customFormat="1">
      <c r="A5" s="86" t="s">
        <v>389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72"/>
      <c r="B6" s="467" t="s">
        <v>374</v>
      </c>
      <c r="C6" s="477">
        <v>0</v>
      </c>
      <c r="D6" s="478">
        <v>0</v>
      </c>
      <c r="E6" s="47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(J6+K6)*C6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72"/>
      <c r="B7" s="467" t="s">
        <v>374</v>
      </c>
      <c r="C7" s="477">
        <v>0</v>
      </c>
      <c r="D7" s="478">
        <v>0</v>
      </c>
      <c r="E7" s="479">
        <f>+D7*C7</f>
        <v>0</v>
      </c>
      <c r="F7" s="461">
        <f t="shared" ref="F7:F23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3" si="1">IF(B7="si",(D7+F7+G7+H7)*$I$4,0)</f>
        <v>0</v>
      </c>
      <c r="J7" s="471">
        <f>D7+F7+G7+H7+I7</f>
        <v>0</v>
      </c>
      <c r="K7" s="461">
        <f t="shared" ref="K7:K23" si="2">J7*$K$4</f>
        <v>0</v>
      </c>
      <c r="L7" s="463">
        <f t="shared" ref="L7:L23" si="3">(J7+K7)*C7</f>
        <v>0</v>
      </c>
      <c r="M7" s="461">
        <f t="shared" ref="M7:M23" si="4">(J7+K7)*$M$4/(1-$M$4)</f>
        <v>0</v>
      </c>
      <c r="N7" s="461">
        <f t="shared" ref="N7:N23" si="5">M7+J7+K7</f>
        <v>0</v>
      </c>
      <c r="O7" s="471">
        <f>N7*C7</f>
        <v>0</v>
      </c>
    </row>
    <row r="8" spans="1:16">
      <c r="A8" s="472"/>
      <c r="B8" s="467" t="s">
        <v>374</v>
      </c>
      <c r="C8" s="477">
        <v>0</v>
      </c>
      <c r="D8" s="478">
        <v>0</v>
      </c>
      <c r="E8" s="479">
        <f t="shared" ref="E8:E11" si="6">+D8*C8</f>
        <v>0</v>
      </c>
      <c r="F8" s="461">
        <f t="shared" si="0"/>
        <v>0</v>
      </c>
      <c r="G8" s="471">
        <f t="shared" ref="G8:G11" si="7">(D8+F8)*$G$4</f>
        <v>0</v>
      </c>
      <c r="H8" s="471">
        <f t="shared" ref="H8:H11" si="8">(D8+F8+G8)*$H$4</f>
        <v>0</v>
      </c>
      <c r="I8" s="461">
        <f t="shared" si="1"/>
        <v>0</v>
      </c>
      <c r="J8" s="471">
        <f t="shared" ref="J8:J11" si="9">D8+F8+G8+H8+I8</f>
        <v>0</v>
      </c>
      <c r="K8" s="461">
        <f t="shared" si="2"/>
        <v>0</v>
      </c>
      <c r="L8" s="463">
        <f t="shared" si="3"/>
        <v>0</v>
      </c>
      <c r="M8" s="461">
        <f t="shared" si="4"/>
        <v>0</v>
      </c>
      <c r="N8" s="461">
        <f t="shared" si="5"/>
        <v>0</v>
      </c>
      <c r="O8" s="471">
        <f t="shared" ref="O8:O11" si="10">N8*C8</f>
        <v>0</v>
      </c>
    </row>
    <row r="9" spans="1:16">
      <c r="A9" s="470"/>
      <c r="B9" s="467" t="s">
        <v>374</v>
      </c>
      <c r="C9" s="477">
        <v>0</v>
      </c>
      <c r="D9" s="478">
        <v>0</v>
      </c>
      <c r="E9" s="479">
        <f t="shared" si="6"/>
        <v>0</v>
      </c>
      <c r="F9" s="461">
        <f t="shared" si="0"/>
        <v>0</v>
      </c>
      <c r="G9" s="471">
        <f t="shared" si="7"/>
        <v>0</v>
      </c>
      <c r="H9" s="471">
        <f t="shared" si="8"/>
        <v>0</v>
      </c>
      <c r="I9" s="461">
        <f t="shared" si="1"/>
        <v>0</v>
      </c>
      <c r="J9" s="471">
        <f t="shared" si="9"/>
        <v>0</v>
      </c>
      <c r="K9" s="461">
        <f t="shared" si="2"/>
        <v>0</v>
      </c>
      <c r="L9" s="463">
        <f t="shared" si="3"/>
        <v>0</v>
      </c>
      <c r="M9" s="461">
        <f t="shared" si="4"/>
        <v>0</v>
      </c>
      <c r="N9" s="461">
        <f t="shared" si="5"/>
        <v>0</v>
      </c>
      <c r="O9" s="471">
        <f t="shared" si="10"/>
        <v>0</v>
      </c>
    </row>
    <row r="10" spans="1:16">
      <c r="A10" s="472"/>
      <c r="B10" s="467" t="s">
        <v>374</v>
      </c>
      <c r="C10" s="477">
        <v>0</v>
      </c>
      <c r="D10" s="478">
        <v>0</v>
      </c>
      <c r="E10" s="479">
        <f t="shared" si="6"/>
        <v>0</v>
      </c>
      <c r="F10" s="461">
        <f t="shared" si="0"/>
        <v>0</v>
      </c>
      <c r="G10" s="471">
        <f t="shared" si="7"/>
        <v>0</v>
      </c>
      <c r="H10" s="471">
        <f t="shared" si="8"/>
        <v>0</v>
      </c>
      <c r="I10" s="461">
        <f t="shared" si="1"/>
        <v>0</v>
      </c>
      <c r="J10" s="471">
        <f t="shared" si="9"/>
        <v>0</v>
      </c>
      <c r="K10" s="461">
        <f t="shared" si="2"/>
        <v>0</v>
      </c>
      <c r="L10" s="463">
        <f t="shared" si="3"/>
        <v>0</v>
      </c>
      <c r="M10" s="461">
        <f t="shared" si="4"/>
        <v>0</v>
      </c>
      <c r="N10" s="461">
        <f t="shared" si="5"/>
        <v>0</v>
      </c>
      <c r="O10" s="471">
        <f t="shared" si="10"/>
        <v>0</v>
      </c>
    </row>
    <row r="11" spans="1:16">
      <c r="A11" s="472"/>
      <c r="B11" s="467" t="s">
        <v>374</v>
      </c>
      <c r="C11" s="477">
        <v>0</v>
      </c>
      <c r="D11" s="478">
        <v>0</v>
      </c>
      <c r="E11" s="479">
        <f t="shared" si="6"/>
        <v>0</v>
      </c>
      <c r="F11" s="461">
        <f t="shared" si="0"/>
        <v>0</v>
      </c>
      <c r="G11" s="471">
        <f t="shared" si="7"/>
        <v>0</v>
      </c>
      <c r="H11" s="471">
        <f t="shared" si="8"/>
        <v>0</v>
      </c>
      <c r="I11" s="461">
        <f t="shared" si="1"/>
        <v>0</v>
      </c>
      <c r="J11" s="471">
        <f t="shared" si="9"/>
        <v>0</v>
      </c>
      <c r="K11" s="461">
        <f t="shared" si="2"/>
        <v>0</v>
      </c>
      <c r="L11" s="463">
        <f t="shared" si="3"/>
        <v>0</v>
      </c>
      <c r="M11" s="461">
        <f t="shared" si="4"/>
        <v>0</v>
      </c>
      <c r="N11" s="461">
        <f t="shared" si="5"/>
        <v>0</v>
      </c>
      <c r="O11" s="471">
        <f t="shared" si="10"/>
        <v>0</v>
      </c>
    </row>
    <row r="12" spans="1:16">
      <c r="A12" s="87" t="s">
        <v>383</v>
      </c>
      <c r="B12" s="81"/>
      <c r="C12" s="81"/>
      <c r="D12" s="81"/>
      <c r="E12" s="81"/>
      <c r="F12" s="83"/>
      <c r="G12" s="83"/>
      <c r="H12" s="82"/>
      <c r="I12" s="82"/>
      <c r="J12" s="84"/>
      <c r="K12" s="84"/>
      <c r="L12" s="84"/>
      <c r="M12" s="84"/>
      <c r="N12" s="84"/>
      <c r="O12" s="84"/>
    </row>
    <row r="13" spans="1:16">
      <c r="A13" s="467"/>
      <c r="B13" s="467" t="s">
        <v>374</v>
      </c>
      <c r="C13" s="477">
        <v>0</v>
      </c>
      <c r="D13" s="480">
        <v>0</v>
      </c>
      <c r="E13" s="462">
        <f t="shared" ref="E13:E21" si="11">+C13*D13</f>
        <v>0</v>
      </c>
      <c r="F13" s="461">
        <f t="shared" ref="F13" si="12">IF(B13="si",D13*$F$4,0)</f>
        <v>0</v>
      </c>
      <c r="G13" s="461">
        <f t="shared" ref="G13" si="13">(D13+F13)*$G$4</f>
        <v>0</v>
      </c>
      <c r="H13" s="461">
        <f t="shared" ref="H13" si="14">(D13+F13+G13)*$H$4</f>
        <v>0</v>
      </c>
      <c r="I13" s="461">
        <f t="shared" ref="I13" si="15">IF(B13="si",(D13+F13+G13+H13)*$I$4,0)</f>
        <v>0</v>
      </c>
      <c r="J13" s="461">
        <f t="shared" ref="J13" si="16">D13+F13+G13+H13+I13</f>
        <v>0</v>
      </c>
      <c r="K13" s="461">
        <f t="shared" ref="K13" si="17">J13*$K$4</f>
        <v>0</v>
      </c>
      <c r="L13" s="463">
        <f t="shared" ref="L13" si="18">(J13+K13)*C13</f>
        <v>0</v>
      </c>
      <c r="M13" s="461">
        <f t="shared" si="4"/>
        <v>0</v>
      </c>
      <c r="N13" s="461">
        <f t="shared" si="5"/>
        <v>0</v>
      </c>
      <c r="O13" s="461">
        <f t="shared" ref="O13" si="19">N13*C13</f>
        <v>0</v>
      </c>
    </row>
    <row r="14" spans="1:16">
      <c r="A14" s="470"/>
      <c r="B14" s="467" t="s">
        <v>374</v>
      </c>
      <c r="C14" s="477">
        <v>0</v>
      </c>
      <c r="D14" s="478">
        <v>0</v>
      </c>
      <c r="E14" s="462">
        <f t="shared" si="11"/>
        <v>0</v>
      </c>
      <c r="F14" s="461">
        <f t="shared" si="0"/>
        <v>0</v>
      </c>
      <c r="G14" s="461">
        <f t="shared" ref="G14:G17" si="20">(D14+F14)*$G$4</f>
        <v>0</v>
      </c>
      <c r="H14" s="461">
        <f t="shared" ref="H14:H17" si="21">(D14+F14+G14)*$H$4</f>
        <v>0</v>
      </c>
      <c r="I14" s="461">
        <f t="shared" si="1"/>
        <v>0</v>
      </c>
      <c r="J14" s="461">
        <f t="shared" ref="J14:J17" si="22">D14+F14+G14+H14+I14</f>
        <v>0</v>
      </c>
      <c r="K14" s="461">
        <f t="shared" si="2"/>
        <v>0</v>
      </c>
      <c r="L14" s="463">
        <f t="shared" si="3"/>
        <v>0</v>
      </c>
      <c r="M14" s="461">
        <f t="shared" si="4"/>
        <v>0</v>
      </c>
      <c r="N14" s="461">
        <f t="shared" si="5"/>
        <v>0</v>
      </c>
      <c r="O14" s="461">
        <f t="shared" ref="O14:O17" si="23">N14*C14</f>
        <v>0</v>
      </c>
    </row>
    <row r="15" spans="1:16">
      <c r="A15" s="473"/>
      <c r="B15" s="467" t="s">
        <v>374</v>
      </c>
      <c r="C15" s="477">
        <v>0</v>
      </c>
      <c r="D15" s="480">
        <v>0</v>
      </c>
      <c r="E15" s="462">
        <f t="shared" si="11"/>
        <v>0</v>
      </c>
      <c r="F15" s="461">
        <f t="shared" si="0"/>
        <v>0</v>
      </c>
      <c r="G15" s="461">
        <f t="shared" si="20"/>
        <v>0</v>
      </c>
      <c r="H15" s="461">
        <f t="shared" si="21"/>
        <v>0</v>
      </c>
      <c r="I15" s="461">
        <f t="shared" si="1"/>
        <v>0</v>
      </c>
      <c r="J15" s="461">
        <f t="shared" si="22"/>
        <v>0</v>
      </c>
      <c r="K15" s="461">
        <f t="shared" si="2"/>
        <v>0</v>
      </c>
      <c r="L15" s="463">
        <f t="shared" si="3"/>
        <v>0</v>
      </c>
      <c r="M15" s="461">
        <f t="shared" si="4"/>
        <v>0</v>
      </c>
      <c r="N15" s="461">
        <f t="shared" si="5"/>
        <v>0</v>
      </c>
      <c r="O15" s="461">
        <f t="shared" si="23"/>
        <v>0</v>
      </c>
    </row>
    <row r="16" spans="1:16">
      <c r="A16" s="473"/>
      <c r="B16" s="467" t="s">
        <v>374</v>
      </c>
      <c r="C16" s="477">
        <v>0</v>
      </c>
      <c r="D16" s="480">
        <v>0</v>
      </c>
      <c r="E16" s="462">
        <f t="shared" si="11"/>
        <v>0</v>
      </c>
      <c r="F16" s="461">
        <f t="shared" si="0"/>
        <v>0</v>
      </c>
      <c r="G16" s="461">
        <f t="shared" si="20"/>
        <v>0</v>
      </c>
      <c r="H16" s="461">
        <f t="shared" si="21"/>
        <v>0</v>
      </c>
      <c r="I16" s="461">
        <f t="shared" si="1"/>
        <v>0</v>
      </c>
      <c r="J16" s="461">
        <f t="shared" si="22"/>
        <v>0</v>
      </c>
      <c r="K16" s="461">
        <f t="shared" si="2"/>
        <v>0</v>
      </c>
      <c r="L16" s="463">
        <f t="shared" si="3"/>
        <v>0</v>
      </c>
      <c r="M16" s="461">
        <f t="shared" si="4"/>
        <v>0</v>
      </c>
      <c r="N16" s="461">
        <f t="shared" si="5"/>
        <v>0</v>
      </c>
      <c r="O16" s="461">
        <f t="shared" si="23"/>
        <v>0</v>
      </c>
    </row>
    <row r="17" spans="1:18">
      <c r="A17" s="473"/>
      <c r="B17" s="467" t="s">
        <v>374</v>
      </c>
      <c r="C17" s="477">
        <v>0</v>
      </c>
      <c r="D17" s="480">
        <v>0</v>
      </c>
      <c r="E17" s="462">
        <f t="shared" si="11"/>
        <v>0</v>
      </c>
      <c r="F17" s="461">
        <f t="shared" si="0"/>
        <v>0</v>
      </c>
      <c r="G17" s="461">
        <f t="shared" si="20"/>
        <v>0</v>
      </c>
      <c r="H17" s="461">
        <f t="shared" si="21"/>
        <v>0</v>
      </c>
      <c r="I17" s="461">
        <f t="shared" si="1"/>
        <v>0</v>
      </c>
      <c r="J17" s="461">
        <f t="shared" si="22"/>
        <v>0</v>
      </c>
      <c r="K17" s="461">
        <f t="shared" si="2"/>
        <v>0</v>
      </c>
      <c r="L17" s="463">
        <f t="shared" si="3"/>
        <v>0</v>
      </c>
      <c r="M17" s="461">
        <f t="shared" si="4"/>
        <v>0</v>
      </c>
      <c r="N17" s="461">
        <f t="shared" si="5"/>
        <v>0</v>
      </c>
      <c r="O17" s="461">
        <f t="shared" si="23"/>
        <v>0</v>
      </c>
    </row>
    <row r="18" spans="1:18">
      <c r="A18" s="473"/>
      <c r="B18" s="467" t="s">
        <v>374</v>
      </c>
      <c r="C18" s="477">
        <v>0</v>
      </c>
      <c r="D18" s="480">
        <v>0</v>
      </c>
      <c r="E18" s="462">
        <f t="shared" si="11"/>
        <v>0</v>
      </c>
      <c r="F18" s="461">
        <f t="shared" ref="F18:F20" si="24">IF(B18="si",D18*$F$4,0)</f>
        <v>0</v>
      </c>
      <c r="G18" s="461">
        <f t="shared" ref="G18:G20" si="25">(D18+F18)*$G$4</f>
        <v>0</v>
      </c>
      <c r="H18" s="461">
        <f t="shared" ref="H18:H20" si="26">(D18+F18+G18)*$H$4</f>
        <v>0</v>
      </c>
      <c r="I18" s="461">
        <f t="shared" ref="I18:I20" si="27">IF(B18="si",(D18+F18+G18+H18)*$I$4,0)</f>
        <v>0</v>
      </c>
      <c r="J18" s="461">
        <f t="shared" ref="J18:J20" si="28">D18+F18+G18+H18+I18</f>
        <v>0</v>
      </c>
      <c r="K18" s="461">
        <f t="shared" ref="K18:K20" si="29">J18*$K$4</f>
        <v>0</v>
      </c>
      <c r="L18" s="463">
        <f t="shared" ref="L18:L20" si="30">(J18+K18)*C18</f>
        <v>0</v>
      </c>
      <c r="M18" s="461">
        <f t="shared" si="4"/>
        <v>0</v>
      </c>
      <c r="N18" s="461">
        <f t="shared" si="5"/>
        <v>0</v>
      </c>
      <c r="O18" s="461">
        <f t="shared" ref="O18:O19" si="31">N18*C18</f>
        <v>0</v>
      </c>
    </row>
    <row r="19" spans="1:18">
      <c r="A19" s="473"/>
      <c r="B19" s="467" t="s">
        <v>374</v>
      </c>
      <c r="C19" s="477">
        <v>0</v>
      </c>
      <c r="D19" s="480">
        <v>0</v>
      </c>
      <c r="E19" s="462">
        <f t="shared" si="11"/>
        <v>0</v>
      </c>
      <c r="F19" s="461">
        <f t="shared" si="24"/>
        <v>0</v>
      </c>
      <c r="G19" s="461">
        <f t="shared" si="25"/>
        <v>0</v>
      </c>
      <c r="H19" s="461">
        <f t="shared" si="26"/>
        <v>0</v>
      </c>
      <c r="I19" s="461">
        <f t="shared" si="27"/>
        <v>0</v>
      </c>
      <c r="J19" s="461">
        <f t="shared" si="28"/>
        <v>0</v>
      </c>
      <c r="K19" s="461">
        <f t="shared" si="29"/>
        <v>0</v>
      </c>
      <c r="L19" s="463">
        <f t="shared" si="30"/>
        <v>0</v>
      </c>
      <c r="M19" s="461">
        <f t="shared" si="4"/>
        <v>0</v>
      </c>
      <c r="N19" s="461">
        <f t="shared" si="5"/>
        <v>0</v>
      </c>
      <c r="O19" s="461">
        <f t="shared" si="31"/>
        <v>0</v>
      </c>
    </row>
    <row r="20" spans="1:18">
      <c r="A20" s="473"/>
      <c r="B20" s="467" t="s">
        <v>374</v>
      </c>
      <c r="C20" s="477">
        <v>0</v>
      </c>
      <c r="D20" s="480">
        <v>0</v>
      </c>
      <c r="E20" s="462">
        <f t="shared" si="11"/>
        <v>0</v>
      </c>
      <c r="F20" s="461">
        <f t="shared" si="24"/>
        <v>0</v>
      </c>
      <c r="G20" s="461">
        <f t="shared" si="25"/>
        <v>0</v>
      </c>
      <c r="H20" s="461">
        <f t="shared" si="26"/>
        <v>0</v>
      </c>
      <c r="I20" s="461">
        <f t="shared" si="27"/>
        <v>0</v>
      </c>
      <c r="J20" s="461">
        <f t="shared" si="28"/>
        <v>0</v>
      </c>
      <c r="K20" s="461">
        <f t="shared" si="29"/>
        <v>0</v>
      </c>
      <c r="L20" s="463">
        <f t="shared" si="30"/>
        <v>0</v>
      </c>
      <c r="M20" s="461">
        <f t="shared" si="4"/>
        <v>0</v>
      </c>
      <c r="N20" s="461">
        <f t="shared" si="5"/>
        <v>0</v>
      </c>
      <c r="O20" s="461">
        <f>N20*C20</f>
        <v>0</v>
      </c>
    </row>
    <row r="21" spans="1:18">
      <c r="A21" s="473"/>
      <c r="B21" s="467" t="s">
        <v>374</v>
      </c>
      <c r="C21" s="477">
        <v>0</v>
      </c>
      <c r="D21" s="480">
        <v>0</v>
      </c>
      <c r="E21" s="462">
        <f t="shared" si="11"/>
        <v>0</v>
      </c>
      <c r="F21" s="461">
        <f t="shared" ref="F21" si="32">IF(B21="si",D21*$F$4,0)</f>
        <v>0</v>
      </c>
      <c r="G21" s="461">
        <f t="shared" ref="G21" si="33">(D21+F21)*$G$4</f>
        <v>0</v>
      </c>
      <c r="H21" s="461">
        <f t="shared" ref="H21" si="34">(D21+F21+G21)*$H$4</f>
        <v>0</v>
      </c>
      <c r="I21" s="461">
        <f t="shared" ref="I21" si="35">IF(B21="si",(D21+F21+G21+H21)*$I$4,0)</f>
        <v>0</v>
      </c>
      <c r="J21" s="461">
        <f t="shared" ref="J21" si="36">D21+F21+G21+H21+I21</f>
        <v>0</v>
      </c>
      <c r="K21" s="461">
        <f t="shared" ref="K21" si="37">J21*$K$4</f>
        <v>0</v>
      </c>
      <c r="L21" s="463">
        <f t="shared" ref="L21" si="38">(J21+K21)*C21</f>
        <v>0</v>
      </c>
      <c r="M21" s="461">
        <f t="shared" si="4"/>
        <v>0</v>
      </c>
      <c r="N21" s="461">
        <f t="shared" si="5"/>
        <v>0</v>
      </c>
      <c r="O21" s="461">
        <f t="shared" ref="O21" si="39">N21*C21</f>
        <v>0</v>
      </c>
    </row>
    <row r="22" spans="1:18">
      <c r="A22" s="86" t="s">
        <v>375</v>
      </c>
      <c r="B22" s="81"/>
      <c r="C22" s="81"/>
      <c r="D22" s="81"/>
      <c r="E22" s="81"/>
      <c r="F22" s="141"/>
      <c r="G22" s="141"/>
      <c r="H22" s="85"/>
      <c r="I22" s="85"/>
      <c r="J22" s="84"/>
      <c r="K22" s="84"/>
      <c r="L22" s="84"/>
      <c r="M22" s="84"/>
      <c r="N22" s="84"/>
      <c r="O22" s="84"/>
    </row>
    <row r="23" spans="1:18">
      <c r="A23" s="464"/>
      <c r="B23" s="467" t="s">
        <v>374</v>
      </c>
      <c r="C23" s="477">
        <v>0</v>
      </c>
      <c r="D23" s="461">
        <v>0</v>
      </c>
      <c r="E23" s="462">
        <f>+C23*D23</f>
        <v>0</v>
      </c>
      <c r="F23" s="461">
        <f t="shared" si="0"/>
        <v>0</v>
      </c>
      <c r="G23" s="461">
        <f t="shared" ref="G23" si="40">(D23+F23)*$G$4</f>
        <v>0</v>
      </c>
      <c r="H23" s="461">
        <f t="shared" ref="H23" si="41">(D23+F23+G23)*$H$4</f>
        <v>0</v>
      </c>
      <c r="I23" s="461">
        <f t="shared" si="1"/>
        <v>0</v>
      </c>
      <c r="J23" s="461">
        <f t="shared" ref="J23" si="42">D23+F23+G23+H23+I23</f>
        <v>0</v>
      </c>
      <c r="K23" s="461">
        <f t="shared" si="2"/>
        <v>0</v>
      </c>
      <c r="L23" s="463">
        <f t="shared" si="3"/>
        <v>0</v>
      </c>
      <c r="M23" s="461">
        <f t="shared" si="4"/>
        <v>0</v>
      </c>
      <c r="N23" s="461">
        <f t="shared" si="5"/>
        <v>0</v>
      </c>
      <c r="O23" s="461">
        <f t="shared" ref="O23" si="43">N23*C23</f>
        <v>0</v>
      </c>
    </row>
    <row r="24" spans="1:18">
      <c r="A24" s="140"/>
      <c r="B24" s="140"/>
      <c r="C24" s="12"/>
      <c r="D24" s="139"/>
      <c r="E24" s="19"/>
      <c r="F24" s="9"/>
      <c r="G24" s="9"/>
      <c r="H24" s="9"/>
      <c r="I24" s="9"/>
      <c r="J24" s="9"/>
      <c r="K24" s="9"/>
      <c r="L24" s="182"/>
      <c r="M24" s="9"/>
      <c r="N24" s="9"/>
      <c r="O24" s="9"/>
      <c r="Q24" s="4"/>
    </row>
    <row r="25" spans="1:18">
      <c r="A25" s="13"/>
      <c r="B25" s="13"/>
      <c r="C25" s="14"/>
      <c r="D25" s="15" t="s">
        <v>376</v>
      </c>
      <c r="E25" s="15">
        <f>SUM(E6:E23)</f>
        <v>0</v>
      </c>
      <c r="F25" s="16"/>
      <c r="G25" s="16"/>
      <c r="H25" s="16"/>
      <c r="I25" s="16"/>
      <c r="J25" s="17" t="s">
        <v>377</v>
      </c>
      <c r="K25" s="17"/>
      <c r="L25" s="15">
        <f>SUM(L6:L23)</f>
        <v>0</v>
      </c>
      <c r="M25" s="16"/>
      <c r="N25" s="17" t="s">
        <v>378</v>
      </c>
      <c r="O25" s="15">
        <f>SUM(O6:O23)</f>
        <v>0</v>
      </c>
      <c r="Q25" s="4"/>
      <c r="R25" s="3"/>
    </row>
    <row r="26" spans="1:18">
      <c r="A26" s="35"/>
      <c r="B26" s="35"/>
      <c r="C26" s="238"/>
      <c r="D26" s="16"/>
      <c r="E26" s="19"/>
      <c r="F26" s="16"/>
      <c r="G26" s="16"/>
      <c r="H26" s="16"/>
      <c r="I26" s="16"/>
      <c r="J26" s="16"/>
      <c r="K26" s="16"/>
      <c r="L26" s="16"/>
      <c r="M26" s="16"/>
      <c r="N26" s="20" t="s">
        <v>379</v>
      </c>
      <c r="O26" s="21">
        <f>O25-L25</f>
        <v>0</v>
      </c>
      <c r="Q26" s="4"/>
      <c r="R26" s="3"/>
    </row>
    <row r="27" spans="1:18">
      <c r="Q27" s="4"/>
      <c r="R27" s="3"/>
    </row>
    <row r="28" spans="1:18">
      <c r="A28" s="223" t="s">
        <v>368</v>
      </c>
      <c r="E28" s="3"/>
      <c r="Q28" s="4"/>
      <c r="R28" s="3"/>
    </row>
    <row r="29" spans="1:18">
      <c r="A29" s="116" t="s">
        <v>380</v>
      </c>
      <c r="B29" s="8"/>
      <c r="E29" s="3"/>
      <c r="Q29" s="4"/>
    </row>
    <row r="30" spans="1:18">
      <c r="A30" s="116" t="s">
        <v>374</v>
      </c>
      <c r="B30" s="48"/>
      <c r="C30" s="16"/>
      <c r="D30" s="16"/>
      <c r="O30" s="3"/>
    </row>
    <row r="31" spans="1:18">
      <c r="A31" s="48"/>
      <c r="B31" s="48"/>
      <c r="C31" s="16"/>
      <c r="D31" s="16"/>
      <c r="P31" s="3"/>
    </row>
  </sheetData>
  <mergeCells count="2">
    <mergeCell ref="A1:D1"/>
    <mergeCell ref="A3:E3"/>
  </mergeCells>
  <dataValidations count="1">
    <dataValidation type="list" allowBlank="1" showErrorMessage="1" errorTitle="Opción no válida" sqref="B23 B6:B11 B13:B21" xr:uid="{7ABEC504-B2B2-4397-B785-A46AD11F19D5}">
      <formula1>$A$29:$A$30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A435-2985-4964-A450-99DE283AAE7C}">
  <sheetPr>
    <tabColor theme="3" tint="-0.249977111117893"/>
  </sheetPr>
  <dimension ref="A1:R52"/>
  <sheetViews>
    <sheetView showGridLines="0" zoomScaleNormal="100" workbookViewId="0">
      <selection activeCell="A20" sqref="A20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16.28515625" customWidth="1"/>
    <col min="6" max="6" width="10.7109375" bestFit="1" customWidth="1"/>
    <col min="7" max="7" width="10.28515625" bestFit="1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6" ht="15.75">
      <c r="A1" s="568" t="s">
        <v>360</v>
      </c>
      <c r="B1" s="568"/>
      <c r="C1" s="568"/>
      <c r="D1" s="568"/>
      <c r="E1" s="364"/>
    </row>
    <row r="2" spans="1:16">
      <c r="A2" s="1"/>
      <c r="B2" s="1"/>
      <c r="C2" s="1"/>
      <c r="D2" s="1"/>
      <c r="E2" s="2"/>
    </row>
    <row r="3" spans="1:16">
      <c r="A3" s="571" t="s">
        <v>113</v>
      </c>
      <c r="B3" s="571"/>
      <c r="C3" s="571"/>
      <c r="D3" s="571"/>
      <c r="E3" s="571"/>
      <c r="F3" s="5" t="s">
        <v>362</v>
      </c>
      <c r="G3" s="5" t="s">
        <v>363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6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0.1</v>
      </c>
      <c r="G4" s="7">
        <v>0</v>
      </c>
      <c r="H4" s="6">
        <v>0.13</v>
      </c>
      <c r="I4" s="247">
        <v>0.14000000000000001</v>
      </c>
      <c r="J4" s="24" t="s">
        <v>371</v>
      </c>
      <c r="K4" s="253">
        <v>0.03</v>
      </c>
      <c r="L4" s="26" t="s">
        <v>382</v>
      </c>
      <c r="M4" s="27">
        <v>0.3</v>
      </c>
      <c r="N4" s="235" t="s">
        <v>372</v>
      </c>
      <c r="O4" s="25" t="s">
        <v>14</v>
      </c>
    </row>
    <row r="5" spans="1:16" s="16" customFormat="1">
      <c r="A5" s="86" t="s">
        <v>373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 t="s">
        <v>390</v>
      </c>
      <c r="B6" s="467" t="s">
        <v>380</v>
      </c>
      <c r="C6" s="481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(J6+K6)*C6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 t="s">
        <v>391</v>
      </c>
      <c r="B7" s="467" t="s">
        <v>380</v>
      </c>
      <c r="C7" s="481">
        <v>0</v>
      </c>
      <c r="D7" s="466">
        <v>0</v>
      </c>
      <c r="E7" s="469">
        <f>+D7*C7</f>
        <v>0</v>
      </c>
      <c r="F7" s="461">
        <f t="shared" ref="F7:F44" si="0">IF(B7="si",D7*$F$4,0)</f>
        <v>0</v>
      </c>
      <c r="G7" s="471">
        <f>(D7+F7)*$G$4</f>
        <v>0</v>
      </c>
      <c r="H7" s="461">
        <f t="shared" ref="H7:H44" si="1">(D7+F7+G7)*$H$4</f>
        <v>0</v>
      </c>
      <c r="I7" s="461">
        <f t="shared" ref="I7:I44" si="2">IF(B7="si",(D7+F7+G7+H7)*$I$4,0)</f>
        <v>0</v>
      </c>
      <c r="J7" s="471">
        <f>D7+F7+G7+H7+I7</f>
        <v>0</v>
      </c>
      <c r="K7" s="461">
        <f t="shared" ref="K7:K8" si="3">J7*$K$4</f>
        <v>0</v>
      </c>
      <c r="L7" s="463">
        <f t="shared" ref="L7:L8" si="4">(J7+K7)*C7</f>
        <v>0</v>
      </c>
      <c r="M7" s="461">
        <f t="shared" ref="M7:M8" si="5">(J7+K7)*$M$4/(1-$M$4)</f>
        <v>0</v>
      </c>
      <c r="N7" s="461">
        <f t="shared" ref="N7:N44" si="6">M7+J7+K7</f>
        <v>0</v>
      </c>
      <c r="O7" s="471">
        <f>N7*C7</f>
        <v>0</v>
      </c>
    </row>
    <row r="8" spans="1:16">
      <c r="A8" s="470" t="s">
        <v>392</v>
      </c>
      <c r="B8" s="467" t="s">
        <v>380</v>
      </c>
      <c r="C8" s="481">
        <v>0</v>
      </c>
      <c r="D8" s="466">
        <v>0</v>
      </c>
      <c r="E8" s="469">
        <f t="shared" ref="E8:E13" si="7">+D8*C8</f>
        <v>0</v>
      </c>
      <c r="F8" s="461">
        <f t="shared" si="0"/>
        <v>0</v>
      </c>
      <c r="G8" s="471">
        <f t="shared" ref="G8:G13" si="8">(D8+F8)*$G$4</f>
        <v>0</v>
      </c>
      <c r="H8" s="461">
        <f t="shared" si="1"/>
        <v>0</v>
      </c>
      <c r="I8" s="461">
        <f t="shared" si="2"/>
        <v>0</v>
      </c>
      <c r="J8" s="471">
        <f t="shared" ref="J8" si="9">D8+F8+G8+H8+I8</f>
        <v>0</v>
      </c>
      <c r="K8" s="461">
        <f t="shared" si="3"/>
        <v>0</v>
      </c>
      <c r="L8" s="463">
        <f t="shared" si="4"/>
        <v>0</v>
      </c>
      <c r="M8" s="461">
        <f t="shared" si="5"/>
        <v>0</v>
      </c>
      <c r="N8" s="461">
        <f t="shared" si="6"/>
        <v>0</v>
      </c>
      <c r="O8" s="471">
        <f t="shared" ref="O8" si="10">N8*C8</f>
        <v>0</v>
      </c>
    </row>
    <row r="9" spans="1:16">
      <c r="A9" s="470" t="s">
        <v>393</v>
      </c>
      <c r="B9" s="467" t="s">
        <v>380</v>
      </c>
      <c r="C9" s="481">
        <v>0</v>
      </c>
      <c r="D9" s="466">
        <v>0</v>
      </c>
      <c r="E9" s="469">
        <f t="shared" si="7"/>
        <v>0</v>
      </c>
      <c r="F9" s="461">
        <f t="shared" si="0"/>
        <v>0</v>
      </c>
      <c r="G9" s="471"/>
      <c r="H9" s="461">
        <f t="shared" si="1"/>
        <v>0</v>
      </c>
      <c r="I9" s="461">
        <f t="shared" si="2"/>
        <v>0</v>
      </c>
      <c r="J9" s="471">
        <f t="shared" ref="J9:J44" si="11">D9+F9+G9+H9+I9</f>
        <v>0</v>
      </c>
      <c r="K9" s="461">
        <f t="shared" ref="K9:K44" si="12">J9*$K$4</f>
        <v>0</v>
      </c>
      <c r="L9" s="463">
        <f t="shared" ref="L9:L44" si="13">(J9+K9)*C9</f>
        <v>0</v>
      </c>
      <c r="M9" s="461">
        <f t="shared" ref="M9:M44" si="14">(J9+K9)*$M$4/(1-$M$4)</f>
        <v>0</v>
      </c>
      <c r="N9" s="461">
        <f t="shared" si="6"/>
        <v>0</v>
      </c>
      <c r="O9" s="471">
        <f t="shared" ref="O9:O44" si="15">N9*C9</f>
        <v>0</v>
      </c>
    </row>
    <row r="10" spans="1:16">
      <c r="A10" s="470" t="s">
        <v>394</v>
      </c>
      <c r="B10" s="467" t="s">
        <v>380</v>
      </c>
      <c r="C10" s="481">
        <v>0</v>
      </c>
      <c r="D10" s="466">
        <v>0</v>
      </c>
      <c r="E10" s="469">
        <f t="shared" si="7"/>
        <v>0</v>
      </c>
      <c r="F10" s="461">
        <f t="shared" si="0"/>
        <v>0</v>
      </c>
      <c r="G10" s="471">
        <f t="shared" si="8"/>
        <v>0</v>
      </c>
      <c r="H10" s="461">
        <f t="shared" si="1"/>
        <v>0</v>
      </c>
      <c r="I10" s="461">
        <f t="shared" si="2"/>
        <v>0</v>
      </c>
      <c r="J10" s="471">
        <f t="shared" si="11"/>
        <v>0</v>
      </c>
      <c r="K10" s="461">
        <f t="shared" si="12"/>
        <v>0</v>
      </c>
      <c r="L10" s="463">
        <f t="shared" si="13"/>
        <v>0</v>
      </c>
      <c r="M10" s="461">
        <f t="shared" si="14"/>
        <v>0</v>
      </c>
      <c r="N10" s="461">
        <f t="shared" si="6"/>
        <v>0</v>
      </c>
      <c r="O10" s="471">
        <f t="shared" si="15"/>
        <v>0</v>
      </c>
    </row>
    <row r="11" spans="1:16">
      <c r="A11" s="470" t="s">
        <v>395</v>
      </c>
      <c r="B11" s="467" t="s">
        <v>380</v>
      </c>
      <c r="C11" s="481">
        <v>0</v>
      </c>
      <c r="D11" s="466">
        <v>0</v>
      </c>
      <c r="E11" s="469">
        <f t="shared" si="7"/>
        <v>0</v>
      </c>
      <c r="F11" s="461">
        <f t="shared" si="0"/>
        <v>0</v>
      </c>
      <c r="G11" s="471">
        <f t="shared" si="8"/>
        <v>0</v>
      </c>
      <c r="H11" s="461">
        <f t="shared" si="1"/>
        <v>0</v>
      </c>
      <c r="I11" s="461">
        <f t="shared" si="2"/>
        <v>0</v>
      </c>
      <c r="J11" s="471">
        <f t="shared" si="11"/>
        <v>0</v>
      </c>
      <c r="K11" s="461">
        <f t="shared" si="12"/>
        <v>0</v>
      </c>
      <c r="L11" s="463">
        <f t="shared" si="13"/>
        <v>0</v>
      </c>
      <c r="M11" s="461">
        <f t="shared" si="14"/>
        <v>0</v>
      </c>
      <c r="N11" s="461">
        <f t="shared" si="6"/>
        <v>0</v>
      </c>
      <c r="O11" s="471">
        <f t="shared" si="15"/>
        <v>0</v>
      </c>
    </row>
    <row r="12" spans="1:16">
      <c r="A12" s="472" t="s">
        <v>396</v>
      </c>
      <c r="B12" s="467" t="s">
        <v>380</v>
      </c>
      <c r="C12" s="481">
        <v>0</v>
      </c>
      <c r="D12" s="466">
        <v>0</v>
      </c>
      <c r="E12" s="469">
        <f t="shared" si="7"/>
        <v>0</v>
      </c>
      <c r="F12" s="461">
        <f t="shared" si="0"/>
        <v>0</v>
      </c>
      <c r="G12" s="471">
        <f t="shared" si="8"/>
        <v>0</v>
      </c>
      <c r="H12" s="461">
        <f t="shared" si="1"/>
        <v>0</v>
      </c>
      <c r="I12" s="461">
        <f t="shared" si="2"/>
        <v>0</v>
      </c>
      <c r="J12" s="471">
        <f t="shared" si="11"/>
        <v>0</v>
      </c>
      <c r="K12" s="461">
        <f t="shared" si="12"/>
        <v>0</v>
      </c>
      <c r="L12" s="463">
        <f t="shared" si="13"/>
        <v>0</v>
      </c>
      <c r="M12" s="461">
        <f t="shared" si="14"/>
        <v>0</v>
      </c>
      <c r="N12" s="461">
        <f t="shared" si="6"/>
        <v>0</v>
      </c>
      <c r="O12" s="471">
        <f t="shared" si="15"/>
        <v>0</v>
      </c>
    </row>
    <row r="13" spans="1:16">
      <c r="A13" s="472" t="s">
        <v>397</v>
      </c>
      <c r="B13" s="467" t="s">
        <v>380</v>
      </c>
      <c r="C13" s="481">
        <v>0</v>
      </c>
      <c r="D13" s="466">
        <v>0</v>
      </c>
      <c r="E13" s="469">
        <f t="shared" si="7"/>
        <v>0</v>
      </c>
      <c r="F13" s="461">
        <f t="shared" si="0"/>
        <v>0</v>
      </c>
      <c r="G13" s="471">
        <f t="shared" si="8"/>
        <v>0</v>
      </c>
      <c r="H13" s="461">
        <f t="shared" si="1"/>
        <v>0</v>
      </c>
      <c r="I13" s="461">
        <f t="shared" si="2"/>
        <v>0</v>
      </c>
      <c r="J13" s="471">
        <f t="shared" si="11"/>
        <v>0</v>
      </c>
      <c r="K13" s="461">
        <f t="shared" si="12"/>
        <v>0</v>
      </c>
      <c r="L13" s="463">
        <f t="shared" si="13"/>
        <v>0</v>
      </c>
      <c r="M13" s="461">
        <f t="shared" si="14"/>
        <v>0</v>
      </c>
      <c r="N13" s="461">
        <f t="shared" si="6"/>
        <v>0</v>
      </c>
      <c r="O13" s="471">
        <f t="shared" si="15"/>
        <v>0</v>
      </c>
    </row>
    <row r="14" spans="1:16">
      <c r="A14" s="467" t="s">
        <v>398</v>
      </c>
      <c r="B14" s="467" t="s">
        <v>380</v>
      </c>
      <c r="C14" s="481">
        <v>0</v>
      </c>
      <c r="D14" s="466">
        <v>0</v>
      </c>
      <c r="E14" s="469">
        <f>+D14*C14</f>
        <v>0</v>
      </c>
      <c r="F14" s="461">
        <f t="shared" si="0"/>
        <v>0</v>
      </c>
      <c r="G14" s="471">
        <f>(D14+F14)*$G$4</f>
        <v>0</v>
      </c>
      <c r="H14" s="461">
        <f t="shared" si="1"/>
        <v>0</v>
      </c>
      <c r="I14" s="461">
        <f t="shared" si="2"/>
        <v>0</v>
      </c>
      <c r="J14" s="471">
        <f t="shared" si="11"/>
        <v>0</v>
      </c>
      <c r="K14" s="461">
        <f t="shared" si="12"/>
        <v>0</v>
      </c>
      <c r="L14" s="463">
        <f t="shared" si="13"/>
        <v>0</v>
      </c>
      <c r="M14" s="461">
        <f t="shared" si="14"/>
        <v>0</v>
      </c>
      <c r="N14" s="461">
        <f t="shared" si="6"/>
        <v>0</v>
      </c>
      <c r="O14" s="471">
        <f t="shared" si="15"/>
        <v>0</v>
      </c>
    </row>
    <row r="15" spans="1:16">
      <c r="A15" s="470" t="s">
        <v>399</v>
      </c>
      <c r="B15" s="467" t="s">
        <v>380</v>
      </c>
      <c r="C15" s="481">
        <v>0</v>
      </c>
      <c r="D15" s="466">
        <v>0</v>
      </c>
      <c r="E15" s="469">
        <f t="shared" ref="E15:E22" si="16">+D15*C15</f>
        <v>0</v>
      </c>
      <c r="F15" s="461">
        <f t="shared" si="0"/>
        <v>0</v>
      </c>
      <c r="G15" s="471">
        <f t="shared" ref="G15:G22" si="17">(D15+F15)*$G$4</f>
        <v>0</v>
      </c>
      <c r="H15" s="461">
        <f t="shared" si="1"/>
        <v>0</v>
      </c>
      <c r="I15" s="461">
        <f t="shared" si="2"/>
        <v>0</v>
      </c>
      <c r="J15" s="471">
        <f t="shared" si="11"/>
        <v>0</v>
      </c>
      <c r="K15" s="461">
        <f t="shared" si="12"/>
        <v>0</v>
      </c>
      <c r="L15" s="463">
        <f t="shared" si="13"/>
        <v>0</v>
      </c>
      <c r="M15" s="461">
        <f t="shared" si="14"/>
        <v>0</v>
      </c>
      <c r="N15" s="461">
        <f t="shared" si="6"/>
        <v>0</v>
      </c>
      <c r="O15" s="471">
        <f t="shared" si="15"/>
        <v>0</v>
      </c>
    </row>
    <row r="16" spans="1:16">
      <c r="A16" s="470" t="s">
        <v>400</v>
      </c>
      <c r="B16" s="467" t="s">
        <v>380</v>
      </c>
      <c r="C16" s="481">
        <v>0</v>
      </c>
      <c r="D16" s="466">
        <v>0</v>
      </c>
      <c r="E16" s="469">
        <f t="shared" si="16"/>
        <v>0</v>
      </c>
      <c r="F16" s="461">
        <f t="shared" si="0"/>
        <v>0</v>
      </c>
      <c r="G16" s="471">
        <f t="shared" si="17"/>
        <v>0</v>
      </c>
      <c r="H16" s="461">
        <f t="shared" si="1"/>
        <v>0</v>
      </c>
      <c r="I16" s="461">
        <f t="shared" si="2"/>
        <v>0</v>
      </c>
      <c r="J16" s="471">
        <f t="shared" si="11"/>
        <v>0</v>
      </c>
      <c r="K16" s="461">
        <f t="shared" si="12"/>
        <v>0</v>
      </c>
      <c r="L16" s="463">
        <f t="shared" si="13"/>
        <v>0</v>
      </c>
      <c r="M16" s="461">
        <f t="shared" si="14"/>
        <v>0</v>
      </c>
      <c r="N16" s="461">
        <f t="shared" si="6"/>
        <v>0</v>
      </c>
      <c r="O16" s="471">
        <f t="shared" si="15"/>
        <v>0</v>
      </c>
    </row>
    <row r="17" spans="1:16">
      <c r="A17" s="470" t="s">
        <v>401</v>
      </c>
      <c r="B17" s="467" t="s">
        <v>380</v>
      </c>
      <c r="C17" s="481">
        <v>0</v>
      </c>
      <c r="D17" s="466">
        <v>0</v>
      </c>
      <c r="E17" s="469">
        <f t="shared" si="16"/>
        <v>0</v>
      </c>
      <c r="F17" s="461">
        <f t="shared" si="0"/>
        <v>0</v>
      </c>
      <c r="G17" s="471">
        <f t="shared" si="17"/>
        <v>0</v>
      </c>
      <c r="H17" s="461">
        <f t="shared" si="1"/>
        <v>0</v>
      </c>
      <c r="I17" s="461">
        <f t="shared" si="2"/>
        <v>0</v>
      </c>
      <c r="J17" s="471">
        <f t="shared" si="11"/>
        <v>0</v>
      </c>
      <c r="K17" s="461">
        <f t="shared" si="12"/>
        <v>0</v>
      </c>
      <c r="L17" s="463">
        <f t="shared" si="13"/>
        <v>0</v>
      </c>
      <c r="M17" s="461">
        <f t="shared" si="14"/>
        <v>0</v>
      </c>
      <c r="N17" s="461">
        <f t="shared" si="6"/>
        <v>0</v>
      </c>
      <c r="O17" s="471">
        <f t="shared" si="15"/>
        <v>0</v>
      </c>
    </row>
    <row r="18" spans="1:16">
      <c r="A18" s="472" t="s">
        <v>402</v>
      </c>
      <c r="B18" s="467" t="s">
        <v>380</v>
      </c>
      <c r="C18" s="481">
        <v>0</v>
      </c>
      <c r="D18" s="466">
        <v>0</v>
      </c>
      <c r="E18" s="469">
        <f t="shared" si="16"/>
        <v>0</v>
      </c>
      <c r="F18" s="461">
        <f t="shared" si="0"/>
        <v>0</v>
      </c>
      <c r="G18" s="471">
        <f t="shared" si="17"/>
        <v>0</v>
      </c>
      <c r="H18" s="461">
        <f t="shared" si="1"/>
        <v>0</v>
      </c>
      <c r="I18" s="461">
        <f t="shared" si="2"/>
        <v>0</v>
      </c>
      <c r="J18" s="471">
        <f t="shared" si="11"/>
        <v>0</v>
      </c>
      <c r="K18" s="461">
        <f t="shared" si="12"/>
        <v>0</v>
      </c>
      <c r="L18" s="463">
        <f t="shared" si="13"/>
        <v>0</v>
      </c>
      <c r="M18" s="461">
        <f t="shared" si="14"/>
        <v>0</v>
      </c>
      <c r="N18" s="461">
        <f t="shared" si="6"/>
        <v>0</v>
      </c>
      <c r="O18" s="471">
        <f t="shared" si="15"/>
        <v>0</v>
      </c>
    </row>
    <row r="19" spans="1:16">
      <c r="A19" s="472" t="s">
        <v>403</v>
      </c>
      <c r="B19" s="467" t="s">
        <v>380</v>
      </c>
      <c r="C19" s="481">
        <v>0</v>
      </c>
      <c r="D19" s="466">
        <v>0</v>
      </c>
      <c r="E19" s="469">
        <f t="shared" si="16"/>
        <v>0</v>
      </c>
      <c r="F19" s="461">
        <f t="shared" si="0"/>
        <v>0</v>
      </c>
      <c r="G19" s="471">
        <f t="shared" si="17"/>
        <v>0</v>
      </c>
      <c r="H19" s="461">
        <f t="shared" si="1"/>
        <v>0</v>
      </c>
      <c r="I19" s="461">
        <f t="shared" si="2"/>
        <v>0</v>
      </c>
      <c r="J19" s="471">
        <f t="shared" si="11"/>
        <v>0</v>
      </c>
      <c r="K19" s="461">
        <f t="shared" si="12"/>
        <v>0</v>
      </c>
      <c r="L19" s="463">
        <f t="shared" si="13"/>
        <v>0</v>
      </c>
      <c r="M19" s="461">
        <f t="shared" si="14"/>
        <v>0</v>
      </c>
      <c r="N19" s="461">
        <f t="shared" si="6"/>
        <v>0</v>
      </c>
      <c r="O19" s="471">
        <f t="shared" si="15"/>
        <v>0</v>
      </c>
    </row>
    <row r="20" spans="1:16">
      <c r="A20" s="470" t="s">
        <v>404</v>
      </c>
      <c r="B20" s="467" t="s">
        <v>380</v>
      </c>
      <c r="C20" s="481">
        <v>0</v>
      </c>
      <c r="D20" s="466">
        <v>0</v>
      </c>
      <c r="E20" s="469">
        <f t="shared" si="16"/>
        <v>0</v>
      </c>
      <c r="F20" s="461">
        <f t="shared" si="0"/>
        <v>0</v>
      </c>
      <c r="G20" s="471">
        <f t="shared" si="17"/>
        <v>0</v>
      </c>
      <c r="H20" s="461">
        <f t="shared" si="1"/>
        <v>0</v>
      </c>
      <c r="I20" s="461">
        <f t="shared" si="2"/>
        <v>0</v>
      </c>
      <c r="J20" s="471">
        <f t="shared" si="11"/>
        <v>0</v>
      </c>
      <c r="K20" s="461">
        <f t="shared" si="12"/>
        <v>0</v>
      </c>
      <c r="L20" s="463">
        <f t="shared" si="13"/>
        <v>0</v>
      </c>
      <c r="M20" s="461">
        <f t="shared" si="14"/>
        <v>0</v>
      </c>
      <c r="N20" s="461">
        <f t="shared" si="6"/>
        <v>0</v>
      </c>
      <c r="O20" s="471">
        <f t="shared" si="15"/>
        <v>0</v>
      </c>
    </row>
    <row r="21" spans="1:16">
      <c r="A21" s="472" t="s">
        <v>405</v>
      </c>
      <c r="B21" s="467" t="s">
        <v>380</v>
      </c>
      <c r="C21" s="481">
        <v>0</v>
      </c>
      <c r="D21" s="466">
        <v>0</v>
      </c>
      <c r="E21" s="469">
        <f t="shared" si="16"/>
        <v>0</v>
      </c>
      <c r="F21" s="461">
        <f t="shared" si="0"/>
        <v>0</v>
      </c>
      <c r="G21" s="471">
        <f t="shared" si="17"/>
        <v>0</v>
      </c>
      <c r="H21" s="461">
        <f t="shared" si="1"/>
        <v>0</v>
      </c>
      <c r="I21" s="461">
        <f t="shared" si="2"/>
        <v>0</v>
      </c>
      <c r="J21" s="471">
        <f t="shared" si="11"/>
        <v>0</v>
      </c>
      <c r="K21" s="461">
        <f t="shared" si="12"/>
        <v>0</v>
      </c>
      <c r="L21" s="463">
        <f t="shared" si="13"/>
        <v>0</v>
      </c>
      <c r="M21" s="461">
        <f t="shared" si="14"/>
        <v>0</v>
      </c>
      <c r="N21" s="461">
        <f t="shared" si="6"/>
        <v>0</v>
      </c>
      <c r="O21" s="471">
        <f t="shared" si="15"/>
        <v>0</v>
      </c>
    </row>
    <row r="22" spans="1:16">
      <c r="A22" s="472" t="s">
        <v>406</v>
      </c>
      <c r="B22" s="467" t="s">
        <v>380</v>
      </c>
      <c r="C22" s="481">
        <v>0</v>
      </c>
      <c r="D22" s="466">
        <v>0</v>
      </c>
      <c r="E22" s="469">
        <f t="shared" si="16"/>
        <v>0</v>
      </c>
      <c r="F22" s="461">
        <f t="shared" si="0"/>
        <v>0</v>
      </c>
      <c r="G22" s="471">
        <f t="shared" si="17"/>
        <v>0</v>
      </c>
      <c r="H22" s="461">
        <f t="shared" si="1"/>
        <v>0</v>
      </c>
      <c r="I22" s="461">
        <f t="shared" si="2"/>
        <v>0</v>
      </c>
      <c r="J22" s="471">
        <f t="shared" si="11"/>
        <v>0</v>
      </c>
      <c r="K22" s="461">
        <f t="shared" si="12"/>
        <v>0</v>
      </c>
      <c r="L22" s="463">
        <f t="shared" si="13"/>
        <v>0</v>
      </c>
      <c r="M22" s="461">
        <f t="shared" si="14"/>
        <v>0</v>
      </c>
      <c r="N22" s="461">
        <f t="shared" si="6"/>
        <v>0</v>
      </c>
      <c r="O22" s="471">
        <f t="shared" si="15"/>
        <v>0</v>
      </c>
    </row>
    <row r="23" spans="1:16">
      <c r="A23" s="467" t="s">
        <v>407</v>
      </c>
      <c r="B23" s="467" t="s">
        <v>380</v>
      </c>
      <c r="C23" s="481">
        <v>0</v>
      </c>
      <c r="D23" s="466">
        <v>0</v>
      </c>
      <c r="E23" s="469">
        <f>+D23*C23</f>
        <v>0</v>
      </c>
      <c r="F23" s="461">
        <f t="shared" si="0"/>
        <v>0</v>
      </c>
      <c r="G23" s="471">
        <f>(D23+F23)*$G$4</f>
        <v>0</v>
      </c>
      <c r="H23" s="461">
        <f t="shared" si="1"/>
        <v>0</v>
      </c>
      <c r="I23" s="461">
        <f t="shared" si="2"/>
        <v>0</v>
      </c>
      <c r="J23" s="471">
        <f t="shared" si="11"/>
        <v>0</v>
      </c>
      <c r="K23" s="461">
        <f t="shared" si="12"/>
        <v>0</v>
      </c>
      <c r="L23" s="463">
        <f t="shared" si="13"/>
        <v>0</v>
      </c>
      <c r="M23" s="461">
        <f t="shared" si="14"/>
        <v>0</v>
      </c>
      <c r="N23" s="461">
        <f t="shared" si="6"/>
        <v>0</v>
      </c>
      <c r="O23" s="471">
        <f t="shared" si="15"/>
        <v>0</v>
      </c>
    </row>
    <row r="24" spans="1:16">
      <c r="A24" s="472" t="s">
        <v>408</v>
      </c>
      <c r="B24" s="467" t="s">
        <v>380</v>
      </c>
      <c r="C24" s="481">
        <v>0</v>
      </c>
      <c r="D24" s="466">
        <v>0</v>
      </c>
      <c r="E24" s="469">
        <f t="shared" ref="E24:E28" si="18">+D24*C24</f>
        <v>0</v>
      </c>
      <c r="F24" s="461">
        <f t="shared" si="0"/>
        <v>0</v>
      </c>
      <c r="G24" s="471">
        <f t="shared" ref="G24:G28" si="19">(D24+F24)*$G$4</f>
        <v>0</v>
      </c>
      <c r="H24" s="461">
        <f t="shared" si="1"/>
        <v>0</v>
      </c>
      <c r="I24" s="461">
        <f t="shared" si="2"/>
        <v>0</v>
      </c>
      <c r="J24" s="471">
        <f t="shared" si="11"/>
        <v>0</v>
      </c>
      <c r="K24" s="461">
        <f t="shared" si="12"/>
        <v>0</v>
      </c>
      <c r="L24" s="463">
        <f t="shared" si="13"/>
        <v>0</v>
      </c>
      <c r="M24" s="461">
        <f t="shared" si="14"/>
        <v>0</v>
      </c>
      <c r="N24" s="461">
        <f t="shared" si="6"/>
        <v>0</v>
      </c>
      <c r="O24" s="471">
        <f t="shared" si="15"/>
        <v>0</v>
      </c>
    </row>
    <row r="25" spans="1:16">
      <c r="A25" s="472" t="s">
        <v>409</v>
      </c>
      <c r="B25" s="467" t="s">
        <v>380</v>
      </c>
      <c r="C25" s="481">
        <v>0</v>
      </c>
      <c r="D25" s="466">
        <v>0</v>
      </c>
      <c r="E25" s="469">
        <f t="shared" si="18"/>
        <v>0</v>
      </c>
      <c r="F25" s="461">
        <f t="shared" si="0"/>
        <v>0</v>
      </c>
      <c r="G25" s="471">
        <f t="shared" si="19"/>
        <v>0</v>
      </c>
      <c r="H25" s="461">
        <f t="shared" si="1"/>
        <v>0</v>
      </c>
      <c r="I25" s="461">
        <f t="shared" si="2"/>
        <v>0</v>
      </c>
      <c r="J25" s="471">
        <f t="shared" si="11"/>
        <v>0</v>
      </c>
      <c r="K25" s="461">
        <f t="shared" si="12"/>
        <v>0</v>
      </c>
      <c r="L25" s="463">
        <f t="shared" si="13"/>
        <v>0</v>
      </c>
      <c r="M25" s="461">
        <f t="shared" si="14"/>
        <v>0</v>
      </c>
      <c r="N25" s="461">
        <f t="shared" si="6"/>
        <v>0</v>
      </c>
      <c r="O25" s="471">
        <f t="shared" si="15"/>
        <v>0</v>
      </c>
    </row>
    <row r="26" spans="1:16">
      <c r="A26" s="472" t="s">
        <v>410</v>
      </c>
      <c r="B26" s="467" t="s">
        <v>380</v>
      </c>
      <c r="C26" s="481">
        <v>0</v>
      </c>
      <c r="D26" s="466">
        <v>0</v>
      </c>
      <c r="E26" s="469">
        <f t="shared" si="18"/>
        <v>0</v>
      </c>
      <c r="F26" s="461">
        <f t="shared" si="0"/>
        <v>0</v>
      </c>
      <c r="G26" s="471">
        <f t="shared" si="19"/>
        <v>0</v>
      </c>
      <c r="H26" s="461">
        <f t="shared" si="1"/>
        <v>0</v>
      </c>
      <c r="I26" s="461">
        <f t="shared" si="2"/>
        <v>0</v>
      </c>
      <c r="J26" s="471">
        <f t="shared" si="11"/>
        <v>0</v>
      </c>
      <c r="K26" s="461">
        <f t="shared" si="12"/>
        <v>0</v>
      </c>
      <c r="L26" s="463">
        <f t="shared" si="13"/>
        <v>0</v>
      </c>
      <c r="M26" s="461">
        <f t="shared" si="14"/>
        <v>0</v>
      </c>
      <c r="N26" s="461">
        <f t="shared" si="6"/>
        <v>0</v>
      </c>
      <c r="O26" s="471">
        <f t="shared" si="15"/>
        <v>0</v>
      </c>
    </row>
    <row r="27" spans="1:16">
      <c r="A27" s="472" t="s">
        <v>411</v>
      </c>
      <c r="B27" s="467" t="s">
        <v>380</v>
      </c>
      <c r="C27" s="481">
        <v>0</v>
      </c>
      <c r="D27" s="466">
        <v>0</v>
      </c>
      <c r="E27" s="469">
        <f t="shared" si="18"/>
        <v>0</v>
      </c>
      <c r="F27" s="461">
        <f t="shared" si="0"/>
        <v>0</v>
      </c>
      <c r="G27" s="471">
        <f t="shared" si="19"/>
        <v>0</v>
      </c>
      <c r="H27" s="461">
        <f t="shared" si="1"/>
        <v>0</v>
      </c>
      <c r="I27" s="461">
        <f t="shared" si="2"/>
        <v>0</v>
      </c>
      <c r="J27" s="471">
        <f t="shared" si="11"/>
        <v>0</v>
      </c>
      <c r="K27" s="461">
        <f t="shared" si="12"/>
        <v>0</v>
      </c>
      <c r="L27" s="463">
        <f t="shared" si="13"/>
        <v>0</v>
      </c>
      <c r="M27" s="461">
        <f t="shared" si="14"/>
        <v>0</v>
      </c>
      <c r="N27" s="461">
        <f t="shared" si="6"/>
        <v>0</v>
      </c>
      <c r="O27" s="471">
        <f t="shared" si="15"/>
        <v>0</v>
      </c>
    </row>
    <row r="28" spans="1:16">
      <c r="A28" s="472" t="s">
        <v>412</v>
      </c>
      <c r="B28" s="467" t="s">
        <v>380</v>
      </c>
      <c r="C28" s="481">
        <v>0</v>
      </c>
      <c r="D28" s="466">
        <v>0</v>
      </c>
      <c r="E28" s="469">
        <f t="shared" si="18"/>
        <v>0</v>
      </c>
      <c r="F28" s="461">
        <f t="shared" si="0"/>
        <v>0</v>
      </c>
      <c r="G28" s="471">
        <f t="shared" si="19"/>
        <v>0</v>
      </c>
      <c r="H28" s="461">
        <f t="shared" si="1"/>
        <v>0</v>
      </c>
      <c r="I28" s="461">
        <f t="shared" si="2"/>
        <v>0</v>
      </c>
      <c r="J28" s="471">
        <f t="shared" si="11"/>
        <v>0</v>
      </c>
      <c r="K28" s="461">
        <f t="shared" si="12"/>
        <v>0</v>
      </c>
      <c r="L28" s="463">
        <f t="shared" si="13"/>
        <v>0</v>
      </c>
      <c r="M28" s="461">
        <f t="shared" si="14"/>
        <v>0</v>
      </c>
      <c r="N28" s="461">
        <f t="shared" si="6"/>
        <v>0</v>
      </c>
      <c r="O28" s="471">
        <f t="shared" si="15"/>
        <v>0</v>
      </c>
    </row>
    <row r="29" spans="1:16">
      <c r="A29" s="472" t="s">
        <v>413</v>
      </c>
      <c r="B29" s="467" t="s">
        <v>380</v>
      </c>
      <c r="C29" s="481">
        <v>0</v>
      </c>
      <c r="D29" s="466">
        <v>0</v>
      </c>
      <c r="E29" s="469">
        <f>+D29*C29</f>
        <v>0</v>
      </c>
      <c r="F29" s="461">
        <f t="shared" si="0"/>
        <v>0</v>
      </c>
      <c r="G29" s="461">
        <v>0</v>
      </c>
      <c r="H29" s="461">
        <f t="shared" si="1"/>
        <v>0</v>
      </c>
      <c r="I29" s="461">
        <f t="shared" si="2"/>
        <v>0</v>
      </c>
      <c r="J29" s="471">
        <f t="shared" si="11"/>
        <v>0</v>
      </c>
      <c r="K29" s="461">
        <f t="shared" si="12"/>
        <v>0</v>
      </c>
      <c r="L29" s="463">
        <f t="shared" si="13"/>
        <v>0</v>
      </c>
      <c r="M29" s="461">
        <f t="shared" si="14"/>
        <v>0</v>
      </c>
      <c r="N29" s="461">
        <f t="shared" si="6"/>
        <v>0</v>
      </c>
      <c r="O29" s="471">
        <f t="shared" si="15"/>
        <v>0</v>
      </c>
      <c r="P29" s="11"/>
    </row>
    <row r="30" spans="1:16">
      <c r="A30" s="472" t="s">
        <v>414</v>
      </c>
      <c r="B30" s="467" t="s">
        <v>380</v>
      </c>
      <c r="C30" s="481">
        <v>0</v>
      </c>
      <c r="D30" s="466">
        <v>0</v>
      </c>
      <c r="E30" s="469">
        <f>+D30*C30</f>
        <v>0</v>
      </c>
      <c r="F30" s="461">
        <f t="shared" si="0"/>
        <v>0</v>
      </c>
      <c r="G30" s="471">
        <f>(D30+F30)*$G$4</f>
        <v>0</v>
      </c>
      <c r="H30" s="461">
        <f t="shared" si="1"/>
        <v>0</v>
      </c>
      <c r="I30" s="461">
        <f t="shared" si="2"/>
        <v>0</v>
      </c>
      <c r="J30" s="471">
        <f t="shared" si="11"/>
        <v>0</v>
      </c>
      <c r="K30" s="461">
        <f t="shared" si="12"/>
        <v>0</v>
      </c>
      <c r="L30" s="463">
        <f t="shared" si="13"/>
        <v>0</v>
      </c>
      <c r="M30" s="461">
        <f t="shared" si="14"/>
        <v>0</v>
      </c>
      <c r="N30" s="461">
        <f t="shared" si="6"/>
        <v>0</v>
      </c>
      <c r="O30" s="471">
        <f t="shared" si="15"/>
        <v>0</v>
      </c>
    </row>
    <row r="31" spans="1:16">
      <c r="A31" s="472" t="s">
        <v>415</v>
      </c>
      <c r="B31" s="467" t="s">
        <v>380</v>
      </c>
      <c r="C31" s="481">
        <v>0</v>
      </c>
      <c r="D31" s="466">
        <v>0</v>
      </c>
      <c r="E31" s="469">
        <f t="shared" ref="E31:E33" si="20">+D31*C31</f>
        <v>0</v>
      </c>
      <c r="F31" s="461">
        <f t="shared" si="0"/>
        <v>0</v>
      </c>
      <c r="G31" s="471">
        <f t="shared" ref="G31:G33" si="21">(D31+F31)*$G$4</f>
        <v>0</v>
      </c>
      <c r="H31" s="461">
        <f t="shared" si="1"/>
        <v>0</v>
      </c>
      <c r="I31" s="461">
        <f t="shared" si="2"/>
        <v>0</v>
      </c>
      <c r="J31" s="471">
        <f t="shared" si="11"/>
        <v>0</v>
      </c>
      <c r="K31" s="461">
        <f t="shared" si="12"/>
        <v>0</v>
      </c>
      <c r="L31" s="463">
        <f t="shared" si="13"/>
        <v>0</v>
      </c>
      <c r="M31" s="461">
        <f t="shared" si="14"/>
        <v>0</v>
      </c>
      <c r="N31" s="461">
        <f t="shared" si="6"/>
        <v>0</v>
      </c>
      <c r="O31" s="471">
        <f t="shared" si="15"/>
        <v>0</v>
      </c>
    </row>
    <row r="32" spans="1:16">
      <c r="A32" s="472" t="s">
        <v>416</v>
      </c>
      <c r="B32" s="467" t="s">
        <v>380</v>
      </c>
      <c r="C32" s="481">
        <v>0</v>
      </c>
      <c r="D32" s="466">
        <v>0</v>
      </c>
      <c r="E32" s="469">
        <f t="shared" si="20"/>
        <v>0</v>
      </c>
      <c r="F32" s="461">
        <f t="shared" si="0"/>
        <v>0</v>
      </c>
      <c r="G32" s="471">
        <f t="shared" si="21"/>
        <v>0</v>
      </c>
      <c r="H32" s="461">
        <f t="shared" si="1"/>
        <v>0</v>
      </c>
      <c r="I32" s="461">
        <f t="shared" si="2"/>
        <v>0</v>
      </c>
      <c r="J32" s="471">
        <f t="shared" si="11"/>
        <v>0</v>
      </c>
      <c r="K32" s="461">
        <f t="shared" si="12"/>
        <v>0</v>
      </c>
      <c r="L32" s="463">
        <f t="shared" si="13"/>
        <v>0</v>
      </c>
      <c r="M32" s="461">
        <f t="shared" si="14"/>
        <v>0</v>
      </c>
      <c r="N32" s="461">
        <f t="shared" si="6"/>
        <v>0</v>
      </c>
      <c r="O32" s="471">
        <f t="shared" si="15"/>
        <v>0</v>
      </c>
    </row>
    <row r="33" spans="1:18">
      <c r="A33" s="472"/>
      <c r="B33" s="467" t="s">
        <v>380</v>
      </c>
      <c r="C33" s="481">
        <v>0</v>
      </c>
      <c r="D33" s="466">
        <v>0</v>
      </c>
      <c r="E33" s="469">
        <f t="shared" si="20"/>
        <v>0</v>
      </c>
      <c r="F33" s="461">
        <f t="shared" si="0"/>
        <v>0</v>
      </c>
      <c r="G33" s="471">
        <f t="shared" si="21"/>
        <v>0</v>
      </c>
      <c r="H33" s="461">
        <f t="shared" si="1"/>
        <v>0</v>
      </c>
      <c r="I33" s="461">
        <f t="shared" si="2"/>
        <v>0</v>
      </c>
      <c r="J33" s="471">
        <f t="shared" si="11"/>
        <v>0</v>
      </c>
      <c r="K33" s="461">
        <f t="shared" si="12"/>
        <v>0</v>
      </c>
      <c r="L33" s="463">
        <f t="shared" si="13"/>
        <v>0</v>
      </c>
      <c r="M33" s="461">
        <f t="shared" si="14"/>
        <v>0</v>
      </c>
      <c r="N33" s="461">
        <f t="shared" si="6"/>
        <v>0</v>
      </c>
      <c r="O33" s="471">
        <f t="shared" si="15"/>
        <v>0</v>
      </c>
    </row>
    <row r="34" spans="1:18">
      <c r="A34" s="470"/>
      <c r="B34" s="467" t="s">
        <v>380</v>
      </c>
      <c r="C34" s="481">
        <v>0</v>
      </c>
      <c r="D34" s="466">
        <v>0</v>
      </c>
      <c r="E34" s="469">
        <f t="shared" ref="E34:E35" si="22">+D34*C34</f>
        <v>0</v>
      </c>
      <c r="F34" s="461">
        <f t="shared" si="0"/>
        <v>0</v>
      </c>
      <c r="G34" s="471">
        <f t="shared" ref="G34:G36" si="23">(D34+F34)*$G$4</f>
        <v>0</v>
      </c>
      <c r="H34" s="461">
        <f t="shared" si="1"/>
        <v>0</v>
      </c>
      <c r="I34" s="461">
        <f t="shared" si="2"/>
        <v>0</v>
      </c>
      <c r="J34" s="471">
        <f t="shared" si="11"/>
        <v>0</v>
      </c>
      <c r="K34" s="461">
        <f t="shared" si="12"/>
        <v>0</v>
      </c>
      <c r="L34" s="463">
        <f t="shared" si="13"/>
        <v>0</v>
      </c>
      <c r="M34" s="461">
        <f t="shared" si="14"/>
        <v>0</v>
      </c>
      <c r="N34" s="461">
        <f t="shared" si="6"/>
        <v>0</v>
      </c>
      <c r="O34" s="471">
        <f t="shared" si="15"/>
        <v>0</v>
      </c>
    </row>
    <row r="35" spans="1:18">
      <c r="A35" s="472"/>
      <c r="B35" s="467" t="s">
        <v>380</v>
      </c>
      <c r="C35" s="481">
        <v>0</v>
      </c>
      <c r="D35" s="466">
        <v>0</v>
      </c>
      <c r="E35" s="469">
        <f t="shared" si="22"/>
        <v>0</v>
      </c>
      <c r="F35" s="461">
        <f t="shared" si="0"/>
        <v>0</v>
      </c>
      <c r="G35" s="471">
        <f t="shared" si="23"/>
        <v>0</v>
      </c>
      <c r="H35" s="461">
        <f t="shared" si="1"/>
        <v>0</v>
      </c>
      <c r="I35" s="461">
        <f t="shared" si="2"/>
        <v>0</v>
      </c>
      <c r="J35" s="471">
        <f t="shared" si="11"/>
        <v>0</v>
      </c>
      <c r="K35" s="461">
        <f t="shared" si="12"/>
        <v>0</v>
      </c>
      <c r="L35" s="463">
        <f t="shared" si="13"/>
        <v>0</v>
      </c>
      <c r="M35" s="461">
        <f t="shared" si="14"/>
        <v>0</v>
      </c>
      <c r="N35" s="461">
        <f t="shared" si="6"/>
        <v>0</v>
      </c>
      <c r="O35" s="471">
        <f t="shared" si="15"/>
        <v>0</v>
      </c>
    </row>
    <row r="36" spans="1:18">
      <c r="A36" s="472"/>
      <c r="B36" s="467" t="s">
        <v>380</v>
      </c>
      <c r="C36" s="481">
        <v>0</v>
      </c>
      <c r="D36" s="466">
        <v>0</v>
      </c>
      <c r="E36" s="469"/>
      <c r="F36" s="461">
        <f t="shared" si="0"/>
        <v>0</v>
      </c>
      <c r="G36" s="471">
        <f t="shared" si="23"/>
        <v>0</v>
      </c>
      <c r="H36" s="461">
        <f t="shared" si="1"/>
        <v>0</v>
      </c>
      <c r="I36" s="461">
        <f t="shared" si="2"/>
        <v>0</v>
      </c>
      <c r="J36" s="471">
        <f t="shared" si="11"/>
        <v>0</v>
      </c>
      <c r="K36" s="461">
        <f t="shared" si="12"/>
        <v>0</v>
      </c>
      <c r="L36" s="463">
        <f t="shared" si="13"/>
        <v>0</v>
      </c>
      <c r="M36" s="461">
        <f t="shared" si="14"/>
        <v>0</v>
      </c>
      <c r="N36" s="461">
        <f t="shared" si="6"/>
        <v>0</v>
      </c>
      <c r="O36" s="471">
        <f t="shared" si="15"/>
        <v>0</v>
      </c>
    </row>
    <row r="37" spans="1:18">
      <c r="A37" s="87" t="s">
        <v>383</v>
      </c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</row>
    <row r="38" spans="1:18">
      <c r="A38" s="467"/>
      <c r="B38" s="467" t="s">
        <v>380</v>
      </c>
      <c r="C38" s="481">
        <v>0</v>
      </c>
      <c r="D38" s="466">
        <v>0</v>
      </c>
      <c r="E38" s="462">
        <f>+C38*D38*(1-C47)</f>
        <v>0</v>
      </c>
      <c r="F38" s="461">
        <f t="shared" si="0"/>
        <v>0</v>
      </c>
      <c r="G38" s="461">
        <f t="shared" ref="G38:G42" si="24">(D38+F38)*$G$4</f>
        <v>0</v>
      </c>
      <c r="H38" s="461">
        <f t="shared" si="1"/>
        <v>0</v>
      </c>
      <c r="I38" s="461">
        <f t="shared" si="2"/>
        <v>0</v>
      </c>
      <c r="J38" s="471">
        <f t="shared" si="11"/>
        <v>0</v>
      </c>
      <c r="K38" s="461">
        <f t="shared" si="12"/>
        <v>0</v>
      </c>
      <c r="L38" s="463">
        <f t="shared" si="13"/>
        <v>0</v>
      </c>
      <c r="M38" s="461">
        <f t="shared" si="14"/>
        <v>0</v>
      </c>
      <c r="N38" s="461">
        <f t="shared" si="6"/>
        <v>0</v>
      </c>
      <c r="O38" s="471">
        <f t="shared" si="15"/>
        <v>0</v>
      </c>
    </row>
    <row r="39" spans="1:18">
      <c r="A39" s="473"/>
      <c r="B39" s="467" t="s">
        <v>380</v>
      </c>
      <c r="C39" s="481">
        <v>0</v>
      </c>
      <c r="D39" s="466">
        <v>0</v>
      </c>
      <c r="E39" s="462">
        <f>+C39*D39</f>
        <v>0</v>
      </c>
      <c r="F39" s="461">
        <f t="shared" si="0"/>
        <v>0</v>
      </c>
      <c r="G39" s="461">
        <f t="shared" si="24"/>
        <v>0</v>
      </c>
      <c r="H39" s="461">
        <f t="shared" si="1"/>
        <v>0</v>
      </c>
      <c r="I39" s="461">
        <f t="shared" si="2"/>
        <v>0</v>
      </c>
      <c r="J39" s="471">
        <f t="shared" si="11"/>
        <v>0</v>
      </c>
      <c r="K39" s="461">
        <f t="shared" si="12"/>
        <v>0</v>
      </c>
      <c r="L39" s="463">
        <f t="shared" si="13"/>
        <v>0</v>
      </c>
      <c r="M39" s="461">
        <f t="shared" si="14"/>
        <v>0</v>
      </c>
      <c r="N39" s="461">
        <f t="shared" si="6"/>
        <v>0</v>
      </c>
      <c r="O39" s="471">
        <f t="shared" si="15"/>
        <v>0</v>
      </c>
    </row>
    <row r="40" spans="1:18">
      <c r="A40" s="473"/>
      <c r="B40" s="467" t="s">
        <v>380</v>
      </c>
      <c r="C40" s="481">
        <v>0</v>
      </c>
      <c r="D40" s="466">
        <v>0</v>
      </c>
      <c r="E40" s="462">
        <f>+C40*D40</f>
        <v>0</v>
      </c>
      <c r="F40" s="461">
        <f t="shared" si="0"/>
        <v>0</v>
      </c>
      <c r="G40" s="461">
        <f t="shared" si="24"/>
        <v>0</v>
      </c>
      <c r="H40" s="461">
        <f t="shared" si="1"/>
        <v>0</v>
      </c>
      <c r="I40" s="461">
        <f t="shared" si="2"/>
        <v>0</v>
      </c>
      <c r="J40" s="471">
        <f t="shared" si="11"/>
        <v>0</v>
      </c>
      <c r="K40" s="461">
        <f t="shared" si="12"/>
        <v>0</v>
      </c>
      <c r="L40" s="463">
        <f t="shared" si="13"/>
        <v>0</v>
      </c>
      <c r="M40" s="461">
        <f t="shared" si="14"/>
        <v>0</v>
      </c>
      <c r="N40" s="461">
        <f t="shared" si="6"/>
        <v>0</v>
      </c>
      <c r="O40" s="471">
        <f t="shared" si="15"/>
        <v>0</v>
      </c>
    </row>
    <row r="41" spans="1:18">
      <c r="A41" s="474"/>
      <c r="B41" s="467" t="s">
        <v>380</v>
      </c>
      <c r="C41" s="481">
        <v>0</v>
      </c>
      <c r="D41" s="466">
        <v>0</v>
      </c>
      <c r="E41" s="462">
        <f>+C41*D41</f>
        <v>0</v>
      </c>
      <c r="F41" s="461">
        <f t="shared" si="0"/>
        <v>0</v>
      </c>
      <c r="G41" s="461">
        <f t="shared" si="24"/>
        <v>0</v>
      </c>
      <c r="H41" s="461">
        <f t="shared" si="1"/>
        <v>0</v>
      </c>
      <c r="I41" s="461">
        <f t="shared" si="2"/>
        <v>0</v>
      </c>
      <c r="J41" s="471">
        <f t="shared" si="11"/>
        <v>0</v>
      </c>
      <c r="K41" s="461">
        <f t="shared" si="12"/>
        <v>0</v>
      </c>
      <c r="L41" s="463">
        <f t="shared" si="13"/>
        <v>0</v>
      </c>
      <c r="M41" s="461">
        <f t="shared" si="14"/>
        <v>0</v>
      </c>
      <c r="N41" s="461">
        <f t="shared" si="6"/>
        <v>0</v>
      </c>
      <c r="O41" s="471">
        <f t="shared" si="15"/>
        <v>0</v>
      </c>
    </row>
    <row r="42" spans="1:18">
      <c r="A42" s="474"/>
      <c r="B42" s="467" t="s">
        <v>380</v>
      </c>
      <c r="C42" s="481">
        <v>0</v>
      </c>
      <c r="D42" s="466">
        <v>0</v>
      </c>
      <c r="E42" s="462">
        <f>+C42*D42</f>
        <v>0</v>
      </c>
      <c r="F42" s="461">
        <f t="shared" si="0"/>
        <v>0</v>
      </c>
      <c r="G42" s="461">
        <f t="shared" si="24"/>
        <v>0</v>
      </c>
      <c r="H42" s="461">
        <f t="shared" si="1"/>
        <v>0</v>
      </c>
      <c r="I42" s="461">
        <f t="shared" si="2"/>
        <v>0</v>
      </c>
      <c r="J42" s="471">
        <f t="shared" si="11"/>
        <v>0</v>
      </c>
      <c r="K42" s="461">
        <f t="shared" si="12"/>
        <v>0</v>
      </c>
      <c r="L42" s="463">
        <f t="shared" si="13"/>
        <v>0</v>
      </c>
      <c r="M42" s="461">
        <f t="shared" si="14"/>
        <v>0</v>
      </c>
      <c r="N42" s="461">
        <f t="shared" si="6"/>
        <v>0</v>
      </c>
      <c r="O42" s="471">
        <f t="shared" si="15"/>
        <v>0</v>
      </c>
    </row>
    <row r="43" spans="1:18">
      <c r="A43" s="86" t="s">
        <v>375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</row>
    <row r="44" spans="1:18">
      <c r="A44" s="464"/>
      <c r="B44" s="467" t="s">
        <v>380</v>
      </c>
      <c r="C44" s="481">
        <v>0</v>
      </c>
      <c r="D44" s="466">
        <v>0</v>
      </c>
      <c r="E44" s="462">
        <f>+C44*D44</f>
        <v>0</v>
      </c>
      <c r="F44" s="461">
        <f t="shared" si="0"/>
        <v>0</v>
      </c>
      <c r="G44" s="461">
        <f t="shared" ref="G44" si="25">(D44+F44)*$G$4</f>
        <v>0</v>
      </c>
      <c r="H44" s="461">
        <f t="shared" si="1"/>
        <v>0</v>
      </c>
      <c r="I44" s="461">
        <f t="shared" si="2"/>
        <v>0</v>
      </c>
      <c r="J44" s="471">
        <f t="shared" si="11"/>
        <v>0</v>
      </c>
      <c r="K44" s="461">
        <f t="shared" si="12"/>
        <v>0</v>
      </c>
      <c r="L44" s="463">
        <f t="shared" si="13"/>
        <v>0</v>
      </c>
      <c r="M44" s="461">
        <f t="shared" si="14"/>
        <v>0</v>
      </c>
      <c r="N44" s="461">
        <f t="shared" si="6"/>
        <v>0</v>
      </c>
      <c r="O44" s="471">
        <f t="shared" si="15"/>
        <v>0</v>
      </c>
    </row>
    <row r="45" spans="1:18">
      <c r="A45" s="140"/>
      <c r="B45" s="140"/>
      <c r="C45" s="12"/>
      <c r="D45" s="139"/>
      <c r="E45" s="19"/>
      <c r="F45" s="9"/>
      <c r="G45" s="9"/>
      <c r="H45" s="9"/>
      <c r="I45" s="9"/>
      <c r="J45" s="9"/>
      <c r="K45" s="9"/>
      <c r="L45" s="182"/>
      <c r="M45" s="9"/>
      <c r="N45" s="9"/>
      <c r="O45" s="9"/>
      <c r="Q45" s="4"/>
    </row>
    <row r="46" spans="1:18">
      <c r="A46" s="13"/>
      <c r="B46" s="13"/>
      <c r="C46" s="14"/>
      <c r="D46" s="15" t="s">
        <v>376</v>
      </c>
      <c r="E46" s="15">
        <f>SUM(E34:E44)</f>
        <v>0</v>
      </c>
      <c r="F46" s="16"/>
      <c r="G46" s="16"/>
      <c r="H46" s="16"/>
      <c r="I46" s="16"/>
      <c r="J46" s="17" t="s">
        <v>377</v>
      </c>
      <c r="K46" s="17"/>
      <c r="L46" s="15">
        <f>SUM(L6:L44)</f>
        <v>0</v>
      </c>
      <c r="M46" s="16"/>
      <c r="N46" s="17" t="s">
        <v>378</v>
      </c>
      <c r="O46" s="15">
        <f>SUM(O6:O44)</f>
        <v>0</v>
      </c>
      <c r="Q46" s="4"/>
      <c r="R46" s="3"/>
    </row>
    <row r="47" spans="1:18">
      <c r="A47" s="35"/>
      <c r="B47" s="35"/>
      <c r="C47" s="238"/>
      <c r="D47" s="16"/>
      <c r="E47" s="19"/>
      <c r="F47" s="16"/>
      <c r="G47" s="16"/>
      <c r="H47" s="16"/>
      <c r="I47" s="16"/>
      <c r="J47" s="16"/>
      <c r="K47" s="16"/>
      <c r="L47" s="16"/>
      <c r="M47" s="16"/>
      <c r="N47" s="20" t="s">
        <v>379</v>
      </c>
      <c r="O47" s="21">
        <f>O46-L46</f>
        <v>0</v>
      </c>
      <c r="Q47" s="4"/>
      <c r="R47" s="3"/>
    </row>
    <row r="48" spans="1:18">
      <c r="Q48" s="4"/>
      <c r="R48" s="3"/>
    </row>
    <row r="49" spans="1:18">
      <c r="A49" s="223" t="s">
        <v>368</v>
      </c>
      <c r="E49" s="3"/>
      <c r="Q49" s="4"/>
      <c r="R49" s="3"/>
    </row>
    <row r="50" spans="1:18">
      <c r="A50" s="116" t="s">
        <v>380</v>
      </c>
      <c r="B50" s="8"/>
      <c r="E50" s="3"/>
      <c r="Q50" s="4"/>
    </row>
    <row r="51" spans="1:18">
      <c r="A51" s="116" t="s">
        <v>374</v>
      </c>
      <c r="B51" s="48"/>
      <c r="C51" s="16"/>
      <c r="D51" s="16"/>
      <c r="O51" s="3"/>
    </row>
    <row r="52" spans="1:18">
      <c r="A52" s="48"/>
      <c r="B52" s="48"/>
      <c r="C52" s="16"/>
      <c r="D52" s="16"/>
      <c r="P52" s="3"/>
    </row>
  </sheetData>
  <mergeCells count="2">
    <mergeCell ref="A1:D1"/>
    <mergeCell ref="A3:E3"/>
  </mergeCells>
  <dataValidations count="1">
    <dataValidation type="list" allowBlank="1" showErrorMessage="1" errorTitle="Opción no válida" sqref="B6:B36 B38:B42 B44" xr:uid="{7732CD59-1528-4E52-A1E7-720AF45DCA44}">
      <formula1>$A$50:$A$51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7FFFC-A891-49E8-A282-599546468ECD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16.28515625" customWidth="1"/>
    <col min="6" max="6" width="10.7109375" bestFit="1" customWidth="1"/>
    <col min="7" max="7" width="10.28515625" bestFit="1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6" ht="15.75">
      <c r="A1" s="568" t="s">
        <v>360</v>
      </c>
      <c r="B1" s="568"/>
      <c r="C1" s="568"/>
      <c r="D1" s="568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>
      <c r="A3" s="571" t="s">
        <v>417</v>
      </c>
      <c r="B3" s="571"/>
      <c r="C3" s="571"/>
      <c r="D3" s="571"/>
      <c r="E3" s="571"/>
      <c r="F3" s="5" t="s">
        <v>362</v>
      </c>
      <c r="G3" s="5" t="s">
        <v>363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6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</v>
      </c>
      <c r="G4" s="7">
        <v>0</v>
      </c>
      <c r="H4" s="6">
        <v>0</v>
      </c>
      <c r="I4" s="247">
        <v>0</v>
      </c>
      <c r="J4" s="24" t="s">
        <v>371</v>
      </c>
      <c r="K4" s="253">
        <v>0.03</v>
      </c>
      <c r="L4" s="26" t="s">
        <v>382</v>
      </c>
      <c r="M4" s="27">
        <v>0.23</v>
      </c>
      <c r="N4" s="235" t="s">
        <v>372</v>
      </c>
      <c r="O4" s="25" t="s">
        <v>14</v>
      </c>
    </row>
    <row r="5" spans="1:16" s="16" customFormat="1">
      <c r="A5" s="86" t="s">
        <v>373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374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374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374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374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374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374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374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>
      <c r="A13" s="87" t="s">
        <v>383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>
      <c r="A19" s="86" t="s">
        <v>375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>
      <c r="A22" s="13"/>
      <c r="B22" s="13"/>
      <c r="C22" s="14"/>
      <c r="D22" s="15" t="s">
        <v>376</v>
      </c>
      <c r="E22" s="15">
        <f>SUM(E6:E20)</f>
        <v>0</v>
      </c>
      <c r="F22" s="16"/>
      <c r="G22" s="16"/>
      <c r="H22" s="16"/>
      <c r="I22" s="16"/>
      <c r="J22" s="17" t="s">
        <v>377</v>
      </c>
      <c r="K22" s="17"/>
      <c r="L22" s="15">
        <f>SUM(L6:L20)</f>
        <v>0</v>
      </c>
      <c r="M22" s="16"/>
      <c r="N22" s="17" t="s">
        <v>378</v>
      </c>
      <c r="O22" s="15">
        <f>SUM(O6:O20)</f>
        <v>0</v>
      </c>
      <c r="Q22" s="4"/>
      <c r="R22" s="3"/>
    </row>
    <row r="23" spans="1:18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379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368</v>
      </c>
      <c r="E25" s="3"/>
      <c r="Q25" s="4"/>
      <c r="R25" s="3"/>
    </row>
    <row r="26" spans="1:18">
      <c r="A26" s="116" t="s">
        <v>380</v>
      </c>
      <c r="B26" s="8"/>
      <c r="E26" s="3"/>
      <c r="Q26" s="4"/>
    </row>
    <row r="27" spans="1:18">
      <c r="A27" s="116" t="s">
        <v>374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C7967142-149E-4215-AD6A-2DA027D20A9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9379-4866-45FD-80C6-5C42B6986072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16.28515625" customWidth="1"/>
    <col min="6" max="6" width="10.7109375" bestFit="1" customWidth="1"/>
    <col min="7" max="7" width="10.28515625" bestFit="1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6" ht="15.75">
      <c r="A1" s="568" t="s">
        <v>360</v>
      </c>
      <c r="B1" s="568"/>
      <c r="C1" s="568"/>
      <c r="D1" s="568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>
      <c r="A3" s="571" t="s">
        <v>418</v>
      </c>
      <c r="B3" s="571"/>
      <c r="C3" s="571"/>
      <c r="D3" s="571"/>
      <c r="E3" s="571"/>
      <c r="F3" s="5" t="s">
        <v>362</v>
      </c>
      <c r="G3" s="5" t="s">
        <v>363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6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</v>
      </c>
      <c r="G4" s="7">
        <v>0</v>
      </c>
      <c r="H4" s="6">
        <v>0</v>
      </c>
      <c r="I4" s="247">
        <v>0</v>
      </c>
      <c r="J4" s="24" t="s">
        <v>371</v>
      </c>
      <c r="K4" s="253">
        <v>0.03</v>
      </c>
      <c r="L4" s="26" t="s">
        <v>382</v>
      </c>
      <c r="M4" s="27">
        <v>0.23</v>
      </c>
      <c r="N4" s="235" t="s">
        <v>372</v>
      </c>
      <c r="O4" s="25" t="s">
        <v>14</v>
      </c>
    </row>
    <row r="5" spans="1:16" s="16" customFormat="1">
      <c r="A5" s="86" t="s">
        <v>373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374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374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374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374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374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374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374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>
      <c r="A13" s="87" t="s">
        <v>383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>
      <c r="A19" s="86" t="s">
        <v>375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>
      <c r="A22" s="13"/>
      <c r="B22" s="13"/>
      <c r="C22" s="14"/>
      <c r="D22" s="15" t="s">
        <v>376</v>
      </c>
      <c r="E22" s="15">
        <f>SUM(E6:E20)</f>
        <v>0</v>
      </c>
      <c r="F22" s="16"/>
      <c r="G22" s="16"/>
      <c r="H22" s="16"/>
      <c r="I22" s="16"/>
      <c r="J22" s="17" t="s">
        <v>377</v>
      </c>
      <c r="K22" s="17"/>
      <c r="L22" s="15">
        <f>SUM(L6:L20)</f>
        <v>0</v>
      </c>
      <c r="M22" s="16"/>
      <c r="N22" s="17" t="s">
        <v>378</v>
      </c>
      <c r="O22" s="15">
        <f>SUM(O6:O20)</f>
        <v>0</v>
      </c>
      <c r="Q22" s="4"/>
      <c r="R22" s="3"/>
    </row>
    <row r="23" spans="1:18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379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368</v>
      </c>
      <c r="E25" s="3"/>
      <c r="Q25" s="4"/>
      <c r="R25" s="3"/>
    </row>
    <row r="26" spans="1:18">
      <c r="A26" s="116" t="s">
        <v>380</v>
      </c>
      <c r="B26" s="8"/>
      <c r="E26" s="3"/>
      <c r="Q26" s="4"/>
    </row>
    <row r="27" spans="1:18">
      <c r="A27" s="116" t="s">
        <v>374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44160100-5394-46DD-9ADB-F6CF9A94EEC6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25C8F-A5EC-42AD-93A4-66BBE1B03465}">
  <sheetPr>
    <tabColor rgb="FF0070C0"/>
  </sheetPr>
  <dimension ref="A1:R28"/>
  <sheetViews>
    <sheetView showGridLines="0" zoomScale="90" zoomScaleNormal="90" workbookViewId="0">
      <selection activeCell="L22" sqref="L22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16.28515625" customWidth="1"/>
    <col min="6" max="6" width="10.7109375" bestFit="1" customWidth="1"/>
    <col min="7" max="7" width="10.28515625" bestFit="1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6" ht="15.75">
      <c r="A1" s="568" t="s">
        <v>360</v>
      </c>
      <c r="B1" s="568"/>
      <c r="C1" s="568"/>
      <c r="D1" s="568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>
      <c r="A3" s="571" t="s">
        <v>419</v>
      </c>
      <c r="B3" s="571"/>
      <c r="C3" s="571"/>
      <c r="D3" s="571"/>
      <c r="E3" s="571"/>
      <c r="F3" s="5" t="s">
        <v>362</v>
      </c>
      <c r="G3" s="5" t="s">
        <v>363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6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</v>
      </c>
      <c r="G4" s="7">
        <v>0</v>
      </c>
      <c r="H4" s="6">
        <v>0</v>
      </c>
      <c r="I4" s="247">
        <v>0</v>
      </c>
      <c r="J4" s="24" t="s">
        <v>371</v>
      </c>
      <c r="K4" s="253">
        <v>0.03</v>
      </c>
      <c r="L4" s="26" t="s">
        <v>382</v>
      </c>
      <c r="M4" s="27">
        <v>0.23</v>
      </c>
      <c r="N4" s="235" t="s">
        <v>372</v>
      </c>
      <c r="O4" s="25" t="s">
        <v>14</v>
      </c>
    </row>
    <row r="5" spans="1:16" s="16" customFormat="1">
      <c r="A5" s="86" t="s">
        <v>373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374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374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374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374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374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374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374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>
      <c r="A13" s="87" t="s">
        <v>383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>
      <c r="A19" s="86" t="s">
        <v>375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>
      <c r="A22" s="13"/>
      <c r="B22" s="13"/>
      <c r="C22" s="14"/>
      <c r="D22" s="15" t="s">
        <v>376</v>
      </c>
      <c r="E22" s="15">
        <f>SUM(E6:E20)</f>
        <v>0</v>
      </c>
      <c r="F22" s="16"/>
      <c r="G22" s="16"/>
      <c r="H22" s="16"/>
      <c r="I22" s="16"/>
      <c r="J22" s="17" t="s">
        <v>377</v>
      </c>
      <c r="K22" s="17"/>
      <c r="L22" s="15">
        <f>SUM(L6:L20)</f>
        <v>0</v>
      </c>
      <c r="M22" s="16"/>
      <c r="N22" s="17" t="s">
        <v>378</v>
      </c>
      <c r="O22" s="15">
        <f>SUM(O6:O20)</f>
        <v>0</v>
      </c>
      <c r="Q22" s="4"/>
      <c r="R22" s="3"/>
    </row>
    <row r="23" spans="1:18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379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368</v>
      </c>
      <c r="E25" s="3"/>
      <c r="Q25" s="4"/>
      <c r="R25" s="3"/>
    </row>
    <row r="26" spans="1:18">
      <c r="A26" s="116" t="s">
        <v>380</v>
      </c>
      <c r="B26" s="8"/>
      <c r="E26" s="3"/>
      <c r="Q26" s="4"/>
    </row>
    <row r="27" spans="1:18">
      <c r="A27" s="116" t="s">
        <v>374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5C98F04-77FE-4B85-A380-5680C21B2BC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4FC2F-727E-4284-8093-AA86643E119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16.28515625" customWidth="1"/>
    <col min="6" max="6" width="10.7109375" bestFit="1" customWidth="1"/>
    <col min="7" max="7" width="10.28515625" bestFit="1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6" ht="15.75">
      <c r="A1" s="568" t="s">
        <v>360</v>
      </c>
      <c r="B1" s="568"/>
      <c r="C1" s="568"/>
      <c r="D1" s="568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>
      <c r="A3" s="571" t="s">
        <v>420</v>
      </c>
      <c r="B3" s="571"/>
      <c r="C3" s="571"/>
      <c r="D3" s="571"/>
      <c r="E3" s="571"/>
      <c r="F3" s="5" t="s">
        <v>362</v>
      </c>
      <c r="G3" s="5" t="s">
        <v>363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6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</v>
      </c>
      <c r="G4" s="7">
        <v>0</v>
      </c>
      <c r="H4" s="6">
        <v>0</v>
      </c>
      <c r="I4" s="247">
        <v>0</v>
      </c>
      <c r="J4" s="24" t="s">
        <v>371</v>
      </c>
      <c r="K4" s="253">
        <v>0.03</v>
      </c>
      <c r="L4" s="26" t="s">
        <v>382</v>
      </c>
      <c r="M4" s="27">
        <v>0.23</v>
      </c>
      <c r="N4" s="235" t="s">
        <v>372</v>
      </c>
      <c r="O4" s="25" t="s">
        <v>14</v>
      </c>
    </row>
    <row r="5" spans="1:16" s="16" customFormat="1">
      <c r="A5" s="86" t="s">
        <v>373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374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374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374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374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374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374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374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>
      <c r="A13" s="87" t="s">
        <v>383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>
      <c r="A19" s="86" t="s">
        <v>375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>
      <c r="A22" s="13"/>
      <c r="B22" s="13"/>
      <c r="C22" s="14"/>
      <c r="D22" s="15" t="s">
        <v>376</v>
      </c>
      <c r="E22" s="15">
        <f>SUM(E6:E20)</f>
        <v>0</v>
      </c>
      <c r="F22" s="16"/>
      <c r="G22" s="16"/>
      <c r="H22" s="16"/>
      <c r="I22" s="16"/>
      <c r="J22" s="17" t="s">
        <v>377</v>
      </c>
      <c r="K22" s="17"/>
      <c r="L22" s="15">
        <f>SUM(L6:L20)</f>
        <v>0</v>
      </c>
      <c r="M22" s="16"/>
      <c r="N22" s="17" t="s">
        <v>378</v>
      </c>
      <c r="O22" s="15">
        <f>SUM(O6:O20)</f>
        <v>0</v>
      </c>
      <c r="Q22" s="4"/>
      <c r="R22" s="3"/>
    </row>
    <row r="23" spans="1:18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379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368</v>
      </c>
      <c r="E25" s="3"/>
      <c r="Q25" s="4"/>
      <c r="R25" s="3"/>
    </row>
    <row r="26" spans="1:18">
      <c r="A26" s="116" t="s">
        <v>380</v>
      </c>
      <c r="B26" s="8"/>
      <c r="E26" s="3"/>
      <c r="Q26" s="4"/>
    </row>
    <row r="27" spans="1:18">
      <c r="A27" s="116" t="s">
        <v>374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87360F6-FA19-47EB-AE46-CAD83C417C2D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7AAE6-9151-40F2-B460-60E37AE49EA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16.28515625" customWidth="1"/>
    <col min="6" max="6" width="10.7109375" bestFit="1" customWidth="1"/>
    <col min="7" max="7" width="10.28515625" bestFit="1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6" ht="15.75">
      <c r="A1" s="568" t="s">
        <v>360</v>
      </c>
      <c r="B1" s="568"/>
      <c r="C1" s="568"/>
      <c r="D1" s="568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>
      <c r="A3" s="571" t="s">
        <v>421</v>
      </c>
      <c r="B3" s="571"/>
      <c r="C3" s="571"/>
      <c r="D3" s="571"/>
      <c r="E3" s="571"/>
      <c r="F3" s="5" t="s">
        <v>362</v>
      </c>
      <c r="G3" s="5" t="s">
        <v>363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6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</v>
      </c>
      <c r="G4" s="7">
        <v>0</v>
      </c>
      <c r="H4" s="6">
        <v>0</v>
      </c>
      <c r="I4" s="247">
        <v>0</v>
      </c>
      <c r="J4" s="24" t="s">
        <v>371</v>
      </c>
      <c r="K4" s="253">
        <v>0.03</v>
      </c>
      <c r="L4" s="26" t="s">
        <v>382</v>
      </c>
      <c r="M4" s="27">
        <v>0.23</v>
      </c>
      <c r="N4" s="235" t="s">
        <v>372</v>
      </c>
      <c r="O4" s="25" t="s">
        <v>14</v>
      </c>
    </row>
    <row r="5" spans="1:16" s="16" customFormat="1">
      <c r="A5" s="86" t="s">
        <v>373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374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374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374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374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374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374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374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>
      <c r="A13" s="87" t="s">
        <v>383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>
      <c r="A19" s="86" t="s">
        <v>375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>
      <c r="A22" s="13"/>
      <c r="B22" s="13"/>
      <c r="C22" s="14"/>
      <c r="D22" s="15" t="s">
        <v>376</v>
      </c>
      <c r="E22" s="15">
        <f>SUM(E6:E20)</f>
        <v>0</v>
      </c>
      <c r="F22" s="16"/>
      <c r="G22" s="16"/>
      <c r="H22" s="16"/>
      <c r="I22" s="16"/>
      <c r="J22" s="17" t="s">
        <v>377</v>
      </c>
      <c r="K22" s="17"/>
      <c r="L22" s="15">
        <f>SUM(L6:L20)</f>
        <v>0</v>
      </c>
      <c r="M22" s="16"/>
      <c r="N22" s="17" t="s">
        <v>378</v>
      </c>
      <c r="O22" s="15">
        <f>SUM(O6:O20)</f>
        <v>0</v>
      </c>
      <c r="Q22" s="4"/>
      <c r="R22" s="3"/>
    </row>
    <row r="23" spans="1:18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379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368</v>
      </c>
      <c r="E25" s="3"/>
      <c r="Q25" s="4"/>
      <c r="R25" s="3"/>
    </row>
    <row r="26" spans="1:18">
      <c r="A26" s="116" t="s">
        <v>380</v>
      </c>
      <c r="B26" s="8"/>
      <c r="E26" s="3"/>
      <c r="Q26" s="4"/>
    </row>
    <row r="27" spans="1:18">
      <c r="A27" s="116" t="s">
        <v>374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1F695E72-CF58-45B4-87ED-6A5ADCD99E31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87514-2899-410F-8CCB-85904433EAB7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16.28515625" customWidth="1"/>
    <col min="6" max="6" width="10.7109375" bestFit="1" customWidth="1"/>
    <col min="7" max="7" width="10.28515625" bestFit="1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6" ht="15.75">
      <c r="A1" s="568" t="s">
        <v>360</v>
      </c>
      <c r="B1" s="568"/>
      <c r="C1" s="568"/>
      <c r="D1" s="568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>
      <c r="A3" s="571" t="s">
        <v>422</v>
      </c>
      <c r="B3" s="571"/>
      <c r="C3" s="571"/>
      <c r="D3" s="571"/>
      <c r="E3" s="571"/>
      <c r="F3" s="5" t="s">
        <v>362</v>
      </c>
      <c r="G3" s="5" t="s">
        <v>363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6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</v>
      </c>
      <c r="G4" s="7">
        <v>0</v>
      </c>
      <c r="H4" s="6">
        <v>0</v>
      </c>
      <c r="I4" s="247">
        <v>0</v>
      </c>
      <c r="J4" s="24" t="s">
        <v>371</v>
      </c>
      <c r="K4" s="253">
        <v>0.03</v>
      </c>
      <c r="L4" s="26" t="s">
        <v>382</v>
      </c>
      <c r="M4" s="27">
        <v>0.23</v>
      </c>
      <c r="N4" s="235" t="s">
        <v>372</v>
      </c>
      <c r="O4" s="25" t="s">
        <v>14</v>
      </c>
    </row>
    <row r="5" spans="1:16" s="16" customFormat="1">
      <c r="A5" s="86" t="s">
        <v>373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374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374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374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374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374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374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374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>
      <c r="A13" s="87" t="s">
        <v>383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>
      <c r="A19" s="86" t="s">
        <v>375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>
      <c r="A22" s="13"/>
      <c r="B22" s="13"/>
      <c r="C22" s="14"/>
      <c r="D22" s="15" t="s">
        <v>376</v>
      </c>
      <c r="E22" s="15">
        <f>SUM(E6:E20)</f>
        <v>0</v>
      </c>
      <c r="F22" s="16"/>
      <c r="G22" s="16"/>
      <c r="H22" s="16"/>
      <c r="I22" s="16"/>
      <c r="J22" s="17" t="s">
        <v>377</v>
      </c>
      <c r="K22" s="17"/>
      <c r="L22" s="15">
        <f>SUM(L6:L20)</f>
        <v>0</v>
      </c>
      <c r="M22" s="16"/>
      <c r="N22" s="17" t="s">
        <v>378</v>
      </c>
      <c r="O22" s="15">
        <f>SUM(O6:O20)</f>
        <v>0</v>
      </c>
      <c r="Q22" s="4"/>
      <c r="R22" s="3"/>
    </row>
    <row r="23" spans="1:18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379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368</v>
      </c>
      <c r="E25" s="3"/>
      <c r="Q25" s="4"/>
      <c r="R25" s="3"/>
    </row>
    <row r="26" spans="1:18">
      <c r="A26" s="116" t="s">
        <v>380</v>
      </c>
      <c r="B26" s="8"/>
      <c r="E26" s="3"/>
      <c r="Q26" s="4"/>
    </row>
    <row r="27" spans="1:18">
      <c r="A27" s="116" t="s">
        <v>374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C2A30B2-B709-4440-ACC5-62A58983313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4899-C5AC-4EFE-8C57-7B59BAA565B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16.28515625" customWidth="1"/>
    <col min="6" max="6" width="10.7109375" bestFit="1" customWidth="1"/>
    <col min="7" max="7" width="10.28515625" bestFit="1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6" ht="15.75">
      <c r="A1" s="568" t="s">
        <v>360</v>
      </c>
      <c r="B1" s="568"/>
      <c r="C1" s="568"/>
      <c r="D1" s="568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>
      <c r="A3" s="571" t="s">
        <v>423</v>
      </c>
      <c r="B3" s="571"/>
      <c r="C3" s="571"/>
      <c r="D3" s="571"/>
      <c r="E3" s="571"/>
      <c r="F3" s="5" t="s">
        <v>362</v>
      </c>
      <c r="G3" s="5" t="s">
        <v>363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6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</v>
      </c>
      <c r="G4" s="7">
        <v>0</v>
      </c>
      <c r="H4" s="6">
        <v>0</v>
      </c>
      <c r="I4" s="247">
        <v>0</v>
      </c>
      <c r="J4" s="24" t="s">
        <v>371</v>
      </c>
      <c r="K4" s="253">
        <v>0.03</v>
      </c>
      <c r="L4" s="26" t="s">
        <v>382</v>
      </c>
      <c r="M4" s="27">
        <v>0.23</v>
      </c>
      <c r="N4" s="235" t="s">
        <v>372</v>
      </c>
      <c r="O4" s="25" t="s">
        <v>14</v>
      </c>
    </row>
    <row r="5" spans="1:16" s="16" customFormat="1">
      <c r="A5" s="86" t="s">
        <v>373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374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374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374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374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374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374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374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>
      <c r="A13" s="87" t="s">
        <v>383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>
      <c r="A19" s="86" t="s">
        <v>375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>
      <c r="A22" s="13"/>
      <c r="B22" s="13"/>
      <c r="C22" s="14"/>
      <c r="D22" s="15" t="s">
        <v>376</v>
      </c>
      <c r="E22" s="15">
        <f>SUM(E6:E20)</f>
        <v>0</v>
      </c>
      <c r="F22" s="16"/>
      <c r="G22" s="16"/>
      <c r="H22" s="16"/>
      <c r="I22" s="16"/>
      <c r="J22" s="17" t="s">
        <v>377</v>
      </c>
      <c r="K22" s="17"/>
      <c r="L22" s="15">
        <f>SUM(L6:L20)</f>
        <v>0</v>
      </c>
      <c r="M22" s="16"/>
      <c r="N22" s="17" t="s">
        <v>378</v>
      </c>
      <c r="O22" s="15">
        <f>SUM(O6:O20)</f>
        <v>0</v>
      </c>
      <c r="Q22" s="4"/>
      <c r="R22" s="3"/>
    </row>
    <row r="23" spans="1:18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379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368</v>
      </c>
      <c r="E25" s="3"/>
      <c r="Q25" s="4"/>
      <c r="R25" s="3"/>
    </row>
    <row r="26" spans="1:18">
      <c r="A26" s="116" t="s">
        <v>380</v>
      </c>
      <c r="B26" s="8"/>
      <c r="E26" s="3"/>
      <c r="Q26" s="4"/>
    </row>
    <row r="27" spans="1:18">
      <c r="A27" s="116" t="s">
        <v>374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4E19A3D-36E0-4741-934F-A6F3ED04E1EC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362DC-86ED-4676-9829-4FB9B4EB65D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16.28515625" customWidth="1"/>
    <col min="6" max="6" width="10.7109375" bestFit="1" customWidth="1"/>
    <col min="7" max="7" width="10.28515625" bestFit="1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6" ht="15.75">
      <c r="A1" s="568" t="s">
        <v>360</v>
      </c>
      <c r="B1" s="568"/>
      <c r="C1" s="568"/>
      <c r="D1" s="568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>
      <c r="A3" s="571" t="s">
        <v>424</v>
      </c>
      <c r="B3" s="571"/>
      <c r="C3" s="571"/>
      <c r="D3" s="571"/>
      <c r="E3" s="571"/>
      <c r="F3" s="5" t="s">
        <v>362</v>
      </c>
      <c r="G3" s="5" t="s">
        <v>363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6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</v>
      </c>
      <c r="G4" s="7">
        <v>0</v>
      </c>
      <c r="H4" s="6">
        <v>0</v>
      </c>
      <c r="I4" s="247">
        <v>0</v>
      </c>
      <c r="J4" s="24" t="s">
        <v>371</v>
      </c>
      <c r="K4" s="253">
        <v>0.03</v>
      </c>
      <c r="L4" s="26" t="s">
        <v>382</v>
      </c>
      <c r="M4" s="27">
        <v>0.23</v>
      </c>
      <c r="N4" s="235" t="s">
        <v>372</v>
      </c>
      <c r="O4" s="25" t="s">
        <v>14</v>
      </c>
    </row>
    <row r="5" spans="1:16" s="16" customFormat="1">
      <c r="A5" s="86" t="s">
        <v>373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374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374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374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374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374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374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374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>
      <c r="A13" s="87" t="s">
        <v>383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>
      <c r="A19" s="86" t="s">
        <v>375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>
      <c r="A22" s="13"/>
      <c r="B22" s="13"/>
      <c r="C22" s="14"/>
      <c r="D22" s="15" t="s">
        <v>376</v>
      </c>
      <c r="E22" s="15">
        <f>SUM(E6:E20)</f>
        <v>0</v>
      </c>
      <c r="F22" s="16"/>
      <c r="G22" s="16"/>
      <c r="H22" s="16"/>
      <c r="I22" s="16"/>
      <c r="J22" s="17" t="s">
        <v>377</v>
      </c>
      <c r="K22" s="17"/>
      <c r="L22" s="15">
        <f>SUM(L6:L20)</f>
        <v>0</v>
      </c>
      <c r="M22" s="16"/>
      <c r="N22" s="17" t="s">
        <v>378</v>
      </c>
      <c r="O22" s="15">
        <f>SUM(O6:O20)</f>
        <v>0</v>
      </c>
      <c r="Q22" s="4"/>
      <c r="R22" s="3"/>
    </row>
    <row r="23" spans="1:18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379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368</v>
      </c>
      <c r="E25" s="3"/>
      <c r="Q25" s="4"/>
      <c r="R25" s="3"/>
    </row>
    <row r="26" spans="1:18">
      <c r="A26" s="116" t="s">
        <v>380</v>
      </c>
      <c r="B26" s="8"/>
      <c r="E26" s="3"/>
      <c r="Q26" s="4"/>
    </row>
    <row r="27" spans="1:18">
      <c r="A27" s="116" t="s">
        <v>374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F5E2E0C-EF76-4844-8508-5C1CAACCDD0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B5312-D2ED-4894-AD71-D222A4BBF9B4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16.28515625" customWidth="1"/>
    <col min="6" max="6" width="10.7109375" bestFit="1" customWidth="1"/>
    <col min="7" max="7" width="10.28515625" bestFit="1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6" ht="15.75">
      <c r="A1" s="568" t="s">
        <v>360</v>
      </c>
      <c r="B1" s="568"/>
      <c r="C1" s="568"/>
      <c r="D1" s="568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>
      <c r="A3" s="571" t="s">
        <v>425</v>
      </c>
      <c r="B3" s="571"/>
      <c r="C3" s="571"/>
      <c r="D3" s="571"/>
      <c r="E3" s="571"/>
      <c r="F3" s="5" t="s">
        <v>362</v>
      </c>
      <c r="G3" s="5" t="s">
        <v>363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6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</v>
      </c>
      <c r="G4" s="7">
        <v>0</v>
      </c>
      <c r="H4" s="6">
        <v>0</v>
      </c>
      <c r="I4" s="247">
        <v>0</v>
      </c>
      <c r="J4" s="24" t="s">
        <v>371</v>
      </c>
      <c r="K4" s="253">
        <v>0.03</v>
      </c>
      <c r="L4" s="26" t="s">
        <v>382</v>
      </c>
      <c r="M4" s="27">
        <v>0.23</v>
      </c>
      <c r="N4" s="235" t="s">
        <v>372</v>
      </c>
      <c r="O4" s="25" t="s">
        <v>14</v>
      </c>
    </row>
    <row r="5" spans="1:16" s="16" customFormat="1">
      <c r="A5" s="86" t="s">
        <v>373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374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374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374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374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374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374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374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>
      <c r="A13" s="87" t="s">
        <v>383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>
      <c r="A19" s="86" t="s">
        <v>375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>
      <c r="A22" s="13"/>
      <c r="B22" s="13"/>
      <c r="C22" s="14"/>
      <c r="D22" s="15" t="s">
        <v>376</v>
      </c>
      <c r="E22" s="15">
        <f>SUM(E6:E20)</f>
        <v>0</v>
      </c>
      <c r="F22" s="16"/>
      <c r="G22" s="16"/>
      <c r="H22" s="16"/>
      <c r="I22" s="16"/>
      <c r="J22" s="17" t="s">
        <v>377</v>
      </c>
      <c r="K22" s="17"/>
      <c r="L22" s="15">
        <f>SUM(L6:L20)</f>
        <v>0</v>
      </c>
      <c r="M22" s="16"/>
      <c r="N22" s="17" t="s">
        <v>378</v>
      </c>
      <c r="O22" s="15">
        <f>SUM(O6:O20)</f>
        <v>0</v>
      </c>
      <c r="Q22" s="4"/>
      <c r="R22" s="3"/>
    </row>
    <row r="23" spans="1:18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379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368</v>
      </c>
      <c r="E25" s="3"/>
      <c r="Q25" s="4"/>
      <c r="R25" s="3"/>
    </row>
    <row r="26" spans="1:18">
      <c r="A26" s="116" t="s">
        <v>380</v>
      </c>
      <c r="B26" s="8"/>
      <c r="E26" s="3"/>
      <c r="Q26" s="4"/>
    </row>
    <row r="27" spans="1:18">
      <c r="A27" s="116" t="s">
        <v>374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AAE57C9C-0C8F-4E78-90A6-4DBCF66CD5E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574D7-FC3D-4890-849A-F6E04D2B7E71}">
  <sheetPr>
    <tabColor rgb="FFFF0000"/>
  </sheetPr>
  <dimension ref="A1:K37"/>
  <sheetViews>
    <sheetView showGridLines="0" zoomScale="90" zoomScaleNormal="90" workbookViewId="0">
      <selection activeCell="C5" sqref="C5"/>
    </sheetView>
  </sheetViews>
  <sheetFormatPr baseColWidth="10" defaultColWidth="10.5703125" defaultRowHeight="12.75"/>
  <cols>
    <col min="1" max="1" width="17.5703125" style="34" customWidth="1"/>
    <col min="2" max="2" width="45.85546875" style="16" customWidth="1"/>
    <col min="3" max="3" width="20.28515625" style="16" customWidth="1"/>
    <col min="4" max="4" width="19.140625" style="16" bestFit="1" customWidth="1"/>
    <col min="5" max="5" width="16.140625" style="16" customWidth="1"/>
    <col min="6" max="6" width="17.7109375" style="16" customWidth="1"/>
    <col min="7" max="7" width="21.140625" style="16" bestFit="1" customWidth="1"/>
    <col min="8" max="8" width="18.85546875" style="16" customWidth="1"/>
    <col min="9" max="9" width="18.28515625" style="16" customWidth="1"/>
    <col min="10" max="10" width="16.42578125" style="16" bestFit="1" customWidth="1"/>
    <col min="11" max="16384" width="10.5703125" style="16"/>
  </cols>
  <sheetData>
    <row r="1" spans="1:11" ht="15">
      <c r="B1" s="173" t="s">
        <v>279</v>
      </c>
      <c r="F1" s="35" t="s">
        <v>280</v>
      </c>
      <c r="G1" s="12">
        <v>25</v>
      </c>
      <c r="J1" s="36"/>
    </row>
    <row r="2" spans="1:11" ht="16.5" customHeight="1">
      <c r="B2" s="531" t="s">
        <v>243</v>
      </c>
      <c r="C2" s="531"/>
      <c r="D2" s="531"/>
      <c r="E2" s="531"/>
      <c r="F2" s="531"/>
      <c r="G2" s="531"/>
      <c r="H2" s="283"/>
      <c r="I2" s="284"/>
    </row>
    <row r="3" spans="1:11" s="48" customFormat="1" ht="31.5" customHeight="1" thickBot="1">
      <c r="A3" s="47"/>
      <c r="B3" s="169" t="s">
        <v>244</v>
      </c>
      <c r="C3" s="170" t="s">
        <v>281</v>
      </c>
      <c r="D3" s="170" t="s">
        <v>248</v>
      </c>
      <c r="E3" s="170" t="s">
        <v>282</v>
      </c>
      <c r="F3" s="170" t="s">
        <v>283</v>
      </c>
      <c r="G3" s="170" t="s">
        <v>284</v>
      </c>
      <c r="H3" s="398"/>
      <c r="I3" s="282"/>
    </row>
    <row r="4" spans="1:11" ht="15.95" customHeight="1">
      <c r="A4" s="532" t="s">
        <v>285</v>
      </c>
      <c r="B4" s="210" t="str">
        <f>Equipos!B3</f>
        <v>Productos 1</v>
      </c>
      <c r="C4" s="255">
        <v>0</v>
      </c>
      <c r="D4" s="257" t="e">
        <f>C4/$C$12</f>
        <v>#DIV/0!</v>
      </c>
      <c r="E4" s="258">
        <f>+Equipos!N4</f>
        <v>0.27400000000000002</v>
      </c>
      <c r="F4" s="259">
        <f>Tabla24[[#This Row],[Costo]]/(1-Tabla24[[#This Row],[% de venta]])</f>
        <v>0</v>
      </c>
      <c r="G4" s="260">
        <f>+Tabla24[[#This Row],[P. Venta ]]-Tabla24[[#This Row],[Costo]]</f>
        <v>0</v>
      </c>
      <c r="H4" s="277"/>
    </row>
    <row r="5" spans="1:11" ht="15.95" customHeight="1">
      <c r="A5" s="533"/>
      <c r="B5" s="451" t="str">
        <f>+'Productos 2'!A3</f>
        <v>Productos 2</v>
      </c>
      <c r="C5" s="452">
        <f>+'Productos 2'!L17</f>
        <v>0</v>
      </c>
      <c r="D5" s="453" t="e">
        <f t="shared" ref="D5:D11" si="0">C5/$C$12</f>
        <v>#DIV/0!</v>
      </c>
      <c r="E5" s="454">
        <f>+'Productos 2'!M4</f>
        <v>0.3</v>
      </c>
      <c r="F5" s="455">
        <f>Tabla24[[#This Row],[Costo]]/(1-Tabla24[[#This Row],[% de venta]])</f>
        <v>0</v>
      </c>
      <c r="G5" s="456">
        <f>+Tabla24[[#This Row],[P. Venta ]]-Tabla24[[#This Row],[Costo]]</f>
        <v>0</v>
      </c>
      <c r="H5" s="278"/>
    </row>
    <row r="6" spans="1:11" ht="15.95" customHeight="1">
      <c r="A6" s="533"/>
      <c r="B6" s="457" t="str">
        <f>+'Productos 3'!A3</f>
        <v>Productos 3</v>
      </c>
      <c r="C6" s="452">
        <f>+'Productos 3'!L22</f>
        <v>0</v>
      </c>
      <c r="D6" s="453" t="e">
        <f t="shared" si="0"/>
        <v>#DIV/0!</v>
      </c>
      <c r="E6" s="454">
        <f>+'Productos 3'!M4</f>
        <v>0.3</v>
      </c>
      <c r="F6" s="455">
        <f>Tabla24[[#This Row],[Costo]]/(1-Tabla24[[#This Row],[% de venta]])</f>
        <v>0</v>
      </c>
      <c r="G6" s="456">
        <f>+Tabla24[[#This Row],[P. Venta ]]-Tabla24[[#This Row],[Costo]]</f>
        <v>0</v>
      </c>
      <c r="H6" s="278"/>
    </row>
    <row r="7" spans="1:11" ht="15.95" customHeight="1">
      <c r="A7" s="533"/>
      <c r="B7" s="451" t="str">
        <f>+'Productos 4'!A3</f>
        <v>Productos 4</v>
      </c>
      <c r="C7" s="452">
        <f>+'Productos 4'!L21</f>
        <v>0</v>
      </c>
      <c r="D7" s="453" t="e">
        <f t="shared" si="0"/>
        <v>#DIV/0!</v>
      </c>
      <c r="E7" s="454">
        <f>+'Productos 4'!M4</f>
        <v>0.3</v>
      </c>
      <c r="F7" s="455">
        <f>Tabla24[[#This Row],[Costo]]/(1-Tabla24[[#This Row],[% de venta]])</f>
        <v>0</v>
      </c>
      <c r="G7" s="456">
        <f>+Tabla24[[#This Row],[P. Venta ]]-Tabla24[[#This Row],[Costo]]</f>
        <v>0</v>
      </c>
      <c r="H7" s="278"/>
    </row>
    <row r="8" spans="1:11" ht="15.95" customHeight="1" thickBot="1">
      <c r="A8" s="534"/>
      <c r="B8" s="214" t="str">
        <f>+'Productos 5'!A3</f>
        <v>Productos 5</v>
      </c>
      <c r="C8" s="256">
        <f>+'Productos 5'!L25</f>
        <v>0</v>
      </c>
      <c r="D8" s="261" t="e">
        <f t="shared" si="0"/>
        <v>#DIV/0!</v>
      </c>
      <c r="E8" s="262">
        <f>+'Productos 5'!M4</f>
        <v>0.3</v>
      </c>
      <c r="F8" s="263">
        <f>Tabla24[[#This Row],[Costo]]/(1-Tabla24[[#This Row],[% de venta]])</f>
        <v>0</v>
      </c>
      <c r="G8" s="264">
        <f>+Tabla24[[#This Row],[P. Venta ]]-Tabla24[[#This Row],[Costo]]</f>
        <v>0</v>
      </c>
      <c r="H8" s="279"/>
    </row>
    <row r="9" spans="1:11" ht="114.75" customHeight="1" thickBot="1">
      <c r="A9" s="309" t="s">
        <v>286</v>
      </c>
      <c r="B9" s="286" t="str">
        <f>+MATERIALES!A3</f>
        <v>Materiales</v>
      </c>
      <c r="C9" s="287">
        <f>+MATERIALES!L46</f>
        <v>0</v>
      </c>
      <c r="D9" s="265" t="e">
        <f t="shared" si="0"/>
        <v>#DIV/0!</v>
      </c>
      <c r="E9" s="288">
        <f>+MATERIALES!M4</f>
        <v>0.3</v>
      </c>
      <c r="F9" s="289">
        <f>Tabla24[[#This Row],[Costo]]/(1-Tabla24[[#This Row],[% de venta]])</f>
        <v>0</v>
      </c>
      <c r="G9" s="290">
        <f>+Tabla24[[#This Row],[P. Venta ]]-Tabla24[[#This Row],[Costo]]</f>
        <v>0</v>
      </c>
      <c r="H9" s="280"/>
    </row>
    <row r="10" spans="1:11" ht="57" customHeight="1" thickBot="1">
      <c r="A10" s="308"/>
      <c r="B10" s="458" t="str">
        <f>+'OPEX GV'!A3</f>
        <v>OPEX GV</v>
      </c>
      <c r="C10" s="459">
        <f>+'OPEX GV'!L17</f>
        <v>0</v>
      </c>
      <c r="D10" s="292" t="e">
        <f t="shared" si="0"/>
        <v>#DIV/0!</v>
      </c>
      <c r="E10" s="262">
        <f>+'OPEX GV'!M4</f>
        <v>0.27400000000000002</v>
      </c>
      <c r="F10" s="263">
        <f>Tabla24[[#This Row],[Costo]]/(1-Tabla24[[#This Row],[% de venta]])</f>
        <v>0</v>
      </c>
      <c r="G10" s="291">
        <f>+Tabla24[[#This Row],[P. Venta ]]-Tabla24[[#This Row],[Costo]]</f>
        <v>0</v>
      </c>
      <c r="H10" s="293"/>
    </row>
    <row r="11" spans="1:11" ht="36.6" customHeight="1" thickBot="1">
      <c r="A11" s="172" t="s">
        <v>217</v>
      </c>
      <c r="B11" s="211" t="str">
        <f>+'OPEX Proyecto'!A3</f>
        <v>OPEX</v>
      </c>
      <c r="C11" s="256">
        <f>+'OPEX Proyecto'!L24</f>
        <v>0</v>
      </c>
      <c r="D11" s="285" t="e">
        <f t="shared" si="0"/>
        <v>#DIV/0!</v>
      </c>
      <c r="E11" s="266">
        <f>+'OPEX Proyecto'!M4</f>
        <v>0.3</v>
      </c>
      <c r="F11" s="267">
        <f>Tabla24[[#This Row],[Costo]]/(1-Tabla24[[#This Row],[% de venta]])</f>
        <v>0</v>
      </c>
      <c r="G11" s="268">
        <f>+Tabla24[[#This Row],[P. Venta ]]-Tabla24[[#This Row],[Costo]]</f>
        <v>0</v>
      </c>
      <c r="H11" s="278"/>
    </row>
    <row r="12" spans="1:11" ht="15.95" customHeight="1">
      <c r="A12" s="16"/>
      <c r="B12" s="176" t="s">
        <v>266</v>
      </c>
      <c r="C12" s="177">
        <f>SUBTOTAL(109,C4:C11)</f>
        <v>0</v>
      </c>
      <c r="D12" s="171" t="e">
        <f>SUBTOTAL(109,D4:D11)</f>
        <v>#DIV/0!</v>
      </c>
      <c r="E12" s="171">
        <f>+AVERAGE(E4:E11)</f>
        <v>0.29349999999999998</v>
      </c>
      <c r="F12" s="178">
        <f>SUBTOTAL(109,F4:F11)</f>
        <v>0</v>
      </c>
      <c r="G12" s="178">
        <f>SUBTOTAL(109,G4:G11)</f>
        <v>0</v>
      </c>
      <c r="H12" s="281"/>
    </row>
    <row r="13" spans="1:11" ht="15.95" customHeight="1" thickBot="1">
      <c r="A13" s="16"/>
      <c r="C13" s="179"/>
      <c r="D13" s="180"/>
      <c r="E13" s="180"/>
      <c r="F13" s="181"/>
      <c r="G13" s="182"/>
    </row>
    <row r="14" spans="1:11" ht="15.95" customHeight="1" thickBot="1">
      <c r="A14" s="16"/>
      <c r="H14" s="528" t="s">
        <v>287</v>
      </c>
      <c r="I14" s="529"/>
      <c r="J14" s="529"/>
      <c r="K14" s="530"/>
    </row>
    <row r="15" spans="1:11" ht="15.95" customHeight="1" thickBot="1">
      <c r="A15" s="16"/>
      <c r="B15" s="296" t="s">
        <v>211</v>
      </c>
      <c r="C15" s="297">
        <f>F12</f>
        <v>0</v>
      </c>
      <c r="H15" s="183" t="s">
        <v>288</v>
      </c>
      <c r="I15" s="33">
        <f>+F12</f>
        <v>0</v>
      </c>
      <c r="J15" s="184" t="s">
        <v>289</v>
      </c>
      <c r="K15" s="241">
        <v>0.1</v>
      </c>
    </row>
    <row r="16" spans="1:11" ht="15.95" customHeight="1" thickBot="1">
      <c r="A16" s="16"/>
      <c r="B16" s="223" t="s">
        <v>214</v>
      </c>
      <c r="C16" s="298">
        <f>C12</f>
        <v>0</v>
      </c>
      <c r="H16" s="185" t="s">
        <v>290</v>
      </c>
      <c r="I16" s="240">
        <v>48</v>
      </c>
      <c r="J16" s="12"/>
      <c r="K16" s="186"/>
    </row>
    <row r="17" spans="1:11" ht="15.95" customHeight="1">
      <c r="A17" s="16"/>
      <c r="B17" s="223" t="s">
        <v>291</v>
      </c>
      <c r="C17" s="299">
        <f>C15-C16</f>
        <v>0</v>
      </c>
      <c r="H17" s="185" t="s">
        <v>292</v>
      </c>
      <c r="I17" s="38">
        <f>PMT(K15/12,I16,-I15)</f>
        <v>0</v>
      </c>
      <c r="J17" s="187"/>
      <c r="K17" s="49"/>
    </row>
    <row r="18" spans="1:11" ht="15.95" customHeight="1" thickBot="1">
      <c r="A18" s="16"/>
      <c r="B18" s="223" t="s">
        <v>293</v>
      </c>
      <c r="C18" s="298">
        <f>C11</f>
        <v>0</v>
      </c>
      <c r="H18" s="188" t="s">
        <v>241</v>
      </c>
      <c r="I18" s="189" t="e">
        <f>'Evaluacion TIR-VAN'!F45</f>
        <v>#NUM!</v>
      </c>
      <c r="J18" s="108"/>
      <c r="K18" s="190"/>
    </row>
    <row r="19" spans="1:11" ht="15.95" customHeight="1" thickBot="1">
      <c r="A19" s="16"/>
      <c r="B19" s="223" t="s">
        <v>294</v>
      </c>
      <c r="C19" s="298"/>
      <c r="D19" s="300">
        <v>6530.4621315789482</v>
      </c>
      <c r="H19" s="191" t="s">
        <v>295</v>
      </c>
      <c r="I19" s="192"/>
      <c r="J19" s="196">
        <f>'Evaluacion TIR-VAN'!H47</f>
        <v>0</v>
      </c>
      <c r="K19" s="233" t="e">
        <f>J19/I15</f>
        <v>#DIV/0!</v>
      </c>
    </row>
    <row r="20" spans="1:11">
      <c r="A20" s="16"/>
      <c r="B20" s="223" t="s">
        <v>296</v>
      </c>
      <c r="C20" s="298">
        <f>C15*3%</f>
        <v>0</v>
      </c>
    </row>
    <row r="21" spans="1:11">
      <c r="A21" s="16"/>
      <c r="B21" s="301" t="s">
        <v>297</v>
      </c>
      <c r="C21" s="302">
        <f>+C17-SUM(C18:C20)</f>
        <v>0</v>
      </c>
    </row>
    <row r="22" spans="1:11">
      <c r="B22" s="223" t="s">
        <v>298</v>
      </c>
      <c r="C22" s="298">
        <v>0</v>
      </c>
      <c r="H22" s="228"/>
    </row>
    <row r="23" spans="1:11">
      <c r="B23" s="223" t="s">
        <v>299</v>
      </c>
      <c r="C23" s="303">
        <v>0</v>
      </c>
      <c r="G23" s="31"/>
      <c r="I23" s="228">
        <f>I17*574</f>
        <v>0</v>
      </c>
    </row>
    <row r="24" spans="1:11">
      <c r="B24" s="304" t="s">
        <v>300</v>
      </c>
      <c r="C24" s="305">
        <f>C21-C22-C23</f>
        <v>0</v>
      </c>
      <c r="G24" s="31"/>
    </row>
    <row r="25" spans="1:11">
      <c r="B25" s="223" t="s">
        <v>301</v>
      </c>
      <c r="C25" s="303">
        <f>C24*Tabla24[[#This Row],[% del costo]]</f>
        <v>0</v>
      </c>
      <c r="D25" s="306">
        <f>_xlfn.IFS(C24&lt;=D34,C34,C24&lt;=D35,C35,C24&gt;D36,C36)</f>
        <v>0.1</v>
      </c>
      <c r="G25" s="31"/>
    </row>
    <row r="26" spans="1:11">
      <c r="B26" s="301" t="s">
        <v>302</v>
      </c>
      <c r="C26" s="302">
        <f>C24-C25</f>
        <v>0</v>
      </c>
      <c r="D26" s="32" t="e">
        <f>Tabla24[[#This Row],[Costo]]/F12</f>
        <v>#DIV/0!</v>
      </c>
      <c r="G26" s="31"/>
    </row>
    <row r="27" spans="1:11">
      <c r="B27" s="295"/>
      <c r="C27" s="19"/>
      <c r="D27" s="294"/>
      <c r="G27" s="31"/>
    </row>
    <row r="28" spans="1:11">
      <c r="B28" s="295"/>
      <c r="C28" s="19"/>
      <c r="D28" s="294"/>
      <c r="G28" s="31"/>
    </row>
    <row r="29" spans="1:11" ht="15.75">
      <c r="B29" s="242" t="s">
        <v>295</v>
      </c>
      <c r="C29" s="243">
        <f>C26</f>
        <v>0</v>
      </c>
      <c r="D29" s="244" t="e">
        <f>+C29/F12</f>
        <v>#DIV/0!</v>
      </c>
    </row>
    <row r="30" spans="1:11">
      <c r="B30" s="31"/>
      <c r="C30" s="19"/>
    </row>
    <row r="31" spans="1:11" ht="29.25" customHeight="1" thickBot="1">
      <c r="B31" s="31"/>
      <c r="C31" s="19"/>
      <c r="E31" s="275"/>
    </row>
    <row r="32" spans="1:11" ht="31.5" thickBot="1">
      <c r="A32" s="274" t="s">
        <v>303</v>
      </c>
      <c r="B32" s="525" t="s">
        <v>304</v>
      </c>
      <c r="C32" s="526"/>
      <c r="D32" s="527"/>
      <c r="F32"/>
    </row>
    <row r="33" spans="1:6" ht="31.5" thickBot="1">
      <c r="A33" s="274" t="s">
        <v>303</v>
      </c>
      <c r="B33" s="270" t="s">
        <v>305</v>
      </c>
      <c r="C33" s="273" t="s">
        <v>306</v>
      </c>
      <c r="D33" s="270" t="s">
        <v>307</v>
      </c>
    </row>
    <row r="34" spans="1:6" ht="46.5" thickBot="1">
      <c r="A34" s="274" t="s">
        <v>308</v>
      </c>
      <c r="B34" s="271">
        <v>54303000</v>
      </c>
      <c r="C34" s="272">
        <v>0.1</v>
      </c>
      <c r="D34" s="276">
        <f>B34/565</f>
        <v>96111.504424778759</v>
      </c>
    </row>
    <row r="35" spans="1:6" ht="13.5" thickBot="1">
      <c r="B35" s="271">
        <v>109228000</v>
      </c>
      <c r="C35" s="272">
        <v>0.2</v>
      </c>
      <c r="D35" s="276">
        <f t="shared" ref="D35:D36" si="1">B35/565</f>
        <v>193323.89380530972</v>
      </c>
      <c r="F35" s="16">
        <f>_xlfn.IFS(C14&lt;=D34,C34,C14&lt;=D35,C35,C14&gt;D36,C36)</f>
        <v>0.1</v>
      </c>
    </row>
    <row r="36" spans="1:6" ht="13.5" thickBot="1">
      <c r="B36" s="271">
        <v>109228000</v>
      </c>
      <c r="C36" s="272">
        <v>0.3</v>
      </c>
      <c r="D36" s="276">
        <f t="shared" si="1"/>
        <v>193323.89380530972</v>
      </c>
    </row>
    <row r="37" spans="1:6">
      <c r="B37" s="269"/>
      <c r="C37" s="245"/>
      <c r="D37" s="275"/>
    </row>
  </sheetData>
  <mergeCells count="4">
    <mergeCell ref="B2:G2"/>
    <mergeCell ref="A4:A8"/>
    <mergeCell ref="H14:K14"/>
    <mergeCell ref="B32:D32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DE6CC-D8E3-46A6-88F1-875ACA72A308}">
  <sheetPr>
    <tabColor rgb="FFFFFF00"/>
  </sheetPr>
  <dimension ref="A1:R45"/>
  <sheetViews>
    <sheetView showGridLines="0" zoomScale="90" zoomScaleNormal="90" workbookViewId="0">
      <selection activeCell="H31" sqref="H31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16.28515625" customWidth="1"/>
    <col min="6" max="6" width="10.7109375" bestFit="1" customWidth="1"/>
    <col min="7" max="7" width="13.140625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7" ht="15.75">
      <c r="A1" s="568" t="s">
        <v>360</v>
      </c>
      <c r="B1" s="568"/>
      <c r="C1" s="568"/>
      <c r="D1" s="568"/>
      <c r="E1" s="251">
        <f>+Equipos!E1</f>
        <v>0</v>
      </c>
    </row>
    <row r="2" spans="1:17">
      <c r="A2" s="1"/>
      <c r="B2" s="1"/>
      <c r="C2" s="1"/>
      <c r="D2" s="1"/>
      <c r="E2" s="2"/>
    </row>
    <row r="3" spans="1:17">
      <c r="A3" s="571" t="s">
        <v>426</v>
      </c>
      <c r="B3" s="571"/>
      <c r="C3" s="571"/>
      <c r="D3" s="571"/>
      <c r="E3" s="571"/>
      <c r="F3" s="5" t="s">
        <v>362</v>
      </c>
      <c r="G3" s="5" t="s">
        <v>430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7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0.1</v>
      </c>
      <c r="G4" s="7">
        <v>0.03</v>
      </c>
      <c r="H4" s="6">
        <v>0</v>
      </c>
      <c r="I4" s="247">
        <v>0.14000000000000001</v>
      </c>
      <c r="J4" s="24" t="s">
        <v>371</v>
      </c>
      <c r="K4" s="253">
        <v>0.03</v>
      </c>
      <c r="L4" s="26" t="s">
        <v>382</v>
      </c>
      <c r="M4" s="27">
        <f>+Equipos!N4</f>
        <v>0.27400000000000002</v>
      </c>
      <c r="N4" s="235" t="s">
        <v>372</v>
      </c>
      <c r="O4" s="25" t="s">
        <v>14</v>
      </c>
    </row>
    <row r="5" spans="1:17" s="16" customFormat="1">
      <c r="A5" s="86" t="s">
        <v>373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7">
      <c r="A6" s="467" t="s">
        <v>642</v>
      </c>
      <c r="B6" s="467" t="s">
        <v>374</v>
      </c>
      <c r="C6" s="483">
        <v>0</v>
      </c>
      <c r="D6" s="489">
        <f>+'MANO DE OBRA '!G9+'MANO DE OBRA '!K9</f>
        <v>-1</v>
      </c>
      <c r="E6" s="469">
        <f>+D6*C6</f>
        <v>0</v>
      </c>
      <c r="F6" s="480">
        <f>IF(B6="si",D6*$F$4,0)</f>
        <v>0</v>
      </c>
      <c r="G6" s="489">
        <f>(D6+F6)*$G$4</f>
        <v>-0.03</v>
      </c>
      <c r="H6" s="480">
        <f>(D6+F6+G6)*$H$4</f>
        <v>0</v>
      </c>
      <c r="I6" s="480">
        <f>IF(B6="si",(D6+F6+G6+H6)*$I$4,0)</f>
        <v>0</v>
      </c>
      <c r="J6" s="480">
        <f>D6+F6+G6+H6+I6</f>
        <v>-1.03</v>
      </c>
      <c r="K6" s="480">
        <f>J6*$K$4</f>
        <v>-3.09E-2</v>
      </c>
      <c r="L6" s="463">
        <f>(J6+K6)*C6</f>
        <v>0</v>
      </c>
      <c r="M6" s="480">
        <f>(J6+K6)*$M$4/(1-$M$4)</f>
        <v>-0.40039476584022043</v>
      </c>
      <c r="N6" s="480">
        <f>M6+J6+K6</f>
        <v>-1.4612947658402204</v>
      </c>
      <c r="O6" s="480">
        <f>N6*C6</f>
        <v>0</v>
      </c>
      <c r="P6" s="11"/>
    </row>
    <row r="7" spans="1:17">
      <c r="A7" s="467" t="s">
        <v>427</v>
      </c>
      <c r="B7" s="467" t="s">
        <v>374</v>
      </c>
      <c r="C7" s="483">
        <v>0</v>
      </c>
      <c r="D7" s="489">
        <v>100</v>
      </c>
      <c r="E7" s="469">
        <f>+D7*C7</f>
        <v>0</v>
      </c>
      <c r="F7" s="480">
        <f t="shared" ref="F7:F15" si="0">IF(B7="si",D7*$F$4,0)</f>
        <v>0</v>
      </c>
      <c r="G7" s="489">
        <f>(D7+F7)*$G$4</f>
        <v>3</v>
      </c>
      <c r="H7" s="489">
        <f>(D7+F7+G7)*$H$4</f>
        <v>0</v>
      </c>
      <c r="I7" s="480">
        <f t="shared" ref="I7:I15" si="1">IF(B7="si",(D7+F7+G7+H7)*$I$4,0)</f>
        <v>0</v>
      </c>
      <c r="J7" s="489">
        <f>D7+F7+G7+H7+I7</f>
        <v>103</v>
      </c>
      <c r="K7" s="480">
        <f t="shared" ref="K7:K15" si="2">J7*$K$4</f>
        <v>3.09</v>
      </c>
      <c r="L7" s="463">
        <f t="shared" ref="L7:L15" si="3">(J7+K7)*C7</f>
        <v>0</v>
      </c>
      <c r="M7" s="480">
        <f t="shared" ref="M7:M15" si="4">(J7+K7)*$M$4/(1-$M$4)</f>
        <v>40.039476584022047</v>
      </c>
      <c r="N7" s="480">
        <f t="shared" ref="N7:N15" si="5">M7+J7+K7</f>
        <v>146.12947658402206</v>
      </c>
      <c r="O7" s="489">
        <f>N7*C7</f>
        <v>0</v>
      </c>
    </row>
    <row r="8" spans="1:17">
      <c r="A8" s="470" t="s">
        <v>428</v>
      </c>
      <c r="B8" s="467" t="s">
        <v>374</v>
      </c>
      <c r="C8" s="483">
        <v>0</v>
      </c>
      <c r="D8" s="489">
        <v>100</v>
      </c>
      <c r="E8" s="469">
        <f t="shared" ref="E8:E10" si="6">+D8*C8</f>
        <v>0</v>
      </c>
      <c r="F8" s="480">
        <f t="shared" si="0"/>
        <v>0</v>
      </c>
      <c r="G8" s="489">
        <f t="shared" ref="G8:G10" si="7">(D8+F8)*$G$4</f>
        <v>3</v>
      </c>
      <c r="H8" s="489">
        <f t="shared" ref="H8:H10" si="8">(D8+F8+G8)*$H$4</f>
        <v>0</v>
      </c>
      <c r="I8" s="480">
        <f t="shared" si="1"/>
        <v>0</v>
      </c>
      <c r="J8" s="489">
        <f t="shared" ref="J8:J10" si="9">D8+F8+G8+H8+I8</f>
        <v>103</v>
      </c>
      <c r="K8" s="480">
        <f t="shared" si="2"/>
        <v>3.09</v>
      </c>
      <c r="L8" s="463">
        <f t="shared" si="3"/>
        <v>0</v>
      </c>
      <c r="M8" s="480">
        <f t="shared" si="4"/>
        <v>40.039476584022047</v>
      </c>
      <c r="N8" s="480">
        <f t="shared" si="5"/>
        <v>146.12947658402206</v>
      </c>
      <c r="O8" s="489">
        <f t="shared" ref="O8:O10" si="10">N8*C8</f>
        <v>0</v>
      </c>
    </row>
    <row r="9" spans="1:17">
      <c r="A9" s="472" t="s">
        <v>430</v>
      </c>
      <c r="B9" s="467" t="s">
        <v>374</v>
      </c>
      <c r="C9" s="483">
        <v>0</v>
      </c>
      <c r="D9" s="489">
        <v>100</v>
      </c>
      <c r="E9" s="469">
        <f t="shared" si="6"/>
        <v>0</v>
      </c>
      <c r="F9" s="480">
        <f t="shared" si="0"/>
        <v>0</v>
      </c>
      <c r="G9" s="489">
        <f t="shared" si="7"/>
        <v>3</v>
      </c>
      <c r="H9" s="489">
        <f t="shared" si="8"/>
        <v>0</v>
      </c>
      <c r="I9" s="480">
        <f t="shared" si="1"/>
        <v>0</v>
      </c>
      <c r="J9" s="489">
        <f t="shared" si="9"/>
        <v>103</v>
      </c>
      <c r="K9" s="480">
        <f t="shared" si="2"/>
        <v>3.09</v>
      </c>
      <c r="L9" s="463">
        <f t="shared" si="3"/>
        <v>0</v>
      </c>
      <c r="M9" s="480">
        <f t="shared" si="4"/>
        <v>40.039476584022047</v>
      </c>
      <c r="N9" s="480">
        <f t="shared" si="5"/>
        <v>146.12947658402206</v>
      </c>
      <c r="O9" s="489">
        <f t="shared" si="10"/>
        <v>0</v>
      </c>
    </row>
    <row r="10" spans="1:17">
      <c r="A10" s="254" t="s">
        <v>609</v>
      </c>
      <c r="B10" s="467" t="s">
        <v>374</v>
      </c>
      <c r="C10" s="483">
        <v>0</v>
      </c>
      <c r="D10" s="489">
        <v>100</v>
      </c>
      <c r="E10" s="469">
        <f t="shared" si="6"/>
        <v>0</v>
      </c>
      <c r="F10" s="480">
        <f t="shared" si="0"/>
        <v>0</v>
      </c>
      <c r="G10" s="489">
        <f t="shared" si="7"/>
        <v>3</v>
      </c>
      <c r="H10" s="489">
        <f t="shared" si="8"/>
        <v>0</v>
      </c>
      <c r="I10" s="480">
        <f t="shared" si="1"/>
        <v>0</v>
      </c>
      <c r="J10" s="489">
        <f t="shared" si="9"/>
        <v>103</v>
      </c>
      <c r="K10" s="480">
        <f t="shared" si="2"/>
        <v>3.09</v>
      </c>
      <c r="L10" s="463">
        <f t="shared" si="3"/>
        <v>0</v>
      </c>
      <c r="M10" s="461">
        <f t="shared" si="4"/>
        <v>40.039476584022047</v>
      </c>
      <c r="N10" s="461">
        <f t="shared" si="5"/>
        <v>146.12947658402206</v>
      </c>
      <c r="O10" s="471">
        <f t="shared" si="10"/>
        <v>0</v>
      </c>
    </row>
    <row r="11" spans="1:17">
      <c r="A11" s="467"/>
      <c r="B11" s="467" t="s">
        <v>374</v>
      </c>
      <c r="C11" s="483">
        <v>0</v>
      </c>
      <c r="D11" s="489">
        <v>100</v>
      </c>
      <c r="E11" s="462">
        <f>+C11*D11*(1-C18)</f>
        <v>0</v>
      </c>
      <c r="F11" s="480">
        <f t="shared" si="0"/>
        <v>0</v>
      </c>
      <c r="G11" s="480">
        <f t="shared" ref="G11:G15" si="11">(D11+F11)*$G$4</f>
        <v>3</v>
      </c>
      <c r="H11" s="480">
        <f t="shared" ref="H11:H15" si="12">(D11+F11+G11)*$H$4</f>
        <v>0</v>
      </c>
      <c r="I11" s="480">
        <f t="shared" si="1"/>
        <v>0</v>
      </c>
      <c r="J11" s="480">
        <f t="shared" ref="J11:J15" si="13">D11+F11+G11+H11+I11</f>
        <v>103</v>
      </c>
      <c r="K11" s="480">
        <f t="shared" si="2"/>
        <v>3.09</v>
      </c>
      <c r="L11" s="463">
        <f t="shared" si="3"/>
        <v>0</v>
      </c>
      <c r="M11" s="461">
        <f t="shared" si="4"/>
        <v>40.039476584022047</v>
      </c>
      <c r="N11" s="461">
        <f t="shared" si="5"/>
        <v>146.12947658402206</v>
      </c>
      <c r="O11" s="461">
        <f t="shared" ref="O11:O15" si="14">N11*C11</f>
        <v>0</v>
      </c>
    </row>
    <row r="12" spans="1:17">
      <c r="A12" s="473"/>
      <c r="B12" s="467" t="s">
        <v>374</v>
      </c>
      <c r="C12" s="483">
        <v>0</v>
      </c>
      <c r="D12" s="482">
        <v>100</v>
      </c>
      <c r="E12" s="462">
        <f>+C12*D12</f>
        <v>0</v>
      </c>
      <c r="F12" s="461">
        <f t="shared" si="0"/>
        <v>0</v>
      </c>
      <c r="G12" s="461">
        <f t="shared" si="11"/>
        <v>3</v>
      </c>
      <c r="H12" s="461">
        <f t="shared" si="12"/>
        <v>0</v>
      </c>
      <c r="I12" s="461">
        <f t="shared" si="1"/>
        <v>0</v>
      </c>
      <c r="J12" s="461">
        <f t="shared" si="13"/>
        <v>103</v>
      </c>
      <c r="K12" s="461">
        <f t="shared" si="2"/>
        <v>3.09</v>
      </c>
      <c r="L12" s="463">
        <f t="shared" si="3"/>
        <v>0</v>
      </c>
      <c r="M12" s="461">
        <f t="shared" si="4"/>
        <v>40.039476584022047</v>
      </c>
      <c r="N12" s="461">
        <f t="shared" si="5"/>
        <v>146.12947658402206</v>
      </c>
      <c r="O12" s="461">
        <f t="shared" si="14"/>
        <v>0</v>
      </c>
    </row>
    <row r="13" spans="1:17">
      <c r="A13" s="473"/>
      <c r="B13" s="467" t="s">
        <v>374</v>
      </c>
      <c r="C13" s="483">
        <v>0</v>
      </c>
      <c r="D13" s="482">
        <v>100</v>
      </c>
      <c r="E13" s="462">
        <f>+C13*D13</f>
        <v>0</v>
      </c>
      <c r="F13" s="461">
        <f t="shared" si="0"/>
        <v>0</v>
      </c>
      <c r="G13" s="461">
        <f t="shared" si="11"/>
        <v>3</v>
      </c>
      <c r="H13" s="461">
        <f t="shared" si="12"/>
        <v>0</v>
      </c>
      <c r="I13" s="461">
        <f t="shared" si="1"/>
        <v>0</v>
      </c>
      <c r="J13" s="461">
        <f t="shared" si="13"/>
        <v>103</v>
      </c>
      <c r="K13" s="461">
        <f t="shared" si="2"/>
        <v>3.09</v>
      </c>
      <c r="L13" s="463">
        <f t="shared" si="3"/>
        <v>0</v>
      </c>
      <c r="M13" s="461">
        <f t="shared" si="4"/>
        <v>40.039476584022047</v>
      </c>
      <c r="N13" s="461">
        <f t="shared" si="5"/>
        <v>146.12947658402206</v>
      </c>
      <c r="O13" s="461">
        <f t="shared" si="14"/>
        <v>0</v>
      </c>
    </row>
    <row r="14" spans="1:17">
      <c r="A14" s="474"/>
      <c r="B14" s="467" t="s">
        <v>374</v>
      </c>
      <c r="C14" s="483">
        <v>0</v>
      </c>
      <c r="D14" s="482">
        <v>100</v>
      </c>
      <c r="E14" s="462">
        <f>+C14*D14</f>
        <v>0</v>
      </c>
      <c r="F14" s="461">
        <f t="shared" si="0"/>
        <v>0</v>
      </c>
      <c r="G14" s="461">
        <f t="shared" si="11"/>
        <v>3</v>
      </c>
      <c r="H14" s="461">
        <f t="shared" si="12"/>
        <v>0</v>
      </c>
      <c r="I14" s="461">
        <f t="shared" si="1"/>
        <v>0</v>
      </c>
      <c r="J14" s="461">
        <f t="shared" si="13"/>
        <v>103</v>
      </c>
      <c r="K14" s="461">
        <f t="shared" si="2"/>
        <v>3.09</v>
      </c>
      <c r="L14" s="463">
        <f t="shared" si="3"/>
        <v>0</v>
      </c>
      <c r="M14" s="461">
        <f t="shared" si="4"/>
        <v>40.039476584022047</v>
      </c>
      <c r="N14" s="461">
        <f t="shared" si="5"/>
        <v>146.12947658402206</v>
      </c>
      <c r="O14" s="461">
        <f t="shared" si="14"/>
        <v>0</v>
      </c>
    </row>
    <row r="15" spans="1:17">
      <c r="A15" s="474"/>
      <c r="B15" s="467" t="s">
        <v>374</v>
      </c>
      <c r="C15" s="483">
        <v>0</v>
      </c>
      <c r="D15" s="482">
        <v>100</v>
      </c>
      <c r="E15" s="462">
        <f>+C15*D15</f>
        <v>0</v>
      </c>
      <c r="F15" s="461">
        <f t="shared" si="0"/>
        <v>0</v>
      </c>
      <c r="G15" s="461">
        <f t="shared" si="11"/>
        <v>3</v>
      </c>
      <c r="H15" s="461">
        <f t="shared" si="12"/>
        <v>0</v>
      </c>
      <c r="I15" s="461">
        <f t="shared" si="1"/>
        <v>0</v>
      </c>
      <c r="J15" s="461">
        <f t="shared" si="13"/>
        <v>103</v>
      </c>
      <c r="K15" s="461">
        <f t="shared" si="2"/>
        <v>3.09</v>
      </c>
      <c r="L15" s="463">
        <f t="shared" si="3"/>
        <v>0</v>
      </c>
      <c r="M15" s="461">
        <f t="shared" si="4"/>
        <v>40.039476584022047</v>
      </c>
      <c r="N15" s="461">
        <f t="shared" si="5"/>
        <v>146.12947658402206</v>
      </c>
      <c r="O15" s="461">
        <f t="shared" si="14"/>
        <v>0</v>
      </c>
    </row>
    <row r="16" spans="1:17">
      <c r="A16" s="140"/>
      <c r="B16" s="140"/>
      <c r="C16" s="12"/>
      <c r="D16" s="139"/>
      <c r="E16" s="19"/>
      <c r="F16" s="9"/>
      <c r="G16" s="9"/>
      <c r="H16" s="9"/>
      <c r="I16" s="9"/>
      <c r="J16" s="9"/>
      <c r="K16" s="9"/>
      <c r="L16" s="182"/>
      <c r="M16" s="9"/>
      <c r="N16" s="9"/>
      <c r="O16" s="9"/>
      <c r="Q16" s="4"/>
    </row>
    <row r="17" spans="1:18">
      <c r="A17" s="13"/>
      <c r="B17" s="13"/>
      <c r="C17" s="14"/>
      <c r="D17" s="15" t="s">
        <v>376</v>
      </c>
      <c r="E17" s="15">
        <f>SUM(E6:E15)</f>
        <v>0</v>
      </c>
      <c r="F17" s="16"/>
      <c r="G17" s="16"/>
      <c r="H17" s="16"/>
      <c r="I17" s="16"/>
      <c r="J17" s="17" t="s">
        <v>377</v>
      </c>
      <c r="K17" s="17"/>
      <c r="L17" s="15">
        <f>SUM(L6:L15)</f>
        <v>0</v>
      </c>
      <c r="M17" s="16"/>
      <c r="N17" s="17" t="s">
        <v>378</v>
      </c>
      <c r="O17" s="15">
        <f>SUM(O6:O15)</f>
        <v>0</v>
      </c>
      <c r="Q17" s="4"/>
      <c r="R17" s="3"/>
    </row>
    <row r="18" spans="1:18">
      <c r="A18" s="35"/>
      <c r="B18" s="35"/>
      <c r="C18" s="238"/>
      <c r="D18" s="16"/>
      <c r="E18" s="19"/>
      <c r="F18" s="16"/>
      <c r="G18" s="16"/>
      <c r="H18" s="16"/>
      <c r="I18" s="16"/>
      <c r="J18" s="16"/>
      <c r="K18" s="16"/>
      <c r="L18" s="16"/>
      <c r="M18" s="16"/>
      <c r="N18" s="20" t="s">
        <v>379</v>
      </c>
      <c r="O18" s="21">
        <f>O17-L17</f>
        <v>0</v>
      </c>
      <c r="Q18" s="4"/>
      <c r="R18" s="3"/>
    </row>
    <row r="19" spans="1:18">
      <c r="Q19" s="4"/>
      <c r="R19" s="3"/>
    </row>
    <row r="20" spans="1:18">
      <c r="A20" s="223" t="s">
        <v>368</v>
      </c>
      <c r="E20" s="3"/>
      <c r="Q20" s="4"/>
      <c r="R20" s="3"/>
    </row>
    <row r="21" spans="1:18">
      <c r="A21" s="116" t="s">
        <v>380</v>
      </c>
      <c r="B21" s="8"/>
      <c r="E21" s="3"/>
      <c r="Q21" s="4"/>
    </row>
    <row r="22" spans="1:18">
      <c r="A22" s="116" t="s">
        <v>374</v>
      </c>
      <c r="B22" s="48"/>
      <c r="C22" s="16"/>
      <c r="D22" s="16"/>
      <c r="E22" s="307">
        <f>E17/3</f>
        <v>0</v>
      </c>
      <c r="O22" s="3"/>
    </row>
    <row r="23" spans="1:18">
      <c r="A23" s="48"/>
      <c r="B23" s="48"/>
      <c r="C23" s="16"/>
      <c r="D23" s="16"/>
      <c r="P23" s="3"/>
    </row>
    <row r="30" spans="1:18">
      <c r="A30" s="327" t="s">
        <v>431</v>
      </c>
      <c r="B30" s="327" t="s">
        <v>432</v>
      </c>
      <c r="C30" s="327" t="s">
        <v>433</v>
      </c>
    </row>
    <row r="31" spans="1:18">
      <c r="A31" s="328">
        <f>E45</f>
        <v>2130</v>
      </c>
      <c r="B31" s="329">
        <f>A31/240</f>
        <v>8.875</v>
      </c>
      <c r="C31" s="329">
        <f>B31*8</f>
        <v>71</v>
      </c>
      <c r="D31" s="330"/>
      <c r="E31" s="330"/>
    </row>
    <row r="32" spans="1:18">
      <c r="A32" t="s">
        <v>434</v>
      </c>
      <c r="D32" s="330"/>
      <c r="E32" s="330"/>
    </row>
    <row r="33" spans="1:5">
      <c r="A33" s="328">
        <f>D45</f>
        <v>1420</v>
      </c>
      <c r="B33" s="329">
        <f>A33/240</f>
        <v>5.916666666666667</v>
      </c>
      <c r="C33" s="329">
        <f>B33*8</f>
        <v>47.333333333333336</v>
      </c>
      <c r="D33" s="330"/>
      <c r="E33" s="330"/>
    </row>
    <row r="35" spans="1:5">
      <c r="A35" s="327" t="s">
        <v>435</v>
      </c>
      <c r="B35" s="329">
        <f>B33</f>
        <v>5.916666666666667</v>
      </c>
    </row>
    <row r="36" spans="1:5">
      <c r="A36" s="327" t="s">
        <v>436</v>
      </c>
      <c r="B36" s="329">
        <f>B31</f>
        <v>8.875</v>
      </c>
    </row>
    <row r="37" spans="1:5">
      <c r="E37" s="330"/>
    </row>
    <row r="38" spans="1:5">
      <c r="C38">
        <f>1420/240</f>
        <v>5.916666666666667</v>
      </c>
    </row>
    <row r="39" spans="1:5" ht="15">
      <c r="A39" s="331"/>
      <c r="D39" t="s">
        <v>437</v>
      </c>
      <c r="E39" t="s">
        <v>438</v>
      </c>
    </row>
    <row r="40" spans="1:5">
      <c r="C40" t="s">
        <v>439</v>
      </c>
      <c r="D40" s="330">
        <v>1000</v>
      </c>
      <c r="E40" s="330">
        <v>1500</v>
      </c>
    </row>
    <row r="41" spans="1:5">
      <c r="C41" t="s">
        <v>440</v>
      </c>
      <c r="D41" s="330">
        <f>D40*0.265</f>
        <v>265</v>
      </c>
      <c r="E41" s="330">
        <f>E40*0.265</f>
        <v>397.5</v>
      </c>
    </row>
    <row r="42" spans="1:5">
      <c r="C42" t="s">
        <v>441</v>
      </c>
      <c r="D42" s="330">
        <f>D40*8.33%</f>
        <v>83.3</v>
      </c>
      <c r="E42" s="330">
        <f>E40*8.33%</f>
        <v>124.95</v>
      </c>
    </row>
    <row r="43" spans="1:5">
      <c r="C43" t="s">
        <v>442</v>
      </c>
      <c r="D43" s="330">
        <f>D40*4.17%</f>
        <v>41.7</v>
      </c>
      <c r="E43" s="330">
        <f>E40*4.17%</f>
        <v>62.550000000000004</v>
      </c>
    </row>
    <row r="44" spans="1:5">
      <c r="C44" t="s">
        <v>443</v>
      </c>
      <c r="D44" s="330">
        <f>D40*3%</f>
        <v>30</v>
      </c>
      <c r="E44" s="330">
        <f>E40*3%</f>
        <v>45</v>
      </c>
    </row>
    <row r="45" spans="1:5" ht="15">
      <c r="C45" t="s">
        <v>14</v>
      </c>
      <c r="D45" s="332">
        <f>SUM(D40:D44)</f>
        <v>1420</v>
      </c>
      <c r="E45" s="332">
        <f>SUM(E40:E44)</f>
        <v>2130</v>
      </c>
    </row>
  </sheetData>
  <mergeCells count="2">
    <mergeCell ref="A1:D1"/>
    <mergeCell ref="A3:E3"/>
  </mergeCells>
  <dataValidations count="1">
    <dataValidation type="list" allowBlank="1" showErrorMessage="1" errorTitle="Opción no válida" sqref="B6:B15" xr:uid="{B654C90F-92E8-4530-A855-186C782DFC5A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E9EF3-D9BD-4434-B5AE-EC25078F9DA4}">
  <sheetPr>
    <tabColor rgb="FF0070C0"/>
  </sheetPr>
  <dimension ref="B2:N178"/>
  <sheetViews>
    <sheetView showGridLines="0" topLeftCell="B1" workbookViewId="0">
      <selection activeCell="F10" sqref="F10"/>
    </sheetView>
  </sheetViews>
  <sheetFormatPr baseColWidth="10" defaultColWidth="11.5703125" defaultRowHeight="12.75"/>
  <cols>
    <col min="1" max="1" width="8" style="365" customWidth="1"/>
    <col min="2" max="2" width="43.28515625" style="365" bestFit="1" customWidth="1"/>
    <col min="3" max="3" width="15.28515625" style="365" bestFit="1" customWidth="1"/>
    <col min="4" max="4" width="16.28515625" style="365" bestFit="1" customWidth="1"/>
    <col min="5" max="5" width="19" style="365" bestFit="1" customWidth="1"/>
    <col min="6" max="6" width="19" style="365" customWidth="1"/>
    <col min="7" max="7" width="13.42578125" style="365" bestFit="1" customWidth="1"/>
    <col min="8" max="8" width="15" style="365" bestFit="1" customWidth="1"/>
    <col min="9" max="9" width="14.5703125" style="365" bestFit="1" customWidth="1"/>
    <col min="10" max="10" width="12.7109375" style="365" bestFit="1" customWidth="1"/>
    <col min="11" max="11" width="14.7109375" style="365" customWidth="1"/>
    <col min="12" max="12" width="13.5703125" style="365" bestFit="1" customWidth="1"/>
    <col min="13" max="14" width="0" style="365" hidden="1" customWidth="1"/>
    <col min="15" max="16384" width="11.5703125" style="365"/>
  </cols>
  <sheetData>
    <row r="2" spans="2:14" ht="15">
      <c r="B2" s="580" t="s">
        <v>652</v>
      </c>
      <c r="C2" s="581"/>
      <c r="D2" s="581"/>
      <c r="E2" s="581"/>
      <c r="F2" s="581"/>
      <c r="G2" s="581"/>
      <c r="H2" s="581"/>
      <c r="I2" s="581"/>
      <c r="J2" s="581"/>
      <c r="K2" s="581"/>
      <c r="M2" s="582" t="s">
        <v>444</v>
      </c>
      <c r="N2" s="583"/>
    </row>
    <row r="3" spans="2:14" ht="15">
      <c r="B3" s="584" t="s">
        <v>445</v>
      </c>
      <c r="C3" s="585" t="s">
        <v>446</v>
      </c>
      <c r="D3" s="585"/>
      <c r="E3" s="585"/>
      <c r="F3" s="585"/>
      <c r="G3" s="585"/>
      <c r="H3" s="586" t="s">
        <v>447</v>
      </c>
      <c r="I3" s="586"/>
      <c r="J3" s="586"/>
      <c r="K3" s="586"/>
      <c r="M3" s="366" t="s">
        <v>446</v>
      </c>
      <c r="N3" s="367">
        <v>237600.00000000003</v>
      </c>
    </row>
    <row r="4" spans="2:14" ht="15">
      <c r="B4" s="584"/>
      <c r="C4" s="368" t="s">
        <v>448</v>
      </c>
      <c r="D4" s="368" t="s">
        <v>449</v>
      </c>
      <c r="E4" s="368" t="s">
        <v>450</v>
      </c>
      <c r="F4" s="368" t="s">
        <v>451</v>
      </c>
      <c r="G4" s="368" t="s">
        <v>14</v>
      </c>
      <c r="H4" s="368" t="s">
        <v>452</v>
      </c>
      <c r="I4" s="368" t="s">
        <v>453</v>
      </c>
      <c r="J4" s="368" t="s">
        <v>454</v>
      </c>
      <c r="K4" s="368" t="s">
        <v>14</v>
      </c>
      <c r="M4" s="366" t="s">
        <v>447</v>
      </c>
      <c r="N4" s="367">
        <v>0</v>
      </c>
    </row>
    <row r="5" spans="2:14" ht="14.25">
      <c r="B5" s="369" t="s">
        <v>455</v>
      </c>
      <c r="C5" s="370">
        <v>8.9</v>
      </c>
      <c r="D5" s="370">
        <v>48</v>
      </c>
      <c r="E5" s="371">
        <v>0</v>
      </c>
      <c r="F5" s="371">
        <v>0</v>
      </c>
      <c r="G5" s="372">
        <f>E5*D5*F5</f>
        <v>0</v>
      </c>
      <c r="H5" s="373">
        <v>12</v>
      </c>
      <c r="I5" s="440">
        <f>+Transporte!I3</f>
        <v>21.599999999999998</v>
      </c>
      <c r="J5" s="373">
        <v>0</v>
      </c>
      <c r="K5" s="374">
        <f>(H5*E5*F5) + (I5*E5)+((J5*E5)-1)</f>
        <v>-1</v>
      </c>
      <c r="M5" s="375" t="s">
        <v>14</v>
      </c>
      <c r="N5" s="376">
        <f>SUM(N3:N4)</f>
        <v>237600.00000000003</v>
      </c>
    </row>
    <row r="6" spans="2:14" ht="14.25">
      <c r="B6" s="369" t="s">
        <v>456</v>
      </c>
      <c r="C6" s="370">
        <v>0</v>
      </c>
      <c r="D6" s="370">
        <f>C6*8</f>
        <v>0</v>
      </c>
      <c r="E6" s="371">
        <v>0</v>
      </c>
      <c r="F6" s="371">
        <v>0</v>
      </c>
      <c r="G6" s="372">
        <f>E6*D6*F6</f>
        <v>0</v>
      </c>
      <c r="H6" s="373">
        <v>0</v>
      </c>
      <c r="I6" s="373">
        <v>0</v>
      </c>
      <c r="J6" s="373">
        <v>0</v>
      </c>
      <c r="K6" s="374">
        <f>+((H6+I6+J6)*E6)*F6</f>
        <v>0</v>
      </c>
      <c r="M6" s="375" t="s">
        <v>457</v>
      </c>
      <c r="N6" s="376">
        <f>N5-(G10+K10)</f>
        <v>237600.00000000003</v>
      </c>
    </row>
    <row r="7" spans="2:14" ht="14.25">
      <c r="B7" s="369" t="s">
        <v>458</v>
      </c>
      <c r="C7" s="370">
        <v>0</v>
      </c>
      <c r="D7" s="370">
        <f>C7*8</f>
        <v>0</v>
      </c>
      <c r="E7" s="371">
        <v>0</v>
      </c>
      <c r="F7" s="371">
        <v>0</v>
      </c>
      <c r="G7" s="372">
        <f>E7*D7*F7</f>
        <v>0</v>
      </c>
      <c r="H7" s="373">
        <v>0</v>
      </c>
      <c r="I7" s="373">
        <v>0</v>
      </c>
      <c r="J7" s="373">
        <v>0</v>
      </c>
      <c r="K7" s="374">
        <f t="shared" ref="K7:K8" si="0">+((H7+I7+J7)*E7)*F7</f>
        <v>0</v>
      </c>
    </row>
    <row r="8" spans="2:14" ht="14.25">
      <c r="B8" s="369" t="s">
        <v>459</v>
      </c>
      <c r="C8" s="370">
        <v>0</v>
      </c>
      <c r="D8" s="370">
        <f>C8*8</f>
        <v>0</v>
      </c>
      <c r="E8" s="371">
        <v>0</v>
      </c>
      <c r="F8" s="371">
        <v>0</v>
      </c>
      <c r="G8" s="372">
        <f>E8*D8*F8</f>
        <v>0</v>
      </c>
      <c r="H8" s="373">
        <v>0</v>
      </c>
      <c r="I8" s="373">
        <v>0</v>
      </c>
      <c r="J8" s="373">
        <v>0</v>
      </c>
      <c r="K8" s="374">
        <f t="shared" si="0"/>
        <v>0</v>
      </c>
    </row>
    <row r="9" spans="2:14" ht="15">
      <c r="G9" s="377">
        <f>SUM(G5:G8)</f>
        <v>0</v>
      </c>
      <c r="H9" s="378"/>
      <c r="I9" s="378"/>
      <c r="J9" s="378"/>
      <c r="K9" s="379">
        <f>SUM(K5:K8)</f>
        <v>-1</v>
      </c>
    </row>
    <row r="11" spans="2:14" ht="15">
      <c r="B11" s="368" t="s">
        <v>460</v>
      </c>
      <c r="C11" s="368" t="s">
        <v>450</v>
      </c>
      <c r="D11" s="368" t="s">
        <v>461</v>
      </c>
    </row>
    <row r="12" spans="2:14" ht="14.25">
      <c r="B12" s="380" t="s">
        <v>462</v>
      </c>
      <c r="C12" s="381">
        <v>0</v>
      </c>
      <c r="D12" s="371">
        <f>C12/5</f>
        <v>0</v>
      </c>
    </row>
    <row r="13" spans="2:14" ht="14.25">
      <c r="B13" s="380" t="s">
        <v>463</v>
      </c>
      <c r="C13" s="381">
        <v>0</v>
      </c>
      <c r="D13" s="371">
        <f>C13/5</f>
        <v>0</v>
      </c>
    </row>
    <row r="14" spans="2:14" ht="14.25">
      <c r="B14" s="380" t="s">
        <v>464</v>
      </c>
      <c r="C14" s="381">
        <v>0</v>
      </c>
      <c r="D14" s="371">
        <f>C14/5</f>
        <v>0</v>
      </c>
    </row>
    <row r="15" spans="2:14" ht="14.25">
      <c r="B15" s="380" t="s">
        <v>465</v>
      </c>
      <c r="C15" s="381">
        <v>0</v>
      </c>
      <c r="D15" s="371">
        <f>C15/5</f>
        <v>0</v>
      </c>
    </row>
    <row r="16" spans="2:14" ht="15">
      <c r="B16" s="382" t="s">
        <v>466</v>
      </c>
      <c r="C16" s="383">
        <f>SUM(C12:C15)</f>
        <v>0</v>
      </c>
      <c r="D16" s="383">
        <f>SUM(D12:D15)</f>
        <v>0</v>
      </c>
    </row>
    <row r="18" spans="2:14" ht="15">
      <c r="B18" s="587" t="s">
        <v>651</v>
      </c>
      <c r="C18" s="588"/>
      <c r="D18" s="588"/>
      <c r="E18" s="588"/>
      <c r="F18" s="588"/>
      <c r="G18" s="588"/>
      <c r="H18" s="588"/>
      <c r="I18" s="588"/>
      <c r="J18" s="588"/>
      <c r="K18" s="588"/>
      <c r="M18" s="589" t="s">
        <v>444</v>
      </c>
      <c r="N18" s="589"/>
    </row>
    <row r="19" spans="2:14" ht="15">
      <c r="B19" s="584" t="s">
        <v>445</v>
      </c>
      <c r="C19" s="585" t="s">
        <v>446</v>
      </c>
      <c r="D19" s="585"/>
      <c r="E19" s="585"/>
      <c r="F19" s="585"/>
      <c r="G19" s="585"/>
      <c r="H19" s="586" t="s">
        <v>447</v>
      </c>
      <c r="I19" s="586"/>
      <c r="J19" s="586"/>
      <c r="K19" s="586"/>
      <c r="M19" s="366" t="s">
        <v>446</v>
      </c>
      <c r="N19" s="367">
        <v>79200.000000000015</v>
      </c>
    </row>
    <row r="20" spans="2:14" ht="15">
      <c r="B20" s="584"/>
      <c r="C20" s="368" t="s">
        <v>448</v>
      </c>
      <c r="D20" s="368" t="s">
        <v>449</v>
      </c>
      <c r="E20" s="368" t="s">
        <v>450</v>
      </c>
      <c r="F20" s="368" t="s">
        <v>451</v>
      </c>
      <c r="G20" s="368" t="s">
        <v>14</v>
      </c>
      <c r="H20" s="368" t="s">
        <v>452</v>
      </c>
      <c r="I20" s="368" t="s">
        <v>453</v>
      </c>
      <c r="J20" s="368" t="s">
        <v>454</v>
      </c>
      <c r="K20" s="368" t="s">
        <v>14</v>
      </c>
      <c r="M20" s="366" t="s">
        <v>447</v>
      </c>
      <c r="N20" s="367">
        <v>157500</v>
      </c>
    </row>
    <row r="21" spans="2:14" ht="14.25">
      <c r="B21" s="369" t="s">
        <v>455</v>
      </c>
      <c r="C21" s="370">
        <v>0</v>
      </c>
      <c r="D21" s="370">
        <f>C21*8</f>
        <v>0</v>
      </c>
      <c r="E21" s="371">
        <v>0</v>
      </c>
      <c r="F21" s="371">
        <v>0</v>
      </c>
      <c r="G21" s="372">
        <f>E21*D21*F21</f>
        <v>0</v>
      </c>
      <c r="H21" s="373">
        <v>0</v>
      </c>
      <c r="I21" s="373">
        <v>0</v>
      </c>
      <c r="J21" s="373">
        <v>0</v>
      </c>
      <c r="K21" s="374">
        <f>(H21*F21*E21)+(I21*E21)+(J21*(E21-1))*F21</f>
        <v>0</v>
      </c>
      <c r="M21" s="375" t="s">
        <v>14</v>
      </c>
      <c r="N21" s="376">
        <f>SUM(N19:N20)</f>
        <v>236700</v>
      </c>
    </row>
    <row r="22" spans="2:14" ht="14.25">
      <c r="B22" s="369" t="s">
        <v>456</v>
      </c>
      <c r="C22" s="370">
        <v>0</v>
      </c>
      <c r="D22" s="370">
        <f>C22*8</f>
        <v>0</v>
      </c>
      <c r="E22" s="371">
        <v>0</v>
      </c>
      <c r="F22" s="371">
        <v>0</v>
      </c>
      <c r="G22" s="372">
        <f>E22*D22*F22</f>
        <v>0</v>
      </c>
      <c r="H22" s="373">
        <v>0</v>
      </c>
      <c r="I22" s="373">
        <v>0</v>
      </c>
      <c r="J22" s="373">
        <v>0</v>
      </c>
      <c r="K22" s="374">
        <f>(H22*F22*E22)+(I22*E22)+(J22*(E22-1))*F22</f>
        <v>0</v>
      </c>
      <c r="M22" s="375" t="s">
        <v>457</v>
      </c>
      <c r="N22" s="376">
        <f>N21-(G26+K26)</f>
        <v>236700</v>
      </c>
    </row>
    <row r="23" spans="2:14" ht="14.25">
      <c r="B23" s="369" t="s">
        <v>458</v>
      </c>
      <c r="C23" s="370">
        <v>0</v>
      </c>
      <c r="D23" s="370">
        <f>C23*8</f>
        <v>0</v>
      </c>
      <c r="E23" s="371">
        <v>0</v>
      </c>
      <c r="F23" s="371">
        <v>0</v>
      </c>
      <c r="G23" s="372">
        <f>E23*D23*F23</f>
        <v>0</v>
      </c>
      <c r="H23" s="373">
        <v>0</v>
      </c>
      <c r="I23" s="373">
        <v>0</v>
      </c>
      <c r="J23" s="373">
        <v>0</v>
      </c>
      <c r="K23" s="374">
        <f>(H23*F23*E23)+(I23*E23)+(J23*(E23-1))*F23</f>
        <v>0</v>
      </c>
    </row>
    <row r="24" spans="2:14" ht="15">
      <c r="B24" s="369" t="s">
        <v>459</v>
      </c>
      <c r="C24" s="370">
        <v>0</v>
      </c>
      <c r="D24" s="370">
        <f>C24*8</f>
        <v>0</v>
      </c>
      <c r="E24" s="371">
        <v>0</v>
      </c>
      <c r="F24" s="371">
        <v>0</v>
      </c>
      <c r="G24" s="372">
        <f>E24*D24*F24</f>
        <v>0</v>
      </c>
      <c r="H24" s="373">
        <v>0</v>
      </c>
      <c r="I24" s="373">
        <v>0</v>
      </c>
      <c r="J24" s="373">
        <v>0</v>
      </c>
      <c r="K24" s="374"/>
      <c r="M24" s="384" t="s">
        <v>467</v>
      </c>
      <c r="N24" s="385">
        <f>N22+N6</f>
        <v>474300</v>
      </c>
    </row>
    <row r="25" spans="2:14" ht="15">
      <c r="G25" s="377">
        <f>SUM(G21:G24)</f>
        <v>0</v>
      </c>
      <c r="H25" s="378"/>
      <c r="I25" s="378"/>
      <c r="J25" s="378"/>
      <c r="K25" s="379">
        <f>SUM(K21:K24)</f>
        <v>0</v>
      </c>
    </row>
    <row r="27" spans="2:14" ht="15">
      <c r="B27" s="368" t="s">
        <v>460</v>
      </c>
      <c r="C27" s="368" t="s">
        <v>450</v>
      </c>
      <c r="D27" s="368" t="s">
        <v>461</v>
      </c>
    </row>
    <row r="28" spans="2:14" ht="14.25">
      <c r="B28" s="380" t="s">
        <v>462</v>
      </c>
      <c r="C28" s="381">
        <v>0</v>
      </c>
      <c r="D28" s="371">
        <f>C28/5</f>
        <v>0</v>
      </c>
    </row>
    <row r="29" spans="2:14" ht="14.25">
      <c r="B29" s="380" t="s">
        <v>463</v>
      </c>
      <c r="C29" s="381">
        <v>0</v>
      </c>
      <c r="D29" s="371">
        <f>C29/5</f>
        <v>0</v>
      </c>
    </row>
    <row r="30" spans="2:14" ht="14.25">
      <c r="B30" s="380" t="s">
        <v>464</v>
      </c>
      <c r="C30" s="381">
        <v>0</v>
      </c>
      <c r="D30" s="371">
        <f>C30/5</f>
        <v>0</v>
      </c>
    </row>
    <row r="31" spans="2:14" ht="14.25">
      <c r="B31" s="380" t="s">
        <v>465</v>
      </c>
      <c r="C31" s="381">
        <v>0</v>
      </c>
      <c r="D31" s="371">
        <f>C31/5</f>
        <v>0</v>
      </c>
    </row>
    <row r="32" spans="2:14" ht="15">
      <c r="B32" s="382" t="s">
        <v>466</v>
      </c>
      <c r="C32" s="383">
        <f>SUM(C28:C31)</f>
        <v>0</v>
      </c>
      <c r="D32" s="383">
        <f>SUM(D28:D31)</f>
        <v>0</v>
      </c>
    </row>
    <row r="34" spans="2:14" ht="15">
      <c r="B34" s="580" t="s">
        <v>651</v>
      </c>
      <c r="C34" s="581"/>
      <c r="D34" s="581"/>
      <c r="E34" s="581"/>
      <c r="F34" s="581"/>
      <c r="G34" s="581"/>
      <c r="H34" s="581"/>
      <c r="I34" s="581"/>
      <c r="J34" s="581"/>
      <c r="K34" s="581"/>
      <c r="L34" s="590"/>
      <c r="M34" s="582" t="s">
        <v>444</v>
      </c>
      <c r="N34" s="583"/>
    </row>
    <row r="35" spans="2:14" ht="15">
      <c r="B35" s="572" t="s">
        <v>445</v>
      </c>
      <c r="C35" s="574" t="s">
        <v>446</v>
      </c>
      <c r="D35" s="575"/>
      <c r="E35" s="575"/>
      <c r="F35" s="575"/>
      <c r="G35" s="576"/>
      <c r="H35" s="577" t="s">
        <v>447</v>
      </c>
      <c r="I35" s="578"/>
      <c r="J35" s="578"/>
      <c r="K35" s="578"/>
      <c r="L35" s="579"/>
      <c r="M35" s="366" t="s">
        <v>446</v>
      </c>
      <c r="N35" s="367">
        <v>237600.00000000003</v>
      </c>
    </row>
    <row r="36" spans="2:14" ht="15">
      <c r="B36" s="573"/>
      <c r="C36" s="368" t="s">
        <v>448</v>
      </c>
      <c r="D36" s="368" t="s">
        <v>449</v>
      </c>
      <c r="E36" s="368" t="s">
        <v>450</v>
      </c>
      <c r="F36" s="368" t="s">
        <v>451</v>
      </c>
      <c r="G36" s="368" t="s">
        <v>14</v>
      </c>
      <c r="H36" s="368" t="s">
        <v>452</v>
      </c>
      <c r="I36" s="368" t="s">
        <v>453</v>
      </c>
      <c r="J36" s="368" t="s">
        <v>454</v>
      </c>
      <c r="K36" s="368" t="s">
        <v>468</v>
      </c>
      <c r="L36" s="368" t="s">
        <v>14</v>
      </c>
      <c r="M36" s="366" t="s">
        <v>447</v>
      </c>
      <c r="N36" s="367">
        <v>0</v>
      </c>
    </row>
    <row r="37" spans="2:14" ht="14.25">
      <c r="B37" s="369" t="s">
        <v>455</v>
      </c>
      <c r="C37" s="370">
        <v>0</v>
      </c>
      <c r="D37" s="370">
        <f>C37*8</f>
        <v>0</v>
      </c>
      <c r="E37" s="371">
        <v>0</v>
      </c>
      <c r="F37" s="371">
        <v>0</v>
      </c>
      <c r="G37" s="372">
        <f>E37*D37*F37</f>
        <v>0</v>
      </c>
      <c r="H37" s="373">
        <v>0</v>
      </c>
      <c r="I37" s="373">
        <v>0</v>
      </c>
      <c r="J37" s="373">
        <v>0</v>
      </c>
      <c r="K37" s="373">
        <v>0</v>
      </c>
      <c r="L37" s="374">
        <f>(H37*F37*E37)+(I37*E37)+(J37*(E37-1))*F37+K37*2*F37</f>
        <v>0</v>
      </c>
      <c r="M37" s="375" t="s">
        <v>14</v>
      </c>
      <c r="N37" s="376">
        <f>SUM(N35:N36)</f>
        <v>237600.00000000003</v>
      </c>
    </row>
    <row r="38" spans="2:14" ht="14.25">
      <c r="B38" s="369" t="s">
        <v>456</v>
      </c>
      <c r="C38" s="370">
        <v>0</v>
      </c>
      <c r="D38" s="370">
        <f>C38*8</f>
        <v>0</v>
      </c>
      <c r="E38" s="371">
        <v>0</v>
      </c>
      <c r="F38" s="371">
        <v>0</v>
      </c>
      <c r="G38" s="372">
        <f>E38*D38*F38</f>
        <v>0</v>
      </c>
      <c r="H38" s="373">
        <v>0</v>
      </c>
      <c r="I38" s="373">
        <v>0</v>
      </c>
      <c r="J38" s="373">
        <v>0</v>
      </c>
      <c r="K38" s="373">
        <v>0</v>
      </c>
      <c r="L38" s="374">
        <f>(H38*F38*E38)+(I38*E38)+(J38*(E38-1))*F38+K38*2*F38</f>
        <v>0</v>
      </c>
      <c r="M38" s="375" t="s">
        <v>457</v>
      </c>
      <c r="N38" s="376">
        <f>N37-(G42+L42)</f>
        <v>237600.00000000003</v>
      </c>
    </row>
    <row r="39" spans="2:14" ht="14.25">
      <c r="B39" s="369" t="s">
        <v>458</v>
      </c>
      <c r="C39" s="370">
        <v>0</v>
      </c>
      <c r="D39" s="370">
        <f>C39*8</f>
        <v>0</v>
      </c>
      <c r="E39" s="371">
        <v>0</v>
      </c>
      <c r="F39" s="371">
        <v>0</v>
      </c>
      <c r="G39" s="372">
        <f>E39*D39*F39</f>
        <v>0</v>
      </c>
      <c r="H39" s="373">
        <v>0</v>
      </c>
      <c r="I39" s="373">
        <v>0</v>
      </c>
      <c r="J39" s="373">
        <v>0</v>
      </c>
      <c r="K39" s="373">
        <v>0</v>
      </c>
      <c r="L39" s="374">
        <f>(H39*F39*E39)+(I39*E39)+(J39*(E39-1))*F39+K39*2*F39</f>
        <v>0</v>
      </c>
    </row>
    <row r="40" spans="2:14" ht="14.25">
      <c r="B40" s="369" t="s">
        <v>459</v>
      </c>
      <c r="C40" s="370">
        <v>0</v>
      </c>
      <c r="D40" s="370">
        <f>C40*8</f>
        <v>0</v>
      </c>
      <c r="E40" s="371">
        <v>0</v>
      </c>
      <c r="F40" s="371">
        <v>0</v>
      </c>
      <c r="G40" s="372">
        <f>E40*D40*F40</f>
        <v>0</v>
      </c>
      <c r="H40" s="373">
        <v>0</v>
      </c>
      <c r="I40" s="373">
        <v>0</v>
      </c>
      <c r="J40" s="373">
        <v>0</v>
      </c>
      <c r="K40" s="373">
        <v>0</v>
      </c>
      <c r="L40" s="374"/>
    </row>
    <row r="41" spans="2:14" ht="15">
      <c r="G41" s="377">
        <f>SUM(G37:G40)</f>
        <v>0</v>
      </c>
      <c r="H41" s="378"/>
      <c r="I41" s="378"/>
      <c r="J41" s="378"/>
      <c r="L41" s="379">
        <f>SUM(L37:L40)</f>
        <v>0</v>
      </c>
    </row>
    <row r="43" spans="2:14" ht="15">
      <c r="B43" s="368" t="s">
        <v>460</v>
      </c>
      <c r="C43" s="368" t="s">
        <v>450</v>
      </c>
      <c r="D43" s="368" t="s">
        <v>461</v>
      </c>
    </row>
    <row r="44" spans="2:14" ht="14.25">
      <c r="B44" s="380" t="s">
        <v>462</v>
      </c>
      <c r="C44" s="381">
        <v>0</v>
      </c>
      <c r="D44" s="371">
        <f>C44/5</f>
        <v>0</v>
      </c>
    </row>
    <row r="45" spans="2:14" ht="14.25">
      <c r="B45" s="380" t="s">
        <v>463</v>
      </c>
      <c r="C45" s="381">
        <v>0</v>
      </c>
      <c r="D45" s="371">
        <f>C45/5</f>
        <v>0</v>
      </c>
    </row>
    <row r="46" spans="2:14" ht="14.25">
      <c r="B46" s="380" t="s">
        <v>464</v>
      </c>
      <c r="C46" s="381">
        <v>0</v>
      </c>
      <c r="D46" s="371">
        <f>C46/5</f>
        <v>0</v>
      </c>
    </row>
    <row r="47" spans="2:14" ht="14.25">
      <c r="B47" s="380" t="s">
        <v>465</v>
      </c>
      <c r="C47" s="381">
        <v>0</v>
      </c>
      <c r="D47" s="371">
        <f>C47/5</f>
        <v>0</v>
      </c>
    </row>
    <row r="48" spans="2:14" ht="15">
      <c r="B48" s="382" t="s">
        <v>466</v>
      </c>
      <c r="C48" s="383">
        <f>SUM(C44:C47)</f>
        <v>0</v>
      </c>
      <c r="D48" s="383">
        <f>SUM(D44:D47)</f>
        <v>0</v>
      </c>
    </row>
    <row r="50" spans="2:14" ht="15">
      <c r="B50" s="587" t="s">
        <v>651</v>
      </c>
      <c r="C50" s="588"/>
      <c r="D50" s="588"/>
      <c r="E50" s="588"/>
      <c r="F50" s="588"/>
      <c r="G50" s="588"/>
      <c r="H50" s="588"/>
      <c r="I50" s="588"/>
      <c r="J50" s="588"/>
      <c r="K50" s="588"/>
      <c r="M50" s="589" t="s">
        <v>444</v>
      </c>
      <c r="N50" s="589"/>
    </row>
    <row r="51" spans="2:14" ht="15">
      <c r="B51" s="584" t="s">
        <v>445</v>
      </c>
      <c r="C51" s="585" t="s">
        <v>446</v>
      </c>
      <c r="D51" s="585"/>
      <c r="E51" s="585"/>
      <c r="F51" s="585"/>
      <c r="G51" s="585"/>
      <c r="H51" s="586" t="s">
        <v>447</v>
      </c>
      <c r="I51" s="586"/>
      <c r="J51" s="586"/>
      <c r="K51" s="586"/>
      <c r="M51" s="366" t="s">
        <v>446</v>
      </c>
      <c r="N51" s="367">
        <v>79200.000000000015</v>
      </c>
    </row>
    <row r="52" spans="2:14" ht="15">
      <c r="B52" s="584"/>
      <c r="C52" s="368" t="s">
        <v>448</v>
      </c>
      <c r="D52" s="368" t="s">
        <v>449</v>
      </c>
      <c r="E52" s="368" t="s">
        <v>450</v>
      </c>
      <c r="F52" s="368" t="s">
        <v>451</v>
      </c>
      <c r="G52" s="368" t="s">
        <v>14</v>
      </c>
      <c r="H52" s="368" t="s">
        <v>452</v>
      </c>
      <c r="I52" s="368" t="s">
        <v>453</v>
      </c>
      <c r="J52" s="368" t="s">
        <v>454</v>
      </c>
      <c r="K52" s="368" t="s">
        <v>14</v>
      </c>
      <c r="M52" s="366" t="s">
        <v>447</v>
      </c>
      <c r="N52" s="367">
        <v>157500</v>
      </c>
    </row>
    <row r="53" spans="2:14" ht="14.25">
      <c r="B53" s="369" t="s">
        <v>455</v>
      </c>
      <c r="C53" s="370">
        <v>0</v>
      </c>
      <c r="D53" s="370">
        <f>C53*8</f>
        <v>0</v>
      </c>
      <c r="E53" s="371">
        <v>0</v>
      </c>
      <c r="F53" s="371">
        <v>0</v>
      </c>
      <c r="G53" s="372">
        <f>E53*D53*F53</f>
        <v>0</v>
      </c>
      <c r="H53" s="373">
        <v>0</v>
      </c>
      <c r="I53" s="373">
        <v>0</v>
      </c>
      <c r="J53" s="373">
        <v>0</v>
      </c>
      <c r="K53" s="374">
        <f>(H53*F53*E53)+(I53*E53)+(J53*(E53-1))*F53</f>
        <v>0</v>
      </c>
      <c r="M53" s="375" t="s">
        <v>14</v>
      </c>
      <c r="N53" s="376">
        <f>SUM(N51:N52)</f>
        <v>236700</v>
      </c>
    </row>
    <row r="54" spans="2:14" ht="14.25">
      <c r="B54" s="369" t="s">
        <v>456</v>
      </c>
      <c r="C54" s="370">
        <v>0</v>
      </c>
      <c r="D54" s="370">
        <f>C54*8</f>
        <v>0</v>
      </c>
      <c r="E54" s="371">
        <v>0</v>
      </c>
      <c r="F54" s="371">
        <v>0</v>
      </c>
      <c r="G54" s="372">
        <f>E54*D54*F54</f>
        <v>0</v>
      </c>
      <c r="H54" s="373">
        <v>0</v>
      </c>
      <c r="I54" s="373">
        <v>0</v>
      </c>
      <c r="J54" s="373">
        <v>0</v>
      </c>
      <c r="K54" s="374">
        <f>(H54*F54*E54)+(I54*E54)+(J54*(E54-1))*F54</f>
        <v>0</v>
      </c>
      <c r="M54" s="375" t="s">
        <v>457</v>
      </c>
      <c r="N54" s="376">
        <f>N53-(G58+K58)</f>
        <v>236700</v>
      </c>
    </row>
    <row r="55" spans="2:14" ht="14.25">
      <c r="B55" s="369" t="s">
        <v>458</v>
      </c>
      <c r="C55" s="370">
        <v>0</v>
      </c>
      <c r="D55" s="370">
        <f>C55*8</f>
        <v>0</v>
      </c>
      <c r="E55" s="371">
        <v>0</v>
      </c>
      <c r="F55" s="371">
        <v>0</v>
      </c>
      <c r="G55" s="372">
        <f>E55*D55*F55</f>
        <v>0</v>
      </c>
      <c r="H55" s="373">
        <v>0</v>
      </c>
      <c r="I55" s="373">
        <v>0</v>
      </c>
      <c r="J55" s="373">
        <v>0</v>
      </c>
      <c r="K55" s="374">
        <f>(H55*F55*E55)+(I55*E55)+(J55*(E55-1))*F55</f>
        <v>0</v>
      </c>
    </row>
    <row r="56" spans="2:14" ht="15">
      <c r="B56" s="369" t="s">
        <v>459</v>
      </c>
      <c r="C56" s="370">
        <v>0</v>
      </c>
      <c r="D56" s="370">
        <f>C56*8</f>
        <v>0</v>
      </c>
      <c r="E56" s="371">
        <v>0</v>
      </c>
      <c r="F56" s="371">
        <v>0</v>
      </c>
      <c r="G56" s="372">
        <f>E56*D56*F56</f>
        <v>0</v>
      </c>
      <c r="H56" s="373">
        <v>0</v>
      </c>
      <c r="I56" s="373">
        <v>0</v>
      </c>
      <c r="J56" s="373">
        <v>0</v>
      </c>
      <c r="K56" s="374"/>
      <c r="M56" s="384" t="s">
        <v>467</v>
      </c>
      <c r="N56" s="385">
        <f>N54+N38</f>
        <v>474300</v>
      </c>
    </row>
    <row r="57" spans="2:14" ht="15">
      <c r="G57" s="377">
        <f>SUM(G53:G56)</f>
        <v>0</v>
      </c>
      <c r="H57" s="378"/>
      <c r="I57" s="378"/>
      <c r="J57" s="378"/>
      <c r="K57" s="379">
        <f>SUM(K53:K56)</f>
        <v>0</v>
      </c>
    </row>
    <row r="59" spans="2:14" ht="15">
      <c r="B59" s="368" t="s">
        <v>460</v>
      </c>
      <c r="C59" s="368" t="s">
        <v>450</v>
      </c>
      <c r="D59" s="368" t="s">
        <v>461</v>
      </c>
    </row>
    <row r="60" spans="2:14" ht="14.25">
      <c r="B60" s="380" t="s">
        <v>462</v>
      </c>
      <c r="C60" s="381">
        <v>0</v>
      </c>
      <c r="D60" s="371">
        <f>C60/5</f>
        <v>0</v>
      </c>
    </row>
    <row r="61" spans="2:14" ht="14.25">
      <c r="B61" s="380" t="s">
        <v>463</v>
      </c>
      <c r="C61" s="381">
        <v>0</v>
      </c>
      <c r="D61" s="371">
        <f>C61/5</f>
        <v>0</v>
      </c>
    </row>
    <row r="62" spans="2:14" ht="14.25">
      <c r="B62" s="380" t="s">
        <v>464</v>
      </c>
      <c r="C62" s="381">
        <v>0</v>
      </c>
      <c r="D62" s="371">
        <f>C62/5</f>
        <v>0</v>
      </c>
    </row>
    <row r="63" spans="2:14" ht="14.25">
      <c r="B63" s="380" t="s">
        <v>465</v>
      </c>
      <c r="C63" s="381">
        <v>0</v>
      </c>
      <c r="D63" s="371">
        <f>C63/5</f>
        <v>0</v>
      </c>
    </row>
    <row r="64" spans="2:14" ht="15">
      <c r="B64" s="382" t="s">
        <v>466</v>
      </c>
      <c r="C64" s="383">
        <v>0</v>
      </c>
      <c r="D64" s="383">
        <f>SUM(D60:D63)</f>
        <v>0</v>
      </c>
    </row>
    <row r="69" spans="2:6" ht="18">
      <c r="B69" s="591" t="s">
        <v>469</v>
      </c>
      <c r="C69" s="591"/>
      <c r="D69" s="591"/>
      <c r="E69" s="591"/>
      <c r="F69" s="386"/>
    </row>
    <row r="70" spans="2:6" ht="15">
      <c r="B70" s="387" t="s">
        <v>470</v>
      </c>
      <c r="C70" s="387" t="s">
        <v>8</v>
      </c>
      <c r="D70" s="387" t="s">
        <v>471</v>
      </c>
      <c r="E70" s="387" t="s">
        <v>318</v>
      </c>
      <c r="F70" s="386"/>
    </row>
    <row r="71" spans="2:6" ht="15">
      <c r="B71" s="388" t="s">
        <v>472</v>
      </c>
      <c r="C71" s="389">
        <v>0</v>
      </c>
      <c r="D71" s="390">
        <v>0</v>
      </c>
      <c r="E71" s="390">
        <f t="shared" ref="E71:E77" si="1">D71*C71</f>
        <v>0</v>
      </c>
      <c r="F71" s="386"/>
    </row>
    <row r="72" spans="2:6" ht="15">
      <c r="B72" s="388" t="s">
        <v>473</v>
      </c>
      <c r="C72" s="389">
        <v>0</v>
      </c>
      <c r="D72" s="390">
        <v>0</v>
      </c>
      <c r="E72" s="390">
        <f t="shared" si="1"/>
        <v>0</v>
      </c>
      <c r="F72" s="386"/>
    </row>
    <row r="73" spans="2:6" ht="15">
      <c r="B73" s="388" t="s">
        <v>474</v>
      </c>
      <c r="C73" s="389">
        <v>0</v>
      </c>
      <c r="D73" s="390">
        <v>0</v>
      </c>
      <c r="E73" s="390">
        <f t="shared" si="1"/>
        <v>0</v>
      </c>
      <c r="F73" s="386"/>
    </row>
    <row r="74" spans="2:6" ht="15">
      <c r="B74" s="388" t="s">
        <v>475</v>
      </c>
      <c r="C74" s="389">
        <v>0</v>
      </c>
      <c r="D74" s="390">
        <v>0</v>
      </c>
      <c r="E74" s="390">
        <f t="shared" si="1"/>
        <v>0</v>
      </c>
      <c r="F74" s="386"/>
    </row>
    <row r="75" spans="2:6" ht="15">
      <c r="B75" s="388" t="s">
        <v>476</v>
      </c>
      <c r="C75" s="389">
        <v>0</v>
      </c>
      <c r="D75" s="390">
        <v>0</v>
      </c>
      <c r="E75" s="390">
        <f t="shared" si="1"/>
        <v>0</v>
      </c>
      <c r="F75" s="386"/>
    </row>
    <row r="76" spans="2:6" ht="15">
      <c r="B76" s="388" t="s">
        <v>477</v>
      </c>
      <c r="C76" s="389">
        <v>0</v>
      </c>
      <c r="D76" s="390">
        <v>0</v>
      </c>
      <c r="E76" s="390">
        <f t="shared" si="1"/>
        <v>0</v>
      </c>
      <c r="F76" s="386"/>
    </row>
    <row r="77" spans="2:6" ht="15">
      <c r="B77" s="388" t="s">
        <v>478</v>
      </c>
      <c r="C77" s="389">
        <v>0</v>
      </c>
      <c r="D77" s="390">
        <v>0</v>
      </c>
      <c r="E77" s="390">
        <f t="shared" si="1"/>
        <v>0</v>
      </c>
      <c r="F77" s="386"/>
    </row>
    <row r="78" spans="2:6" ht="15">
      <c r="B78" s="386"/>
      <c r="C78" s="386"/>
      <c r="D78" s="386"/>
      <c r="E78" s="386"/>
      <c r="F78" s="386"/>
    </row>
    <row r="79" spans="2:6" ht="15">
      <c r="B79" s="386"/>
      <c r="C79" s="386"/>
      <c r="D79" s="391" t="s">
        <v>14</v>
      </c>
      <c r="E79" s="392">
        <f>SUM(E71:E77)</f>
        <v>0</v>
      </c>
      <c r="F79" s="386">
        <f>E79/25</f>
        <v>0</v>
      </c>
    </row>
    <row r="80" spans="2:6" ht="15">
      <c r="B80" s="386"/>
      <c r="C80" s="386"/>
      <c r="D80" s="391"/>
      <c r="E80" s="392"/>
      <c r="F80" s="386"/>
    </row>
    <row r="81" spans="2:11" ht="18">
      <c r="B81" s="591" t="s">
        <v>479</v>
      </c>
      <c r="C81" s="591"/>
      <c r="D81" s="591"/>
      <c r="E81" s="591"/>
      <c r="F81" s="386"/>
    </row>
    <row r="82" spans="2:11" ht="15">
      <c r="B82" s="393" t="s">
        <v>480</v>
      </c>
      <c r="C82" s="387" t="s">
        <v>8</v>
      </c>
      <c r="D82" s="387" t="s">
        <v>471</v>
      </c>
      <c r="E82" s="387" t="s">
        <v>318</v>
      </c>
      <c r="F82" s="386"/>
    </row>
    <row r="83" spans="2:11" ht="15">
      <c r="B83" s="388" t="s">
        <v>481</v>
      </c>
      <c r="C83" s="389">
        <v>0</v>
      </c>
      <c r="D83" s="390">
        <v>0</v>
      </c>
      <c r="E83" s="390">
        <f>D83*C83</f>
        <v>0</v>
      </c>
      <c r="F83" s="386"/>
    </row>
    <row r="84" spans="2:11" ht="15">
      <c r="B84" s="388" t="s">
        <v>482</v>
      </c>
      <c r="C84" s="389">
        <v>0</v>
      </c>
      <c r="D84" s="390">
        <v>0</v>
      </c>
      <c r="E84" s="390">
        <f>D84*C84</f>
        <v>0</v>
      </c>
      <c r="F84" s="386"/>
    </row>
    <row r="85" spans="2:11" ht="15">
      <c r="B85" s="388" t="s">
        <v>483</v>
      </c>
      <c r="C85" s="389">
        <v>0</v>
      </c>
      <c r="D85" s="390">
        <v>0</v>
      </c>
      <c r="E85" s="390">
        <f>D85*C85</f>
        <v>0</v>
      </c>
      <c r="F85" s="386"/>
    </row>
    <row r="86" spans="2:11" ht="15">
      <c r="B86" s="388" t="s">
        <v>484</v>
      </c>
      <c r="C86" s="389">
        <v>0</v>
      </c>
      <c r="D86" s="390">
        <v>0</v>
      </c>
      <c r="E86" s="390">
        <f>D86*C86</f>
        <v>0</v>
      </c>
      <c r="F86" s="386"/>
    </row>
    <row r="87" spans="2:11" ht="15">
      <c r="B87" s="388" t="s">
        <v>485</v>
      </c>
      <c r="C87" s="389">
        <v>0</v>
      </c>
      <c r="D87" s="390">
        <v>0</v>
      </c>
      <c r="E87" s="390">
        <f>D87*C87</f>
        <v>0</v>
      </c>
      <c r="F87" s="386"/>
    </row>
    <row r="88" spans="2:11" ht="15">
      <c r="B88" s="386"/>
      <c r="C88" s="386"/>
      <c r="D88" s="386"/>
      <c r="E88" s="386"/>
      <c r="F88" s="386"/>
    </row>
    <row r="89" spans="2:11" ht="15">
      <c r="B89" s="386"/>
      <c r="C89" s="386"/>
      <c r="D89" s="391" t="s">
        <v>14</v>
      </c>
      <c r="E89" s="392">
        <f>SUM(E83:E87)</f>
        <v>0</v>
      </c>
      <c r="F89" s="386">
        <f>E89/25</f>
        <v>0</v>
      </c>
    </row>
    <row r="91" spans="2:11" ht="15">
      <c r="B91" s="580" t="s">
        <v>486</v>
      </c>
      <c r="C91" s="581"/>
      <c r="D91" s="581"/>
      <c r="E91" s="581"/>
      <c r="F91" s="581"/>
      <c r="G91" s="581"/>
      <c r="H91" s="581"/>
      <c r="I91" s="581"/>
      <c r="J91" s="581"/>
      <c r="K91" s="581"/>
    </row>
    <row r="92" spans="2:11" ht="15">
      <c r="B92" s="584" t="s">
        <v>445</v>
      </c>
      <c r="C92" s="585" t="s">
        <v>446</v>
      </c>
      <c r="D92" s="585"/>
      <c r="E92" s="585"/>
      <c r="F92" s="585"/>
      <c r="G92" s="585"/>
      <c r="H92" s="586" t="s">
        <v>447</v>
      </c>
      <c r="I92" s="586"/>
      <c r="J92" s="586"/>
      <c r="K92" s="586"/>
    </row>
    <row r="93" spans="2:11" ht="15">
      <c r="B93" s="584"/>
      <c r="C93" s="368" t="s">
        <v>448</v>
      </c>
      <c r="D93" s="368" t="s">
        <v>449</v>
      </c>
      <c r="E93" s="368" t="s">
        <v>450</v>
      </c>
      <c r="F93" s="368" t="s">
        <v>451</v>
      </c>
      <c r="G93" s="368" t="s">
        <v>14</v>
      </c>
      <c r="H93" s="368" t="s">
        <v>452</v>
      </c>
      <c r="I93" s="368" t="s">
        <v>453</v>
      </c>
      <c r="J93" s="368" t="s">
        <v>454</v>
      </c>
      <c r="K93" s="368" t="s">
        <v>14</v>
      </c>
    </row>
    <row r="94" spans="2:11" ht="14.25">
      <c r="B94" s="369" t="s">
        <v>455</v>
      </c>
      <c r="C94" s="370">
        <v>0</v>
      </c>
      <c r="D94" s="370">
        <f>C94*8</f>
        <v>0</v>
      </c>
      <c r="E94" s="371">
        <v>0</v>
      </c>
      <c r="F94" s="371">
        <v>0</v>
      </c>
      <c r="G94" s="372">
        <f>E94*D94*F94</f>
        <v>0</v>
      </c>
      <c r="H94" s="373">
        <v>0</v>
      </c>
      <c r="I94" s="373">
        <v>0</v>
      </c>
      <c r="J94" s="373">
        <v>0</v>
      </c>
      <c r="K94" s="374"/>
    </row>
    <row r="95" spans="2:11" ht="14.25">
      <c r="B95" s="369" t="s">
        <v>456</v>
      </c>
      <c r="C95" s="370">
        <v>0</v>
      </c>
      <c r="D95" s="370">
        <f>C95*8</f>
        <v>0</v>
      </c>
      <c r="E95" s="371">
        <v>0</v>
      </c>
      <c r="F95" s="371">
        <v>0</v>
      </c>
      <c r="G95" s="372">
        <f>E95*D95*F95</f>
        <v>0</v>
      </c>
      <c r="H95" s="373">
        <v>0</v>
      </c>
      <c r="I95" s="373">
        <v>0</v>
      </c>
      <c r="J95" s="373">
        <v>0</v>
      </c>
      <c r="K95" s="374"/>
    </row>
    <row r="96" spans="2:11" ht="14.25">
      <c r="B96" s="369" t="s">
        <v>458</v>
      </c>
      <c r="C96" s="370">
        <v>0</v>
      </c>
      <c r="D96" s="370">
        <f>C96*8</f>
        <v>0</v>
      </c>
      <c r="E96" s="371">
        <v>0</v>
      </c>
      <c r="F96" s="371">
        <v>0</v>
      </c>
      <c r="G96" s="372">
        <f>E96*D96*F96</f>
        <v>0</v>
      </c>
      <c r="H96" s="373">
        <v>0</v>
      </c>
      <c r="I96" s="373">
        <v>0</v>
      </c>
      <c r="J96" s="373">
        <v>0</v>
      </c>
      <c r="K96" s="374"/>
    </row>
    <row r="97" spans="2:11" ht="14.25">
      <c r="B97" s="369" t="s">
        <v>459</v>
      </c>
      <c r="C97" s="370">
        <v>0</v>
      </c>
      <c r="D97" s="370">
        <f>C97*8</f>
        <v>0</v>
      </c>
      <c r="E97" s="371">
        <v>0</v>
      </c>
      <c r="F97" s="371">
        <v>0</v>
      </c>
      <c r="G97" s="372">
        <f>E97*D97*F97</f>
        <v>0</v>
      </c>
      <c r="H97" s="373">
        <v>0</v>
      </c>
      <c r="I97" s="373">
        <v>0</v>
      </c>
      <c r="J97" s="373">
        <v>0</v>
      </c>
      <c r="K97" s="374"/>
    </row>
    <row r="98" spans="2:11" ht="15">
      <c r="G98" s="377">
        <f>SUM(G94:G97)</f>
        <v>0</v>
      </c>
      <c r="H98" s="378"/>
      <c r="I98" s="378"/>
      <c r="J98" s="378"/>
      <c r="K98" s="379">
        <f>SUM(K94:K97)</f>
        <v>0</v>
      </c>
    </row>
    <row r="99" spans="2:11" ht="15">
      <c r="G99" s="394">
        <f>G98*25</f>
        <v>0</v>
      </c>
      <c r="K99" s="394">
        <f>K98*25</f>
        <v>0</v>
      </c>
    </row>
    <row r="100" spans="2:11" ht="15">
      <c r="B100" s="368" t="s">
        <v>460</v>
      </c>
      <c r="C100" s="368" t="s">
        <v>450</v>
      </c>
      <c r="D100" s="368" t="s">
        <v>461</v>
      </c>
    </row>
    <row r="101" spans="2:11" ht="14.25">
      <c r="B101" s="380" t="s">
        <v>462</v>
      </c>
      <c r="C101" s="381">
        <v>0</v>
      </c>
      <c r="D101" s="371">
        <f>C101/5</f>
        <v>0</v>
      </c>
    </row>
    <row r="102" spans="2:11" ht="14.25">
      <c r="B102" s="380"/>
      <c r="C102" s="381">
        <v>0</v>
      </c>
      <c r="D102" s="371">
        <f>C102/5</f>
        <v>0</v>
      </c>
    </row>
    <row r="103" spans="2:11" ht="14.25">
      <c r="B103" s="380" t="s">
        <v>464</v>
      </c>
      <c r="C103" s="381">
        <v>0</v>
      </c>
      <c r="D103" s="371">
        <f>C103/5</f>
        <v>0</v>
      </c>
    </row>
    <row r="104" spans="2:11" ht="14.25">
      <c r="B104" s="380" t="s">
        <v>465</v>
      </c>
      <c r="C104" s="381">
        <v>0</v>
      </c>
      <c r="D104" s="371">
        <f>C104/5</f>
        <v>0</v>
      </c>
    </row>
    <row r="105" spans="2:11" ht="15">
      <c r="B105" s="382" t="s">
        <v>466</v>
      </c>
      <c r="C105" s="383">
        <v>0</v>
      </c>
      <c r="D105" s="383">
        <f>SUM(D101:D104)</f>
        <v>0</v>
      </c>
    </row>
    <row r="107" spans="2:11" ht="15">
      <c r="B107" s="587" t="s">
        <v>487</v>
      </c>
      <c r="C107" s="588"/>
      <c r="D107" s="588"/>
      <c r="E107" s="588"/>
      <c r="F107" s="588"/>
      <c r="G107" s="588"/>
      <c r="H107" s="588"/>
      <c r="I107" s="588"/>
      <c r="J107" s="588"/>
      <c r="K107" s="588"/>
    </row>
    <row r="108" spans="2:11" ht="15">
      <c r="B108" s="584" t="s">
        <v>445</v>
      </c>
      <c r="C108" s="585" t="s">
        <v>446</v>
      </c>
      <c r="D108" s="585"/>
      <c r="E108" s="585"/>
      <c r="F108" s="585"/>
      <c r="G108" s="585"/>
      <c r="H108" s="586" t="s">
        <v>447</v>
      </c>
      <c r="I108" s="586"/>
      <c r="J108" s="586"/>
      <c r="K108" s="586"/>
    </row>
    <row r="109" spans="2:11" ht="15">
      <c r="B109" s="584"/>
      <c r="C109" s="368" t="s">
        <v>448</v>
      </c>
      <c r="D109" s="368" t="s">
        <v>449</v>
      </c>
      <c r="E109" s="368" t="s">
        <v>450</v>
      </c>
      <c r="F109" s="368" t="s">
        <v>451</v>
      </c>
      <c r="G109" s="368" t="s">
        <v>14</v>
      </c>
      <c r="H109" s="368" t="s">
        <v>452</v>
      </c>
      <c r="I109" s="368" t="s">
        <v>453</v>
      </c>
      <c r="J109" s="368" t="s">
        <v>454</v>
      </c>
      <c r="K109" s="368" t="s">
        <v>14</v>
      </c>
    </row>
    <row r="110" spans="2:11" ht="14.25">
      <c r="B110" s="369" t="s">
        <v>455</v>
      </c>
      <c r="C110" s="370">
        <v>0</v>
      </c>
      <c r="D110" s="370">
        <f>C110*8</f>
        <v>0</v>
      </c>
      <c r="E110" s="371">
        <v>0</v>
      </c>
      <c r="F110" s="371">
        <v>0</v>
      </c>
      <c r="G110" s="372">
        <f>E110*D110*F110</f>
        <v>0</v>
      </c>
      <c r="H110" s="373">
        <v>0</v>
      </c>
      <c r="I110" s="373">
        <v>0</v>
      </c>
      <c r="J110" s="373">
        <v>0</v>
      </c>
      <c r="K110" s="374">
        <f>(H110*F110*E110)+(I110*E110)+(J110*(E110-1))*F110</f>
        <v>0</v>
      </c>
    </row>
    <row r="111" spans="2:11" ht="14.25">
      <c r="B111" s="369" t="s">
        <v>456</v>
      </c>
      <c r="C111" s="370">
        <v>0</v>
      </c>
      <c r="D111" s="370">
        <f>C111*8</f>
        <v>0</v>
      </c>
      <c r="E111" s="371">
        <v>0</v>
      </c>
      <c r="F111" s="371">
        <v>0</v>
      </c>
      <c r="G111" s="372">
        <f>E111*D111*F111</f>
        <v>0</v>
      </c>
      <c r="H111" s="373">
        <v>0</v>
      </c>
      <c r="I111" s="373">
        <v>0</v>
      </c>
      <c r="J111" s="373">
        <v>0</v>
      </c>
      <c r="K111" s="374">
        <f>(H111*F111*E111)+(I111*E111)+(J111*(E111-1))*F111</f>
        <v>0</v>
      </c>
    </row>
    <row r="112" spans="2:11" ht="14.25">
      <c r="B112" s="369" t="s">
        <v>458</v>
      </c>
      <c r="C112" s="370">
        <v>0</v>
      </c>
      <c r="D112" s="370">
        <f>C112*8</f>
        <v>0</v>
      </c>
      <c r="E112" s="371">
        <v>0</v>
      </c>
      <c r="F112" s="371">
        <v>0</v>
      </c>
      <c r="G112" s="372">
        <f>E112*D112*F112</f>
        <v>0</v>
      </c>
      <c r="H112" s="373">
        <v>0</v>
      </c>
      <c r="I112" s="373">
        <v>0</v>
      </c>
      <c r="J112" s="373">
        <v>0</v>
      </c>
      <c r="K112" s="374">
        <f>(H112*F112*E112)+(I112*E112)+(J112*(E112-1))*F112</f>
        <v>0</v>
      </c>
    </row>
    <row r="113" spans="2:11" ht="14.25">
      <c r="B113" s="369" t="s">
        <v>459</v>
      </c>
      <c r="C113" s="370">
        <v>0</v>
      </c>
      <c r="D113" s="370">
        <f>C113*8</f>
        <v>0</v>
      </c>
      <c r="E113" s="371">
        <v>0</v>
      </c>
      <c r="F113" s="371">
        <v>0</v>
      </c>
      <c r="G113" s="372">
        <f>E113*D113*F113</f>
        <v>0</v>
      </c>
      <c r="H113" s="373">
        <v>0</v>
      </c>
      <c r="I113" s="373">
        <v>0</v>
      </c>
      <c r="J113" s="373">
        <v>0</v>
      </c>
      <c r="K113" s="374"/>
    </row>
    <row r="114" spans="2:11" ht="15">
      <c r="G114" s="377">
        <f>SUM(G110:G113)</f>
        <v>0</v>
      </c>
      <c r="H114" s="378"/>
      <c r="I114" s="378"/>
      <c r="J114" s="378"/>
      <c r="K114" s="379">
        <f>SUM(K110:K113)</f>
        <v>0</v>
      </c>
    </row>
    <row r="115" spans="2:11" ht="15">
      <c r="G115" s="394">
        <f>G114*25</f>
        <v>0</v>
      </c>
      <c r="K115" s="394">
        <f>K114*25</f>
        <v>0</v>
      </c>
    </row>
    <row r="116" spans="2:11" ht="15">
      <c r="B116" s="368" t="s">
        <v>460</v>
      </c>
      <c r="C116" s="368" t="s">
        <v>450</v>
      </c>
      <c r="D116" s="368" t="s">
        <v>461</v>
      </c>
    </row>
    <row r="117" spans="2:11" ht="14.25">
      <c r="B117" s="380" t="s">
        <v>462</v>
      </c>
      <c r="C117" s="381">
        <v>0</v>
      </c>
      <c r="D117" s="371">
        <f>C117/5</f>
        <v>0</v>
      </c>
    </row>
    <row r="118" spans="2:11" ht="14.25">
      <c r="B118" s="380" t="s">
        <v>463</v>
      </c>
      <c r="C118" s="381">
        <v>0</v>
      </c>
      <c r="D118" s="371">
        <f>C118/5</f>
        <v>0</v>
      </c>
    </row>
    <row r="119" spans="2:11" ht="14.25">
      <c r="B119" s="380" t="s">
        <v>464</v>
      </c>
      <c r="C119" s="381">
        <v>0</v>
      </c>
      <c r="D119" s="371">
        <f>C119/5</f>
        <v>0</v>
      </c>
    </row>
    <row r="120" spans="2:11" ht="14.25">
      <c r="B120" s="380" t="s">
        <v>465</v>
      </c>
      <c r="C120" s="381">
        <v>0</v>
      </c>
      <c r="D120" s="371">
        <f>C120/5</f>
        <v>0</v>
      </c>
    </row>
    <row r="121" spans="2:11" ht="15">
      <c r="B121" s="382" t="s">
        <v>466</v>
      </c>
      <c r="C121" s="383">
        <v>0</v>
      </c>
      <c r="D121" s="383">
        <f>SUM(D117:D120)</f>
        <v>0</v>
      </c>
    </row>
    <row r="123" spans="2:11" ht="15">
      <c r="B123" s="580" t="s">
        <v>488</v>
      </c>
      <c r="C123" s="581"/>
      <c r="D123" s="581"/>
      <c r="E123" s="581"/>
      <c r="F123" s="581"/>
      <c r="G123" s="581"/>
      <c r="H123" s="581"/>
      <c r="I123" s="581"/>
      <c r="J123" s="581"/>
      <c r="K123" s="581"/>
    </row>
    <row r="124" spans="2:11" ht="15">
      <c r="B124" s="584" t="s">
        <v>445</v>
      </c>
      <c r="C124" s="585" t="s">
        <v>446</v>
      </c>
      <c r="D124" s="585"/>
      <c r="E124" s="585"/>
      <c r="F124" s="585"/>
      <c r="G124" s="585"/>
      <c r="H124" s="586" t="s">
        <v>447</v>
      </c>
      <c r="I124" s="586"/>
      <c r="J124" s="586"/>
      <c r="K124" s="586"/>
    </row>
    <row r="125" spans="2:11" ht="15">
      <c r="B125" s="584"/>
      <c r="C125" s="368" t="s">
        <v>448</v>
      </c>
      <c r="D125" s="368" t="s">
        <v>449</v>
      </c>
      <c r="E125" s="368" t="s">
        <v>450</v>
      </c>
      <c r="F125" s="368" t="s">
        <v>451</v>
      </c>
      <c r="G125" s="368" t="s">
        <v>14</v>
      </c>
      <c r="H125" s="368" t="s">
        <v>452</v>
      </c>
      <c r="I125" s="368" t="s">
        <v>453</v>
      </c>
      <c r="J125" s="368" t="s">
        <v>454</v>
      </c>
      <c r="K125" s="368" t="s">
        <v>14</v>
      </c>
    </row>
    <row r="126" spans="2:11" ht="14.25">
      <c r="B126" s="369" t="s">
        <v>455</v>
      </c>
      <c r="C126" s="370">
        <v>0</v>
      </c>
      <c r="D126" s="370">
        <f>C126*8</f>
        <v>0</v>
      </c>
      <c r="E126" s="371">
        <v>0</v>
      </c>
      <c r="F126" s="371">
        <v>0</v>
      </c>
      <c r="G126" s="372">
        <f>E126*D126*F126</f>
        <v>0</v>
      </c>
      <c r="H126" s="373">
        <v>0</v>
      </c>
      <c r="I126" s="373">
        <v>0</v>
      </c>
      <c r="J126" s="373">
        <v>0</v>
      </c>
      <c r="K126" s="374">
        <f>(H126*F126*E126)+(I126*E126)+(J126*(E126-1))*F126</f>
        <v>0</v>
      </c>
    </row>
    <row r="127" spans="2:11" ht="14.25">
      <c r="B127" s="369" t="s">
        <v>456</v>
      </c>
      <c r="C127" s="370">
        <v>0</v>
      </c>
      <c r="D127" s="370">
        <f>C127*8</f>
        <v>0</v>
      </c>
      <c r="E127" s="371">
        <v>0</v>
      </c>
      <c r="F127" s="371">
        <v>0</v>
      </c>
      <c r="G127" s="372">
        <f>E127*D127*F127</f>
        <v>0</v>
      </c>
      <c r="H127" s="373">
        <v>0</v>
      </c>
      <c r="I127" s="373">
        <v>0</v>
      </c>
      <c r="J127" s="373">
        <v>0</v>
      </c>
      <c r="K127" s="374">
        <f>(H127*F127*E127)+(I127*E127)+(J127*(E127-1))*F127</f>
        <v>0</v>
      </c>
    </row>
    <row r="128" spans="2:11" ht="14.25">
      <c r="B128" s="369" t="s">
        <v>458</v>
      </c>
      <c r="C128" s="370">
        <v>0</v>
      </c>
      <c r="D128" s="370">
        <f>C128*8</f>
        <v>0</v>
      </c>
      <c r="E128" s="371">
        <v>0</v>
      </c>
      <c r="F128" s="371">
        <v>0</v>
      </c>
      <c r="G128" s="372">
        <f>E128*D128*F128</f>
        <v>0</v>
      </c>
      <c r="H128" s="373">
        <v>0</v>
      </c>
      <c r="I128" s="373">
        <v>0</v>
      </c>
      <c r="J128" s="373">
        <v>0</v>
      </c>
      <c r="K128" s="374">
        <f>(H128*F128*E128)+(I128*E128)+(J128*(E128-1))*F128</f>
        <v>0</v>
      </c>
    </row>
    <row r="129" spans="2:11" ht="14.25">
      <c r="B129" s="369" t="s">
        <v>459</v>
      </c>
      <c r="C129" s="370">
        <v>0</v>
      </c>
      <c r="D129" s="370">
        <f>C129*8</f>
        <v>0</v>
      </c>
      <c r="E129" s="371">
        <v>0</v>
      </c>
      <c r="F129" s="371">
        <v>0</v>
      </c>
      <c r="G129" s="372">
        <f>E129*D129*F129</f>
        <v>0</v>
      </c>
      <c r="H129" s="373">
        <v>0</v>
      </c>
      <c r="I129" s="373">
        <v>0</v>
      </c>
      <c r="J129" s="373">
        <v>0</v>
      </c>
      <c r="K129" s="374"/>
    </row>
    <row r="130" spans="2:11" ht="15">
      <c r="G130" s="377">
        <f>SUM(G126:G129)</f>
        <v>0</v>
      </c>
      <c r="H130" s="378"/>
      <c r="I130" s="378"/>
      <c r="J130" s="378"/>
      <c r="K130" s="379">
        <f>SUM(K126:K129)</f>
        <v>0</v>
      </c>
    </row>
    <row r="131" spans="2:11" ht="15">
      <c r="G131" s="394">
        <f>G130*25</f>
        <v>0</v>
      </c>
      <c r="K131" s="394">
        <f>K130*25</f>
        <v>0</v>
      </c>
    </row>
    <row r="132" spans="2:11" ht="15">
      <c r="B132" s="368" t="s">
        <v>460</v>
      </c>
      <c r="C132" s="368" t="s">
        <v>450</v>
      </c>
      <c r="D132" s="368" t="s">
        <v>461</v>
      </c>
    </row>
    <row r="133" spans="2:11" ht="14.25">
      <c r="B133" s="380" t="s">
        <v>462</v>
      </c>
      <c r="C133" s="381">
        <v>0</v>
      </c>
      <c r="D133" s="371">
        <f>C133/5</f>
        <v>0</v>
      </c>
    </row>
    <row r="134" spans="2:11" ht="14.25">
      <c r="B134" s="380" t="s">
        <v>463</v>
      </c>
      <c r="C134" s="381">
        <v>0</v>
      </c>
      <c r="D134" s="371">
        <f>C134/5</f>
        <v>0</v>
      </c>
    </row>
    <row r="135" spans="2:11" ht="14.25">
      <c r="B135" s="380" t="s">
        <v>464</v>
      </c>
      <c r="C135" s="381">
        <v>0</v>
      </c>
      <c r="D135" s="371">
        <f>C135/5</f>
        <v>0</v>
      </c>
    </row>
    <row r="136" spans="2:11" ht="14.25">
      <c r="B136" s="380" t="s">
        <v>465</v>
      </c>
      <c r="C136" s="381">
        <v>0</v>
      </c>
      <c r="D136" s="371">
        <f>C136/5</f>
        <v>0</v>
      </c>
    </row>
    <row r="137" spans="2:11" ht="15">
      <c r="B137" s="382" t="s">
        <v>466</v>
      </c>
      <c r="C137" s="383">
        <v>0</v>
      </c>
      <c r="D137" s="383">
        <f>SUM(D133:D136)</f>
        <v>0</v>
      </c>
    </row>
    <row r="139" spans="2:11" ht="15">
      <c r="B139" s="587" t="s">
        <v>489</v>
      </c>
      <c r="C139" s="588"/>
      <c r="D139" s="588"/>
      <c r="E139" s="588"/>
      <c r="F139" s="588"/>
      <c r="G139" s="588"/>
      <c r="H139" s="588"/>
      <c r="I139" s="588"/>
      <c r="J139" s="588"/>
      <c r="K139" s="588"/>
    </row>
    <row r="140" spans="2:11" ht="15">
      <c r="B140" s="584" t="s">
        <v>445</v>
      </c>
      <c r="C140" s="585" t="s">
        <v>446</v>
      </c>
      <c r="D140" s="585"/>
      <c r="E140" s="585"/>
      <c r="F140" s="585"/>
      <c r="G140" s="585"/>
      <c r="H140" s="586" t="s">
        <v>447</v>
      </c>
      <c r="I140" s="586"/>
      <c r="J140" s="586"/>
      <c r="K140" s="586"/>
    </row>
    <row r="141" spans="2:11" ht="15">
      <c r="B141" s="584"/>
      <c r="C141" s="368" t="s">
        <v>448</v>
      </c>
      <c r="D141" s="368" t="s">
        <v>449</v>
      </c>
      <c r="E141" s="368" t="s">
        <v>450</v>
      </c>
      <c r="F141" s="368" t="s">
        <v>451</v>
      </c>
      <c r="G141" s="368" t="s">
        <v>14</v>
      </c>
      <c r="H141" s="368" t="s">
        <v>452</v>
      </c>
      <c r="I141" s="368" t="s">
        <v>453</v>
      </c>
      <c r="J141" s="368" t="s">
        <v>454</v>
      </c>
      <c r="K141" s="368" t="s">
        <v>14</v>
      </c>
    </row>
    <row r="142" spans="2:11" ht="14.25">
      <c r="B142" s="369" t="s">
        <v>455</v>
      </c>
      <c r="C142" s="370">
        <v>0</v>
      </c>
      <c r="D142" s="370">
        <f>C142*8</f>
        <v>0</v>
      </c>
      <c r="E142" s="371">
        <v>0</v>
      </c>
      <c r="F142" s="371">
        <v>0</v>
      </c>
      <c r="G142" s="372">
        <f>E142*D142*F142</f>
        <v>0</v>
      </c>
      <c r="H142" s="373">
        <v>0</v>
      </c>
      <c r="I142" s="373">
        <v>0</v>
      </c>
      <c r="J142" s="373">
        <v>0</v>
      </c>
      <c r="K142" s="374">
        <f>(H142*F142*E142)+(I142*E142)+(J142*(E142-1))*F142</f>
        <v>0</v>
      </c>
    </row>
    <row r="143" spans="2:11" ht="14.25">
      <c r="B143" s="369" t="s">
        <v>456</v>
      </c>
      <c r="C143" s="370">
        <v>0</v>
      </c>
      <c r="D143" s="370">
        <f>C143*8</f>
        <v>0</v>
      </c>
      <c r="E143" s="371">
        <v>0</v>
      </c>
      <c r="F143" s="371">
        <v>0</v>
      </c>
      <c r="G143" s="372">
        <f>E143*D143*F143</f>
        <v>0</v>
      </c>
      <c r="H143" s="373">
        <v>0</v>
      </c>
      <c r="I143" s="373">
        <v>0</v>
      </c>
      <c r="J143" s="373">
        <v>0</v>
      </c>
      <c r="K143" s="374">
        <f>(H143*F143*E143)+(I143*E143)+(J143*(E143-1))*F143</f>
        <v>0</v>
      </c>
    </row>
    <row r="144" spans="2:11" ht="14.25">
      <c r="B144" s="369" t="s">
        <v>458</v>
      </c>
      <c r="C144" s="370">
        <v>0</v>
      </c>
      <c r="D144" s="370">
        <f>C144*8</f>
        <v>0</v>
      </c>
      <c r="E144" s="371">
        <v>0</v>
      </c>
      <c r="F144" s="371">
        <v>0</v>
      </c>
      <c r="G144" s="372">
        <f>E144*D144*F144</f>
        <v>0</v>
      </c>
      <c r="H144" s="373">
        <v>0</v>
      </c>
      <c r="I144" s="373">
        <v>0</v>
      </c>
      <c r="J144" s="373">
        <v>0</v>
      </c>
      <c r="K144" s="374">
        <f>(H144*F144*E144)+(I144*E144)+(J144*(E144-1))*F144</f>
        <v>0</v>
      </c>
    </row>
    <row r="145" spans="2:11" ht="14.25">
      <c r="B145" s="369" t="s">
        <v>459</v>
      </c>
      <c r="C145" s="370">
        <v>0</v>
      </c>
      <c r="D145" s="370">
        <f>C145*8</f>
        <v>0</v>
      </c>
      <c r="E145" s="371">
        <v>0</v>
      </c>
      <c r="F145" s="371">
        <v>0</v>
      </c>
      <c r="G145" s="372">
        <f>E145*D145*F145</f>
        <v>0</v>
      </c>
      <c r="H145" s="373">
        <v>0</v>
      </c>
      <c r="I145" s="373">
        <v>0</v>
      </c>
      <c r="J145" s="373">
        <v>0</v>
      </c>
      <c r="K145" s="374"/>
    </row>
    <row r="146" spans="2:11" ht="15">
      <c r="G146" s="377">
        <f>SUM(G142:G145)</f>
        <v>0</v>
      </c>
      <c r="H146" s="378"/>
      <c r="I146" s="378"/>
      <c r="J146" s="378"/>
      <c r="K146" s="379">
        <f>SUM(K142:K145)</f>
        <v>0</v>
      </c>
    </row>
    <row r="147" spans="2:11" ht="15">
      <c r="G147" s="394">
        <f>G146*25</f>
        <v>0</v>
      </c>
      <c r="K147" s="394">
        <f>K146*25</f>
        <v>0</v>
      </c>
    </row>
    <row r="148" spans="2:11" ht="15">
      <c r="B148" s="368" t="s">
        <v>460</v>
      </c>
      <c r="C148" s="368" t="s">
        <v>450</v>
      </c>
      <c r="D148" s="368" t="s">
        <v>461</v>
      </c>
    </row>
    <row r="149" spans="2:11" ht="14.25">
      <c r="B149" s="380" t="s">
        <v>462</v>
      </c>
      <c r="C149" s="381">
        <v>0</v>
      </c>
      <c r="D149" s="371">
        <f>C149/5</f>
        <v>0</v>
      </c>
    </row>
    <row r="150" spans="2:11" ht="14.25">
      <c r="B150" s="380" t="s">
        <v>463</v>
      </c>
      <c r="C150" s="381">
        <v>0</v>
      </c>
      <c r="D150" s="371">
        <f>C150/5</f>
        <v>0</v>
      </c>
    </row>
    <row r="151" spans="2:11" ht="14.25">
      <c r="B151" s="380" t="s">
        <v>464</v>
      </c>
      <c r="C151" s="381">
        <v>0</v>
      </c>
      <c r="D151" s="371">
        <f>C151/5</f>
        <v>0</v>
      </c>
    </row>
    <row r="152" spans="2:11" ht="14.25">
      <c r="B152" s="380" t="s">
        <v>465</v>
      </c>
      <c r="C152" s="381">
        <v>0</v>
      </c>
      <c r="D152" s="371">
        <f>C152/5</f>
        <v>0</v>
      </c>
    </row>
    <row r="153" spans="2:11" ht="15">
      <c r="B153" s="382" t="s">
        <v>466</v>
      </c>
      <c r="C153" s="383">
        <v>0</v>
      </c>
      <c r="D153" s="383">
        <f>SUM(D149:D152)</f>
        <v>0</v>
      </c>
    </row>
    <row r="158" spans="2:11" ht="18">
      <c r="B158" s="591" t="s">
        <v>469</v>
      </c>
      <c r="C158" s="591"/>
      <c r="D158" s="591"/>
      <c r="E158" s="591"/>
      <c r="F158" s="386"/>
    </row>
    <row r="159" spans="2:11" ht="15">
      <c r="B159" s="387" t="s">
        <v>470</v>
      </c>
      <c r="C159" s="387" t="s">
        <v>8</v>
      </c>
      <c r="D159" s="387" t="s">
        <v>471</v>
      </c>
      <c r="E159" s="387" t="s">
        <v>318</v>
      </c>
      <c r="F159" s="386"/>
    </row>
    <row r="160" spans="2:11" ht="15">
      <c r="B160" s="388" t="s">
        <v>472</v>
      </c>
      <c r="C160" s="389">
        <v>0</v>
      </c>
      <c r="D160" s="390">
        <v>0</v>
      </c>
      <c r="E160" s="390">
        <f t="shared" ref="E160:E166" si="2">D160*C160</f>
        <v>0</v>
      </c>
      <c r="F160" s="386"/>
    </row>
    <row r="161" spans="2:6" ht="15">
      <c r="B161" s="388" t="s">
        <v>473</v>
      </c>
      <c r="C161" s="389">
        <v>0</v>
      </c>
      <c r="D161" s="390">
        <v>0</v>
      </c>
      <c r="E161" s="390">
        <f t="shared" si="2"/>
        <v>0</v>
      </c>
      <c r="F161" s="386"/>
    </row>
    <row r="162" spans="2:6" ht="15">
      <c r="B162" s="388" t="s">
        <v>474</v>
      </c>
      <c r="C162" s="389">
        <v>0</v>
      </c>
      <c r="D162" s="390">
        <v>0</v>
      </c>
      <c r="E162" s="390">
        <f t="shared" si="2"/>
        <v>0</v>
      </c>
      <c r="F162" s="386"/>
    </row>
    <row r="163" spans="2:6" ht="15">
      <c r="B163" s="388" t="s">
        <v>475</v>
      </c>
      <c r="C163" s="389">
        <v>0</v>
      </c>
      <c r="D163" s="390">
        <v>0</v>
      </c>
      <c r="E163" s="390">
        <f t="shared" si="2"/>
        <v>0</v>
      </c>
      <c r="F163" s="386"/>
    </row>
    <row r="164" spans="2:6" ht="15">
      <c r="B164" s="388" t="s">
        <v>476</v>
      </c>
      <c r="C164" s="389">
        <v>0</v>
      </c>
      <c r="D164" s="390">
        <v>0</v>
      </c>
      <c r="E164" s="390">
        <f t="shared" si="2"/>
        <v>0</v>
      </c>
      <c r="F164" s="386"/>
    </row>
    <row r="165" spans="2:6" ht="15">
      <c r="B165" s="388" t="s">
        <v>477</v>
      </c>
      <c r="C165" s="389">
        <v>0</v>
      </c>
      <c r="D165" s="390">
        <v>0</v>
      </c>
      <c r="E165" s="390">
        <f t="shared" si="2"/>
        <v>0</v>
      </c>
      <c r="F165" s="386"/>
    </row>
    <row r="166" spans="2:6" ht="15">
      <c r="B166" s="388" t="s">
        <v>478</v>
      </c>
      <c r="C166" s="389">
        <v>0</v>
      </c>
      <c r="D166" s="390">
        <v>0</v>
      </c>
      <c r="E166" s="390">
        <f t="shared" si="2"/>
        <v>0</v>
      </c>
      <c r="F166" s="386"/>
    </row>
    <row r="167" spans="2:6" ht="15">
      <c r="B167" s="386"/>
      <c r="C167" s="386"/>
      <c r="D167" s="386"/>
      <c r="E167" s="386"/>
      <c r="F167" s="386"/>
    </row>
    <row r="168" spans="2:6" ht="15">
      <c r="B168" s="386"/>
      <c r="C168" s="386"/>
      <c r="D168" s="391" t="s">
        <v>14</v>
      </c>
      <c r="E168" s="392">
        <f>SUM(E160:E166)</f>
        <v>0</v>
      </c>
      <c r="F168" s="386">
        <f>E168/25</f>
        <v>0</v>
      </c>
    </row>
    <row r="169" spans="2:6" ht="15">
      <c r="B169" s="386"/>
      <c r="C169" s="386"/>
      <c r="D169" s="391"/>
      <c r="E169" s="392"/>
      <c r="F169" s="386"/>
    </row>
    <row r="170" spans="2:6" ht="18">
      <c r="B170" s="591" t="s">
        <v>479</v>
      </c>
      <c r="C170" s="591"/>
      <c r="D170" s="591"/>
      <c r="E170" s="591"/>
      <c r="F170" s="386"/>
    </row>
    <row r="171" spans="2:6" ht="15">
      <c r="B171" s="393" t="s">
        <v>480</v>
      </c>
      <c r="C171" s="387" t="s">
        <v>8</v>
      </c>
      <c r="D171" s="387" t="s">
        <v>471</v>
      </c>
      <c r="E171" s="387" t="s">
        <v>318</v>
      </c>
      <c r="F171" s="386"/>
    </row>
    <row r="172" spans="2:6" ht="15">
      <c r="B172" s="388" t="s">
        <v>481</v>
      </c>
      <c r="C172" s="389">
        <v>0</v>
      </c>
      <c r="D172" s="390">
        <v>0</v>
      </c>
      <c r="E172" s="390">
        <f>D172*C172</f>
        <v>0</v>
      </c>
      <c r="F172" s="386"/>
    </row>
    <row r="173" spans="2:6" ht="15">
      <c r="B173" s="388" t="s">
        <v>482</v>
      </c>
      <c r="C173" s="389">
        <v>0</v>
      </c>
      <c r="D173" s="390">
        <v>0</v>
      </c>
      <c r="E173" s="390">
        <f>D173*C173</f>
        <v>0</v>
      </c>
      <c r="F173" s="386"/>
    </row>
    <row r="174" spans="2:6" ht="15">
      <c r="B174" s="388" t="s">
        <v>483</v>
      </c>
      <c r="C174" s="389">
        <v>0</v>
      </c>
      <c r="D174" s="390">
        <v>0</v>
      </c>
      <c r="E174" s="390">
        <f>D174*C174</f>
        <v>0</v>
      </c>
      <c r="F174" s="386"/>
    </row>
    <row r="175" spans="2:6" ht="15">
      <c r="B175" s="388" t="s">
        <v>484</v>
      </c>
      <c r="C175" s="389">
        <v>0</v>
      </c>
      <c r="D175" s="390">
        <v>0</v>
      </c>
      <c r="E175" s="390">
        <f>D175*C175</f>
        <v>0</v>
      </c>
      <c r="F175" s="386"/>
    </row>
    <row r="176" spans="2:6" ht="15">
      <c r="B176" s="388" t="s">
        <v>485</v>
      </c>
      <c r="C176" s="389">
        <v>0</v>
      </c>
      <c r="D176" s="390">
        <v>0</v>
      </c>
      <c r="E176" s="390">
        <f>D176*C176</f>
        <v>0</v>
      </c>
      <c r="F176" s="386"/>
    </row>
    <row r="177" spans="2:6" ht="15">
      <c r="B177" s="386"/>
      <c r="C177" s="386"/>
      <c r="D177" s="386"/>
      <c r="E177" s="386"/>
      <c r="F177" s="386"/>
    </row>
    <row r="178" spans="2:6" ht="15">
      <c r="B178" s="386"/>
      <c r="C178" s="386"/>
      <c r="D178" s="391" t="s">
        <v>14</v>
      </c>
      <c r="E178" s="392">
        <f>SUM(E172:E176)</f>
        <v>0</v>
      </c>
      <c r="F178" s="386">
        <f>E178/25</f>
        <v>0</v>
      </c>
    </row>
  </sheetData>
  <mergeCells count="40">
    <mergeCell ref="B170:E170"/>
    <mergeCell ref="B108:B109"/>
    <mergeCell ref="C108:G108"/>
    <mergeCell ref="H108:K108"/>
    <mergeCell ref="B123:K123"/>
    <mergeCell ref="B124:B125"/>
    <mergeCell ref="C124:G124"/>
    <mergeCell ref="H124:K124"/>
    <mergeCell ref="B139:K139"/>
    <mergeCell ref="B140:B141"/>
    <mergeCell ref="C140:G140"/>
    <mergeCell ref="H140:K140"/>
    <mergeCell ref="B158:E158"/>
    <mergeCell ref="B107:K107"/>
    <mergeCell ref="B50:K50"/>
    <mergeCell ref="M50:N50"/>
    <mergeCell ref="B51:B52"/>
    <mergeCell ref="C51:G51"/>
    <mergeCell ref="H51:K51"/>
    <mergeCell ref="B69:E69"/>
    <mergeCell ref="B81:E81"/>
    <mergeCell ref="B91:K91"/>
    <mergeCell ref="B92:B93"/>
    <mergeCell ref="C92:G92"/>
    <mergeCell ref="H92:K92"/>
    <mergeCell ref="B35:B36"/>
    <mergeCell ref="C35:G35"/>
    <mergeCell ref="H35:L35"/>
    <mergeCell ref="B2:K2"/>
    <mergeCell ref="M2:N2"/>
    <mergeCell ref="B3:B4"/>
    <mergeCell ref="C3:G3"/>
    <mergeCell ref="H3:K3"/>
    <mergeCell ref="B18:K18"/>
    <mergeCell ref="M18:N18"/>
    <mergeCell ref="B19:B20"/>
    <mergeCell ref="C19:G19"/>
    <mergeCell ref="H19:K19"/>
    <mergeCell ref="B34:L34"/>
    <mergeCell ref="M34:N3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12FE-A2AF-40D9-B75F-1B9656FB7767}">
  <dimension ref="B1:M22"/>
  <sheetViews>
    <sheetView workbookViewId="0">
      <selection activeCell="I3" sqref="I3"/>
    </sheetView>
  </sheetViews>
  <sheetFormatPr baseColWidth="10" defaultColWidth="14.42578125" defaultRowHeight="15" customHeight="1"/>
  <cols>
    <col min="1" max="4" width="10.7109375" style="325" customWidth="1"/>
    <col min="5" max="5" width="12.7109375" style="325" customWidth="1"/>
    <col min="6" max="7" width="10.7109375" style="325" customWidth="1"/>
    <col min="8" max="8" width="16.7109375" style="325" customWidth="1"/>
    <col min="9" max="11" width="10.7109375" style="325" customWidth="1"/>
    <col min="12" max="12" width="21.42578125" style="325" customWidth="1"/>
    <col min="13" max="13" width="14.42578125" style="325" customWidth="1"/>
    <col min="14" max="26" width="10.7109375" style="325" customWidth="1"/>
    <col min="27" max="16384" width="14.42578125" style="325"/>
  </cols>
  <sheetData>
    <row r="1" spans="2:13">
      <c r="L1" s="324" t="s">
        <v>490</v>
      </c>
      <c r="M1" s="324" t="s">
        <v>491</v>
      </c>
    </row>
    <row r="2" spans="2:13">
      <c r="C2" s="325" t="s">
        <v>429</v>
      </c>
      <c r="D2" s="324" t="s">
        <v>492</v>
      </c>
      <c r="E2" s="324" t="s">
        <v>493</v>
      </c>
      <c r="F2" s="324" t="s">
        <v>494</v>
      </c>
      <c r="G2" s="326" t="s">
        <v>495</v>
      </c>
      <c r="H2" s="326" t="s">
        <v>496</v>
      </c>
      <c r="I2" s="326" t="s">
        <v>497</v>
      </c>
      <c r="L2" s="326" t="s">
        <v>498</v>
      </c>
      <c r="M2" s="326">
        <v>100</v>
      </c>
    </row>
    <row r="3" spans="2:13">
      <c r="C3" s="325">
        <v>225</v>
      </c>
      <c r="D3" s="324">
        <v>1</v>
      </c>
      <c r="E3" s="324">
        <v>36</v>
      </c>
      <c r="F3" s="324">
        <v>1</v>
      </c>
      <c r="G3" s="326">
        <f>+F3*E3*D3</f>
        <v>36</v>
      </c>
      <c r="H3" s="323">
        <v>0.6</v>
      </c>
      <c r="I3" s="326">
        <f>+H3*G3</f>
        <v>21.599999999999998</v>
      </c>
      <c r="L3" s="326" t="s">
        <v>499</v>
      </c>
      <c r="M3" s="326">
        <v>30</v>
      </c>
    </row>
    <row r="4" spans="2:13">
      <c r="C4" s="325">
        <f>+C3/2</f>
        <v>112.5</v>
      </c>
      <c r="L4" s="326" t="s">
        <v>500</v>
      </c>
      <c r="M4" s="326">
        <v>40</v>
      </c>
    </row>
    <row r="5" spans="2:13">
      <c r="L5" s="326" t="s">
        <v>501</v>
      </c>
      <c r="M5" s="326">
        <v>360</v>
      </c>
    </row>
    <row r="6" spans="2:13">
      <c r="L6" s="326" t="s">
        <v>502</v>
      </c>
      <c r="M6" s="326">
        <v>35</v>
      </c>
    </row>
    <row r="7" spans="2:13">
      <c r="B7" s="325" t="s">
        <v>503</v>
      </c>
      <c r="L7" s="326" t="s">
        <v>504</v>
      </c>
      <c r="M7" s="326">
        <v>35</v>
      </c>
    </row>
    <row r="8" spans="2:13">
      <c r="B8" s="325" t="s">
        <v>505</v>
      </c>
      <c r="L8" s="326" t="s">
        <v>506</v>
      </c>
      <c r="M8" s="326">
        <v>35</v>
      </c>
    </row>
    <row r="9" spans="2:13">
      <c r="L9" s="326" t="s">
        <v>507</v>
      </c>
      <c r="M9" s="326">
        <v>30</v>
      </c>
    </row>
    <row r="10" spans="2:13">
      <c r="L10" s="326" t="s">
        <v>508</v>
      </c>
      <c r="M10" s="326">
        <v>10</v>
      </c>
    </row>
    <row r="11" spans="2:13">
      <c r="L11" s="326" t="s">
        <v>509</v>
      </c>
      <c r="M11" s="326">
        <v>170</v>
      </c>
    </row>
    <row r="12" spans="2:13">
      <c r="L12" s="326" t="s">
        <v>510</v>
      </c>
      <c r="M12" s="326">
        <v>400</v>
      </c>
    </row>
    <row r="13" spans="2:13">
      <c r="L13" s="326" t="s">
        <v>511</v>
      </c>
      <c r="M13" s="326">
        <v>100</v>
      </c>
    </row>
    <row r="14" spans="2:13">
      <c r="L14" s="326" t="s">
        <v>512</v>
      </c>
      <c r="M14" s="326">
        <v>164</v>
      </c>
    </row>
    <row r="15" spans="2:13">
      <c r="L15" s="326" t="s">
        <v>513</v>
      </c>
      <c r="M15" s="326">
        <v>210</v>
      </c>
    </row>
    <row r="16" spans="2:13">
      <c r="L16" s="504" t="s">
        <v>514</v>
      </c>
      <c r="M16" s="504">
        <v>36</v>
      </c>
    </row>
    <row r="17" spans="12:13">
      <c r="L17" s="326" t="s">
        <v>515</v>
      </c>
      <c r="M17" s="326">
        <v>46</v>
      </c>
    </row>
    <row r="18" spans="12:13">
      <c r="L18" s="326" t="s">
        <v>516</v>
      </c>
      <c r="M18" s="326">
        <v>420</v>
      </c>
    </row>
    <row r="19" spans="12:13">
      <c r="L19" s="326" t="s">
        <v>517</v>
      </c>
      <c r="M19" s="326">
        <v>350</v>
      </c>
    </row>
    <row r="20" spans="12:13">
      <c r="L20" s="326" t="s">
        <v>518</v>
      </c>
      <c r="M20" s="326">
        <v>700</v>
      </c>
    </row>
    <row r="21" spans="12:13">
      <c r="L21" s="326" t="s">
        <v>519</v>
      </c>
      <c r="M21" s="326">
        <v>34</v>
      </c>
    </row>
    <row r="22" spans="12:13">
      <c r="L22" s="326" t="s">
        <v>520</v>
      </c>
      <c r="M22" s="326">
        <v>85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AC563-4DF3-4125-89E8-6BFA937A0306}">
  <sheetPr>
    <tabColor rgb="FF92D050"/>
  </sheetPr>
  <dimension ref="A1:R30"/>
  <sheetViews>
    <sheetView showGridLines="0" zoomScale="90" zoomScaleNormal="90" workbookViewId="0">
      <selection activeCell="L32" sqref="L32"/>
    </sheetView>
  </sheetViews>
  <sheetFormatPr baseColWidth="10" defaultColWidth="9.140625" defaultRowHeight="12.75"/>
  <cols>
    <col min="1" max="1" width="56.42578125" customWidth="1"/>
    <col min="2" max="2" width="13.85546875" customWidth="1"/>
    <col min="3" max="3" width="8.7109375" customWidth="1"/>
    <col min="4" max="4" width="15.85546875" customWidth="1"/>
    <col min="5" max="5" width="25" customWidth="1"/>
    <col min="6" max="6" width="10.7109375" bestFit="1" customWidth="1"/>
    <col min="7" max="7" width="10.28515625" bestFit="1" customWidth="1"/>
    <col min="8" max="8" width="11.28515625" bestFit="1" customWidth="1"/>
    <col min="9" max="9" width="12.85546875" customWidth="1"/>
    <col min="10" max="10" width="14" bestFit="1" customWidth="1"/>
    <col min="11" max="11" width="17.7109375" customWidth="1"/>
    <col min="12" max="12" width="15.42578125" bestFit="1" customWidth="1"/>
    <col min="13" max="13" width="15.28515625" customWidth="1"/>
    <col min="14" max="14" width="15.140625" customWidth="1"/>
    <col min="15" max="15" width="19.140625" customWidth="1"/>
    <col min="16" max="16" width="16.7109375" customWidth="1"/>
    <col min="18" max="18" width="25.5703125" customWidth="1"/>
  </cols>
  <sheetData>
    <row r="1" spans="1:15" ht="15.75">
      <c r="A1" s="568" t="s">
        <v>360</v>
      </c>
      <c r="B1" s="568"/>
      <c r="C1" s="568"/>
      <c r="D1" s="568"/>
      <c r="E1" s="364">
        <f>+Equipos!E1</f>
        <v>0</v>
      </c>
    </row>
    <row r="2" spans="1:15">
      <c r="A2" s="1"/>
      <c r="B2" s="1"/>
      <c r="C2" s="1"/>
      <c r="D2" s="1"/>
      <c r="E2" s="2"/>
    </row>
    <row r="3" spans="1:15">
      <c r="A3" s="571" t="s">
        <v>217</v>
      </c>
      <c r="B3" s="571"/>
      <c r="C3" s="571"/>
      <c r="D3" s="571"/>
      <c r="E3" s="571"/>
      <c r="F3" s="5" t="s">
        <v>362</v>
      </c>
      <c r="G3" s="5" t="s">
        <v>363</v>
      </c>
      <c r="H3" s="5" t="s">
        <v>320</v>
      </c>
      <c r="I3" s="5" t="s">
        <v>364</v>
      </c>
      <c r="J3" s="22" t="s">
        <v>365</v>
      </c>
      <c r="K3" s="249" t="s">
        <v>366</v>
      </c>
      <c r="L3" s="23" t="s">
        <v>247</v>
      </c>
      <c r="M3" s="24" t="s">
        <v>367</v>
      </c>
      <c r="N3" s="25" t="s">
        <v>312</v>
      </c>
      <c r="O3" s="25" t="s">
        <v>312</v>
      </c>
    </row>
    <row r="4" spans="1:15">
      <c r="A4" s="28" t="s">
        <v>0</v>
      </c>
      <c r="B4" s="28"/>
      <c r="C4" s="28" t="s">
        <v>1</v>
      </c>
      <c r="D4" s="28" t="s">
        <v>369</v>
      </c>
      <c r="E4" s="28" t="s">
        <v>370</v>
      </c>
      <c r="F4" s="6">
        <v>0.1</v>
      </c>
      <c r="G4" s="7">
        <v>0</v>
      </c>
      <c r="H4" s="6">
        <v>0.13</v>
      </c>
      <c r="I4" s="247">
        <v>0.14000000000000001</v>
      </c>
      <c r="J4" s="24" t="s">
        <v>371</v>
      </c>
      <c r="K4" s="253">
        <v>0.03</v>
      </c>
      <c r="L4" s="26" t="s">
        <v>382</v>
      </c>
      <c r="M4" s="27">
        <v>0.3</v>
      </c>
      <c r="N4" s="235" t="s">
        <v>372</v>
      </c>
      <c r="O4" s="25" t="s">
        <v>14</v>
      </c>
    </row>
    <row r="5" spans="1:15" s="16" customFormat="1">
      <c r="A5" s="86" t="s">
        <v>373</v>
      </c>
      <c r="B5" s="252" t="s">
        <v>368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5">
      <c r="A6" s="472"/>
      <c r="B6" s="467" t="s">
        <v>380</v>
      </c>
      <c r="C6" s="483">
        <v>0</v>
      </c>
      <c r="D6" s="482">
        <v>0</v>
      </c>
      <c r="E6" s="469">
        <f t="shared" ref="E6:E13" si="0">+D6*C6</f>
        <v>0</v>
      </c>
      <c r="F6" s="461">
        <f t="shared" ref="F6:F22" si="1">IF(B6="si",D6*$F$4,0)</f>
        <v>0</v>
      </c>
      <c r="G6" s="471">
        <f t="shared" ref="G6:G13" si="2">(D6+F6)*$G$4</f>
        <v>0</v>
      </c>
      <c r="H6" s="471">
        <f t="shared" ref="H6:H13" si="3">(D6+F6+G6)*$H$4</f>
        <v>0</v>
      </c>
      <c r="I6" s="461">
        <f t="shared" ref="I6:I22" si="4">IF(B6="si",(D6+F6+G6+H6)*$I$4,0)</f>
        <v>0</v>
      </c>
      <c r="J6" s="471">
        <f t="shared" ref="J6:J13" si="5">D6+F6+G6+H6+I6</f>
        <v>0</v>
      </c>
      <c r="K6" s="461">
        <f t="shared" ref="K6:K22" si="6">J6*$K$4</f>
        <v>0</v>
      </c>
      <c r="L6" s="463">
        <f t="shared" ref="L6:L22" si="7">(J6+K6)*C6</f>
        <v>0</v>
      </c>
      <c r="M6" s="471">
        <f>(J6+K6)*$M$4/(1-$M$4)</f>
        <v>0</v>
      </c>
      <c r="N6" s="471">
        <f>M6+J6+K6</f>
        <v>0</v>
      </c>
      <c r="O6" s="471">
        <f t="shared" ref="O6:O13" si="8">N6*C6</f>
        <v>0</v>
      </c>
    </row>
    <row r="7" spans="1:15">
      <c r="A7" s="472"/>
      <c r="B7" s="467" t="s">
        <v>380</v>
      </c>
      <c r="C7" s="483">
        <v>0</v>
      </c>
      <c r="D7" s="482">
        <v>0</v>
      </c>
      <c r="E7" s="469">
        <f t="shared" si="0"/>
        <v>0</v>
      </c>
      <c r="F7" s="461">
        <f t="shared" si="1"/>
        <v>0</v>
      </c>
      <c r="G7" s="471">
        <f t="shared" si="2"/>
        <v>0</v>
      </c>
      <c r="H7" s="471">
        <f t="shared" si="3"/>
        <v>0</v>
      </c>
      <c r="I7" s="461">
        <f t="shared" si="4"/>
        <v>0</v>
      </c>
      <c r="J7" s="471">
        <f t="shared" si="5"/>
        <v>0</v>
      </c>
      <c r="K7" s="461">
        <f t="shared" si="6"/>
        <v>0</v>
      </c>
      <c r="L7" s="463">
        <f t="shared" si="7"/>
        <v>0</v>
      </c>
      <c r="M7" s="471">
        <f t="shared" ref="M7:M22" si="9">(J7+K7)*$M$4/(1-$M$4)</f>
        <v>0</v>
      </c>
      <c r="N7" s="471">
        <f t="shared" ref="N7:N22" si="10">M7+J7+K7</f>
        <v>0</v>
      </c>
      <c r="O7" s="471">
        <f t="shared" si="8"/>
        <v>0</v>
      </c>
    </row>
    <row r="8" spans="1:15">
      <c r="A8" s="472"/>
      <c r="B8" s="467" t="s">
        <v>380</v>
      </c>
      <c r="C8" s="483">
        <v>0</v>
      </c>
      <c r="D8" s="482">
        <v>0</v>
      </c>
      <c r="E8" s="469">
        <f t="shared" si="0"/>
        <v>0</v>
      </c>
      <c r="F8" s="461">
        <f t="shared" si="1"/>
        <v>0</v>
      </c>
      <c r="G8" s="471">
        <f t="shared" si="2"/>
        <v>0</v>
      </c>
      <c r="H8" s="471">
        <f t="shared" si="3"/>
        <v>0</v>
      </c>
      <c r="I8" s="461">
        <f t="shared" si="4"/>
        <v>0</v>
      </c>
      <c r="J8" s="471">
        <f t="shared" si="5"/>
        <v>0</v>
      </c>
      <c r="K8" s="461">
        <f t="shared" si="6"/>
        <v>0</v>
      </c>
      <c r="L8" s="463">
        <f t="shared" si="7"/>
        <v>0</v>
      </c>
      <c r="M8" s="471">
        <f t="shared" si="9"/>
        <v>0</v>
      </c>
      <c r="N8" s="471">
        <f t="shared" si="10"/>
        <v>0</v>
      </c>
      <c r="O8" s="471">
        <f t="shared" si="8"/>
        <v>0</v>
      </c>
    </row>
    <row r="9" spans="1:15">
      <c r="A9" s="472"/>
      <c r="B9" s="467" t="s">
        <v>380</v>
      </c>
      <c r="C9" s="483">
        <v>0</v>
      </c>
      <c r="D9" s="482">
        <v>0</v>
      </c>
      <c r="E9" s="469">
        <f t="shared" ref="E9:E11" si="11">+D9*C9</f>
        <v>0</v>
      </c>
      <c r="F9" s="461">
        <f t="shared" ref="F9:F11" si="12">IF(B9="si",D9*$F$4,0)</f>
        <v>0</v>
      </c>
      <c r="G9" s="471">
        <f t="shared" ref="G9:G11" si="13">(D9+F9)*$G$4</f>
        <v>0</v>
      </c>
      <c r="H9" s="471">
        <f t="shared" ref="H9:H11" si="14">(D9+F9+G9)*$H$4</f>
        <v>0</v>
      </c>
      <c r="I9" s="461">
        <f t="shared" ref="I9:I11" si="15">IF(B9="si",(D9+F9+G9+H9)*$I$4,0)</f>
        <v>0</v>
      </c>
      <c r="J9" s="471">
        <f t="shared" ref="J9:J11" si="16">D9+F9+G9+H9+I9</f>
        <v>0</v>
      </c>
      <c r="K9" s="461">
        <f t="shared" ref="K9:K11" si="17">J9*$K$4</f>
        <v>0</v>
      </c>
      <c r="L9" s="463">
        <f t="shared" si="7"/>
        <v>0</v>
      </c>
      <c r="M9" s="471">
        <f t="shared" si="9"/>
        <v>0</v>
      </c>
      <c r="N9" s="471">
        <f t="shared" si="10"/>
        <v>0</v>
      </c>
      <c r="O9" s="471">
        <f t="shared" ref="O9:O11" si="18">N9*C9</f>
        <v>0</v>
      </c>
    </row>
    <row r="10" spans="1:15">
      <c r="A10" s="472"/>
      <c r="B10" s="467" t="s">
        <v>380</v>
      </c>
      <c r="C10" s="483">
        <v>0</v>
      </c>
      <c r="D10" s="482">
        <v>0</v>
      </c>
      <c r="E10" s="469">
        <f t="shared" si="11"/>
        <v>0</v>
      </c>
      <c r="F10" s="461">
        <f t="shared" si="12"/>
        <v>0</v>
      </c>
      <c r="G10" s="471">
        <f t="shared" si="13"/>
        <v>0</v>
      </c>
      <c r="H10" s="471">
        <f t="shared" si="14"/>
        <v>0</v>
      </c>
      <c r="I10" s="461">
        <f t="shared" si="15"/>
        <v>0</v>
      </c>
      <c r="J10" s="471">
        <f t="shared" si="16"/>
        <v>0</v>
      </c>
      <c r="K10" s="461">
        <f t="shared" si="17"/>
        <v>0</v>
      </c>
      <c r="L10" s="463">
        <f t="shared" si="7"/>
        <v>0</v>
      </c>
      <c r="M10" s="471">
        <f t="shared" si="9"/>
        <v>0</v>
      </c>
      <c r="N10" s="471">
        <f t="shared" si="10"/>
        <v>0</v>
      </c>
      <c r="O10" s="471">
        <f t="shared" si="18"/>
        <v>0</v>
      </c>
    </row>
    <row r="11" spans="1:15">
      <c r="A11" s="472"/>
      <c r="B11" s="467" t="s">
        <v>380</v>
      </c>
      <c r="C11" s="483">
        <v>0</v>
      </c>
      <c r="D11" s="482">
        <v>0</v>
      </c>
      <c r="E11" s="469">
        <f t="shared" si="11"/>
        <v>0</v>
      </c>
      <c r="F11" s="461">
        <f t="shared" si="12"/>
        <v>0</v>
      </c>
      <c r="G11" s="471">
        <f t="shared" si="13"/>
        <v>0</v>
      </c>
      <c r="H11" s="471">
        <f t="shared" si="14"/>
        <v>0</v>
      </c>
      <c r="I11" s="461">
        <f t="shared" si="15"/>
        <v>0</v>
      </c>
      <c r="J11" s="471">
        <f t="shared" si="16"/>
        <v>0</v>
      </c>
      <c r="K11" s="461">
        <f t="shared" si="17"/>
        <v>0</v>
      </c>
      <c r="L11" s="463">
        <f t="shared" si="7"/>
        <v>0</v>
      </c>
      <c r="M11" s="471">
        <f t="shared" si="9"/>
        <v>0</v>
      </c>
      <c r="N11" s="471">
        <f t="shared" si="10"/>
        <v>0</v>
      </c>
      <c r="O11" s="471">
        <f t="shared" si="18"/>
        <v>0</v>
      </c>
    </row>
    <row r="12" spans="1:15">
      <c r="A12" s="472"/>
      <c r="B12" s="467" t="s">
        <v>380</v>
      </c>
      <c r="C12" s="483">
        <v>0</v>
      </c>
      <c r="D12" s="482">
        <v>0</v>
      </c>
      <c r="E12" s="469">
        <f t="shared" ref="E12" si="19">+D12*C12</f>
        <v>0</v>
      </c>
      <c r="F12" s="461">
        <f t="shared" ref="F12" si="20">IF(B12="si",D12*$F$4,0)</f>
        <v>0</v>
      </c>
      <c r="G12" s="471">
        <f t="shared" ref="G12" si="21">(D12+F12)*$G$4</f>
        <v>0</v>
      </c>
      <c r="H12" s="471">
        <f t="shared" ref="H12" si="22">(D12+F12+G12)*$H$4</f>
        <v>0</v>
      </c>
      <c r="I12" s="461">
        <f t="shared" ref="I12" si="23">IF(B12="si",(D12+F12+G12+H12)*$I$4,0)</f>
        <v>0</v>
      </c>
      <c r="J12" s="471">
        <f t="shared" ref="J12" si="24">D12+F12+G12+H12+I12</f>
        <v>0</v>
      </c>
      <c r="K12" s="461">
        <f t="shared" ref="K12" si="25">J12*$K$4</f>
        <v>0</v>
      </c>
      <c r="L12" s="463">
        <f t="shared" si="7"/>
        <v>0</v>
      </c>
      <c r="M12" s="471">
        <f t="shared" si="9"/>
        <v>0</v>
      </c>
      <c r="N12" s="471">
        <f t="shared" si="10"/>
        <v>0</v>
      </c>
      <c r="O12" s="471">
        <f t="shared" ref="O12" si="26">N12*C12</f>
        <v>0</v>
      </c>
    </row>
    <row r="13" spans="1:15">
      <c r="A13" s="472"/>
      <c r="B13" s="467" t="s">
        <v>380</v>
      </c>
      <c r="C13" s="483">
        <v>0</v>
      </c>
      <c r="D13" s="482">
        <v>0</v>
      </c>
      <c r="E13" s="469">
        <f t="shared" si="0"/>
        <v>0</v>
      </c>
      <c r="F13" s="461">
        <f t="shared" si="1"/>
        <v>0</v>
      </c>
      <c r="G13" s="471">
        <f t="shared" si="2"/>
        <v>0</v>
      </c>
      <c r="H13" s="471">
        <f t="shared" si="3"/>
        <v>0</v>
      </c>
      <c r="I13" s="461">
        <f t="shared" si="4"/>
        <v>0</v>
      </c>
      <c r="J13" s="471">
        <f t="shared" si="5"/>
        <v>0</v>
      </c>
      <c r="K13" s="461">
        <f t="shared" si="6"/>
        <v>0</v>
      </c>
      <c r="L13" s="463">
        <f t="shared" si="7"/>
        <v>0</v>
      </c>
      <c r="M13" s="471">
        <f t="shared" si="9"/>
        <v>0</v>
      </c>
      <c r="N13" s="471">
        <f t="shared" si="10"/>
        <v>0</v>
      </c>
      <c r="O13" s="471">
        <f t="shared" si="8"/>
        <v>0</v>
      </c>
    </row>
    <row r="14" spans="1:15">
      <c r="A14" s="254"/>
      <c r="B14" s="467" t="s">
        <v>380</v>
      </c>
      <c r="C14" s="483">
        <v>0</v>
      </c>
      <c r="D14" s="482">
        <v>0</v>
      </c>
      <c r="E14" s="469">
        <f t="shared" ref="E14" si="27">+D14*C14</f>
        <v>0</v>
      </c>
      <c r="F14" s="461">
        <f t="shared" ref="F14" si="28">IF(B14="si",D14*$F$4,0)</f>
        <v>0</v>
      </c>
      <c r="G14" s="471">
        <f t="shared" ref="G14" si="29">(D14+F14)*$G$4</f>
        <v>0</v>
      </c>
      <c r="H14" s="471">
        <f t="shared" ref="H14" si="30">(D14+F14+G14)*$H$4</f>
        <v>0</v>
      </c>
      <c r="I14" s="461">
        <f t="shared" ref="I14" si="31">IF(B14="si",(D14+F14+G14+H14)*$I$4,0)</f>
        <v>0</v>
      </c>
      <c r="J14" s="471">
        <f t="shared" ref="J14" si="32">D14+F14+G14+H14+I14</f>
        <v>0</v>
      </c>
      <c r="K14" s="461">
        <f t="shared" ref="K14" si="33">J14*$K$4</f>
        <v>0</v>
      </c>
      <c r="L14" s="463">
        <f t="shared" si="7"/>
        <v>0</v>
      </c>
      <c r="M14" s="471">
        <f t="shared" si="9"/>
        <v>0</v>
      </c>
      <c r="N14" s="471">
        <f t="shared" si="10"/>
        <v>0</v>
      </c>
      <c r="O14" s="471">
        <f t="shared" ref="O14" si="34">N14*C14</f>
        <v>0</v>
      </c>
    </row>
    <row r="15" spans="1:15">
      <c r="A15" s="87" t="s">
        <v>383</v>
      </c>
      <c r="B15" s="84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</row>
    <row r="16" spans="1:15">
      <c r="A16" s="467"/>
      <c r="B16" s="467" t="s">
        <v>380</v>
      </c>
      <c r="C16" s="483">
        <v>0</v>
      </c>
      <c r="D16" s="482">
        <v>0</v>
      </c>
      <c r="E16" s="462">
        <f>+C16*D16*(1-C25)</f>
        <v>0</v>
      </c>
      <c r="F16" s="461">
        <f t="shared" si="1"/>
        <v>0</v>
      </c>
      <c r="G16" s="461">
        <f t="shared" ref="G16:G20" si="35">(D16+F16)*$G$4</f>
        <v>0</v>
      </c>
      <c r="H16" s="461">
        <f t="shared" ref="H16:H20" si="36">(D16+F16+G16)*$H$4</f>
        <v>0</v>
      </c>
      <c r="I16" s="461">
        <f t="shared" si="4"/>
        <v>0</v>
      </c>
      <c r="J16" s="461">
        <f t="shared" ref="J16:J20" si="37">D16+F16+G16+H16+I16</f>
        <v>0</v>
      </c>
      <c r="K16" s="461">
        <f t="shared" si="6"/>
        <v>0</v>
      </c>
      <c r="L16" s="463">
        <f t="shared" si="7"/>
        <v>0</v>
      </c>
      <c r="M16" s="471">
        <f t="shared" si="9"/>
        <v>0</v>
      </c>
      <c r="N16" s="471">
        <f t="shared" si="10"/>
        <v>0</v>
      </c>
      <c r="O16" s="461">
        <f t="shared" ref="O16:O20" si="38">N16*C16</f>
        <v>0</v>
      </c>
    </row>
    <row r="17" spans="1:18">
      <c r="A17" s="473"/>
      <c r="B17" s="467" t="s">
        <v>380</v>
      </c>
      <c r="C17" s="483">
        <v>0</v>
      </c>
      <c r="D17" s="482">
        <v>0</v>
      </c>
      <c r="E17" s="462">
        <f>+C17*D17</f>
        <v>0</v>
      </c>
      <c r="F17" s="461">
        <f t="shared" si="1"/>
        <v>0</v>
      </c>
      <c r="G17" s="461">
        <f t="shared" si="35"/>
        <v>0</v>
      </c>
      <c r="H17" s="461">
        <f t="shared" si="36"/>
        <v>0</v>
      </c>
      <c r="I17" s="461">
        <f t="shared" si="4"/>
        <v>0</v>
      </c>
      <c r="J17" s="461">
        <f t="shared" si="37"/>
        <v>0</v>
      </c>
      <c r="K17" s="461">
        <f t="shared" si="6"/>
        <v>0</v>
      </c>
      <c r="L17" s="463">
        <f t="shared" si="7"/>
        <v>0</v>
      </c>
      <c r="M17" s="471">
        <f t="shared" si="9"/>
        <v>0</v>
      </c>
      <c r="N17" s="471">
        <f t="shared" si="10"/>
        <v>0</v>
      </c>
      <c r="O17" s="461">
        <f t="shared" si="38"/>
        <v>0</v>
      </c>
    </row>
    <row r="18" spans="1:18">
      <c r="A18" s="473"/>
      <c r="B18" s="467" t="s">
        <v>380</v>
      </c>
      <c r="C18" s="483">
        <v>0</v>
      </c>
      <c r="D18" s="482">
        <v>0</v>
      </c>
      <c r="E18" s="462">
        <f>+C18*D18</f>
        <v>0</v>
      </c>
      <c r="F18" s="461">
        <f t="shared" si="1"/>
        <v>0</v>
      </c>
      <c r="G18" s="461">
        <f t="shared" si="35"/>
        <v>0</v>
      </c>
      <c r="H18" s="461">
        <f t="shared" si="36"/>
        <v>0</v>
      </c>
      <c r="I18" s="461">
        <f t="shared" si="4"/>
        <v>0</v>
      </c>
      <c r="J18" s="461">
        <f t="shared" si="37"/>
        <v>0</v>
      </c>
      <c r="K18" s="461">
        <f t="shared" si="6"/>
        <v>0</v>
      </c>
      <c r="L18" s="463">
        <f t="shared" si="7"/>
        <v>0</v>
      </c>
      <c r="M18" s="471">
        <f t="shared" si="9"/>
        <v>0</v>
      </c>
      <c r="N18" s="471">
        <f t="shared" si="10"/>
        <v>0</v>
      </c>
      <c r="O18" s="461">
        <f t="shared" si="38"/>
        <v>0</v>
      </c>
    </row>
    <row r="19" spans="1:18">
      <c r="A19" s="474"/>
      <c r="B19" s="467" t="s">
        <v>380</v>
      </c>
      <c r="C19" s="483">
        <v>0</v>
      </c>
      <c r="D19" s="482">
        <v>0</v>
      </c>
      <c r="E19" s="462">
        <f>+C19*D19</f>
        <v>0</v>
      </c>
      <c r="F19" s="461">
        <f t="shared" si="1"/>
        <v>0</v>
      </c>
      <c r="G19" s="461">
        <f t="shared" si="35"/>
        <v>0</v>
      </c>
      <c r="H19" s="461">
        <f t="shared" si="36"/>
        <v>0</v>
      </c>
      <c r="I19" s="461">
        <f t="shared" si="4"/>
        <v>0</v>
      </c>
      <c r="J19" s="461">
        <f t="shared" si="37"/>
        <v>0</v>
      </c>
      <c r="K19" s="461">
        <f t="shared" si="6"/>
        <v>0</v>
      </c>
      <c r="L19" s="463">
        <f t="shared" si="7"/>
        <v>0</v>
      </c>
      <c r="M19" s="471">
        <f t="shared" si="9"/>
        <v>0</v>
      </c>
      <c r="N19" s="471">
        <f t="shared" si="10"/>
        <v>0</v>
      </c>
      <c r="O19" s="461">
        <f t="shared" si="38"/>
        <v>0</v>
      </c>
    </row>
    <row r="20" spans="1:18">
      <c r="A20" s="474"/>
      <c r="B20" s="467" t="s">
        <v>380</v>
      </c>
      <c r="C20" s="483">
        <v>0</v>
      </c>
      <c r="D20" s="482">
        <v>0</v>
      </c>
      <c r="E20" s="462">
        <f>+C20*D20</f>
        <v>0</v>
      </c>
      <c r="F20" s="461">
        <f t="shared" si="1"/>
        <v>0</v>
      </c>
      <c r="G20" s="461">
        <f t="shared" si="35"/>
        <v>0</v>
      </c>
      <c r="H20" s="461">
        <f t="shared" si="36"/>
        <v>0</v>
      </c>
      <c r="I20" s="461">
        <f t="shared" si="4"/>
        <v>0</v>
      </c>
      <c r="J20" s="461">
        <f t="shared" si="37"/>
        <v>0</v>
      </c>
      <c r="K20" s="461">
        <f t="shared" si="6"/>
        <v>0</v>
      </c>
      <c r="L20" s="463">
        <f t="shared" si="7"/>
        <v>0</v>
      </c>
      <c r="M20" s="471">
        <f t="shared" si="9"/>
        <v>0</v>
      </c>
      <c r="N20" s="471">
        <f t="shared" si="10"/>
        <v>0</v>
      </c>
      <c r="O20" s="461">
        <f t="shared" si="38"/>
        <v>0</v>
      </c>
    </row>
    <row r="21" spans="1:18">
      <c r="A21" s="86" t="s">
        <v>375</v>
      </c>
      <c r="B21" s="84"/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</row>
    <row r="22" spans="1:18">
      <c r="A22" s="464"/>
      <c r="B22" s="467" t="s">
        <v>380</v>
      </c>
      <c r="C22" s="483">
        <v>0</v>
      </c>
      <c r="D22" s="482">
        <v>0</v>
      </c>
      <c r="E22" s="462">
        <f>+C22*D22</f>
        <v>0</v>
      </c>
      <c r="F22" s="461">
        <f t="shared" si="1"/>
        <v>0</v>
      </c>
      <c r="G22" s="461">
        <f t="shared" ref="G22" si="39">(D22+F22)*$G$4</f>
        <v>0</v>
      </c>
      <c r="H22" s="461">
        <f t="shared" ref="H22" si="40">(D22+F22+G22)*$H$4</f>
        <v>0</v>
      </c>
      <c r="I22" s="461">
        <f t="shared" si="4"/>
        <v>0</v>
      </c>
      <c r="J22" s="461">
        <f t="shared" ref="J22" si="41">D22+F22+G22+H22+I22</f>
        <v>0</v>
      </c>
      <c r="K22" s="461">
        <f t="shared" si="6"/>
        <v>0</v>
      </c>
      <c r="L22" s="463">
        <f t="shared" si="7"/>
        <v>0</v>
      </c>
      <c r="M22" s="471">
        <f t="shared" si="9"/>
        <v>0</v>
      </c>
      <c r="N22" s="471">
        <f t="shared" si="10"/>
        <v>0</v>
      </c>
      <c r="O22" s="461">
        <f t="shared" ref="O22" si="42">N22*C22</f>
        <v>0</v>
      </c>
    </row>
    <row r="23" spans="1:18">
      <c r="A23" s="140"/>
      <c r="B23" s="140"/>
      <c r="C23" s="12"/>
      <c r="D23" s="139"/>
      <c r="E23" s="19"/>
      <c r="F23" s="9"/>
      <c r="G23" s="9"/>
      <c r="H23" s="9"/>
      <c r="I23" s="9"/>
      <c r="J23" s="9"/>
      <c r="K23" s="9"/>
      <c r="L23" s="182"/>
      <c r="M23" s="9"/>
      <c r="N23" s="9"/>
      <c r="O23" s="9"/>
      <c r="Q23" s="4"/>
    </row>
    <row r="24" spans="1:18">
      <c r="A24" s="13"/>
      <c r="B24" s="13"/>
      <c r="C24" s="14"/>
      <c r="D24" s="15" t="s">
        <v>376</v>
      </c>
      <c r="E24" s="15">
        <f>SUM(E6:E22)</f>
        <v>0</v>
      </c>
      <c r="F24" s="16"/>
      <c r="G24" s="16"/>
      <c r="H24" s="16"/>
      <c r="I24" s="16"/>
      <c r="J24" s="17" t="s">
        <v>377</v>
      </c>
      <c r="K24" s="17"/>
      <c r="L24" s="15">
        <f>SUM(L6:L22)</f>
        <v>0</v>
      </c>
      <c r="M24" s="16"/>
      <c r="N24" s="17" t="s">
        <v>378</v>
      </c>
      <c r="O24" s="15">
        <f>SUM(O6:O22)</f>
        <v>0</v>
      </c>
      <c r="Q24" s="4"/>
      <c r="R24" s="3"/>
    </row>
    <row r="25" spans="1:18">
      <c r="A25" s="35"/>
      <c r="B25" s="35"/>
      <c r="C25" s="238"/>
      <c r="D25" s="16"/>
      <c r="E25" s="19"/>
      <c r="F25" s="16"/>
      <c r="G25" s="16"/>
      <c r="H25" s="16"/>
      <c r="I25" s="16"/>
      <c r="J25" s="16"/>
      <c r="K25" s="16"/>
      <c r="L25" s="16"/>
      <c r="M25" s="16"/>
      <c r="N25" s="20" t="s">
        <v>379</v>
      </c>
      <c r="O25" s="21">
        <f>O24-L24</f>
        <v>0</v>
      </c>
      <c r="Q25" s="4"/>
      <c r="R25" s="3"/>
    </row>
    <row r="26" spans="1:18">
      <c r="Q26" s="4"/>
      <c r="R26" s="3"/>
    </row>
    <row r="27" spans="1:18">
      <c r="A27" s="223" t="s">
        <v>368</v>
      </c>
      <c r="E27" s="3"/>
      <c r="Q27" s="4"/>
      <c r="R27" s="3"/>
    </row>
    <row r="28" spans="1:18">
      <c r="A28" s="116" t="s">
        <v>380</v>
      </c>
      <c r="B28" s="8"/>
      <c r="E28" s="3"/>
      <c r="Q28" s="4"/>
    </row>
    <row r="29" spans="1:18">
      <c r="A29" s="116" t="s">
        <v>374</v>
      </c>
      <c r="B29" s="48"/>
      <c r="C29" s="16"/>
      <c r="D29" s="16"/>
      <c r="O29" s="3"/>
    </row>
    <row r="30" spans="1:18">
      <c r="A30" s="48"/>
      <c r="B30" s="48"/>
      <c r="C30" s="16"/>
      <c r="D30" s="16"/>
      <c r="P30" s="3"/>
    </row>
  </sheetData>
  <mergeCells count="2">
    <mergeCell ref="A1:D1"/>
    <mergeCell ref="A3:E3"/>
  </mergeCells>
  <dataValidations count="1">
    <dataValidation type="list" allowBlank="1" showErrorMessage="1" errorTitle="Opción no válida" sqref="B6:B14 B16:B20 B22" xr:uid="{94170AE7-6B7B-484E-A2CC-35ABC52ED210}">
      <formula1>$A$28:$A$29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39C50-28C5-4A2D-B852-0FD709C85587}">
  <dimension ref="A1:V40"/>
  <sheetViews>
    <sheetView workbookViewId="0">
      <selection activeCell="B33" sqref="B33"/>
    </sheetView>
  </sheetViews>
  <sheetFormatPr baseColWidth="10" defaultColWidth="11.42578125" defaultRowHeight="15"/>
  <cols>
    <col min="1" max="1" width="29.5703125" style="311" bestFit="1" customWidth="1"/>
    <col min="2" max="2" width="28.85546875" style="311" customWidth="1"/>
    <col min="3" max="3" width="30.85546875" style="311" bestFit="1" customWidth="1"/>
    <col min="4" max="10" width="11.42578125" style="311"/>
    <col min="11" max="11" width="17.7109375" style="311" customWidth="1"/>
    <col min="12" max="12" width="11.42578125" style="311"/>
    <col min="13" max="13" width="15.28515625" style="311" customWidth="1"/>
    <col min="14" max="16384" width="11.42578125" style="311"/>
  </cols>
  <sheetData>
    <row r="1" spans="1:22" ht="15.75" thickBot="1">
      <c r="A1" s="592" t="s">
        <v>521</v>
      </c>
      <c r="B1" s="310" t="s">
        <v>522</v>
      </c>
      <c r="C1" s="310" t="s">
        <v>523</v>
      </c>
      <c r="D1" s="310" t="s">
        <v>524</v>
      </c>
      <c r="E1" s="310" t="s">
        <v>525</v>
      </c>
      <c r="F1" s="310" t="s">
        <v>526</v>
      </c>
      <c r="G1" s="310" t="s">
        <v>527</v>
      </c>
      <c r="H1" s="310" t="s">
        <v>528</v>
      </c>
      <c r="I1" s="310" t="str">
        <f>+A24</f>
        <v>PTZ 4</v>
      </c>
      <c r="J1" s="310" t="s">
        <v>529</v>
      </c>
      <c r="K1" s="310" t="str">
        <f>+A25</f>
        <v>PTZ 5</v>
      </c>
      <c r="L1" s="310" t="s">
        <v>530</v>
      </c>
      <c r="M1" s="310" t="str">
        <f>+A26</f>
        <v>PTZ 6</v>
      </c>
      <c r="N1" s="310" t="s">
        <v>531</v>
      </c>
      <c r="O1" s="310" t="str">
        <f>+A27</f>
        <v>PTZ 7</v>
      </c>
      <c r="P1" s="310" t="s">
        <v>532</v>
      </c>
      <c r="Q1" s="310" t="str">
        <f>+A28</f>
        <v>PTZ 8</v>
      </c>
      <c r="R1" s="310" t="s">
        <v>532</v>
      </c>
      <c r="S1" s="310" t="str">
        <f>+A29</f>
        <v>PTZ 9</v>
      </c>
      <c r="T1" s="310" t="s">
        <v>532</v>
      </c>
      <c r="U1" s="310" t="str">
        <f>+A30</f>
        <v>PTZ 10</v>
      </c>
      <c r="V1" s="310" t="s">
        <v>532</v>
      </c>
    </row>
    <row r="2" spans="1:22">
      <c r="A2" s="592"/>
      <c r="B2" s="312" t="s">
        <v>533</v>
      </c>
      <c r="C2" s="313">
        <f>D2/3</f>
        <v>6</v>
      </c>
      <c r="D2" s="362">
        <f>+B21</f>
        <v>18</v>
      </c>
      <c r="E2" s="313">
        <f>F2/3</f>
        <v>2.6666666666666665</v>
      </c>
      <c r="F2" s="362">
        <f>+B22</f>
        <v>8</v>
      </c>
      <c r="G2" s="313">
        <f>H2/3</f>
        <v>2.6666666666666665</v>
      </c>
      <c r="H2" s="362">
        <f>+B23</f>
        <v>8</v>
      </c>
      <c r="I2" s="313">
        <f>J2/3</f>
        <v>3.3333333333333335</v>
      </c>
      <c r="J2" s="362">
        <f>+B24</f>
        <v>10</v>
      </c>
      <c r="K2" s="313">
        <f>L2/3</f>
        <v>0</v>
      </c>
      <c r="L2" s="314">
        <v>0</v>
      </c>
      <c r="M2" s="313">
        <f>N2/3</f>
        <v>0</v>
      </c>
      <c r="N2" s="314">
        <v>0</v>
      </c>
      <c r="O2" s="313">
        <f>P2/3</f>
        <v>0</v>
      </c>
      <c r="P2" s="314">
        <v>0</v>
      </c>
      <c r="Q2" s="313">
        <f>R2/3</f>
        <v>0</v>
      </c>
      <c r="R2" s="314">
        <v>0</v>
      </c>
      <c r="S2" s="313">
        <v>0</v>
      </c>
      <c r="T2" s="314">
        <v>0</v>
      </c>
      <c r="U2" s="313">
        <f>V2/3</f>
        <v>0</v>
      </c>
      <c r="V2" s="314">
        <v>0</v>
      </c>
    </row>
    <row r="3" spans="1:22">
      <c r="A3" s="592"/>
      <c r="B3" s="315" t="s">
        <v>534</v>
      </c>
      <c r="C3" s="313">
        <f>C2</f>
        <v>6</v>
      </c>
      <c r="D3" s="314"/>
      <c r="E3" s="313">
        <f>E2</f>
        <v>2.6666666666666665</v>
      </c>
      <c r="F3" s="314"/>
      <c r="G3" s="313">
        <f>G2</f>
        <v>2.6666666666666665</v>
      </c>
      <c r="H3" s="314"/>
      <c r="I3" s="313">
        <f>I2</f>
        <v>3.3333333333333335</v>
      </c>
      <c r="J3" s="314"/>
      <c r="K3" s="313">
        <f>K2</f>
        <v>0</v>
      </c>
      <c r="L3" s="314"/>
      <c r="M3" s="313">
        <f>M2</f>
        <v>0</v>
      </c>
      <c r="N3" s="314"/>
      <c r="O3" s="313">
        <f>O2</f>
        <v>0</v>
      </c>
      <c r="P3" s="314"/>
      <c r="Q3" s="313">
        <f>Q2</f>
        <v>0</v>
      </c>
      <c r="R3" s="314"/>
      <c r="S3" s="313">
        <v>0</v>
      </c>
      <c r="T3" s="314"/>
      <c r="U3" s="313">
        <f>U2</f>
        <v>0</v>
      </c>
      <c r="V3" s="314"/>
    </row>
    <row r="4" spans="1:22">
      <c r="A4" s="592"/>
      <c r="B4" s="312" t="s">
        <v>535</v>
      </c>
      <c r="C4" s="313">
        <f>C2/3</f>
        <v>2</v>
      </c>
      <c r="D4" s="314"/>
      <c r="E4" s="313">
        <f>E2/3</f>
        <v>0.88888888888888884</v>
      </c>
      <c r="F4" s="314"/>
      <c r="G4" s="313">
        <f>G2/3</f>
        <v>0.88888888888888884</v>
      </c>
      <c r="H4" s="314"/>
      <c r="I4" s="313">
        <f>I2/3</f>
        <v>1.1111111111111112</v>
      </c>
      <c r="J4" s="314"/>
      <c r="K4" s="313">
        <f>K2/3</f>
        <v>0</v>
      </c>
      <c r="L4" s="314"/>
      <c r="M4" s="313">
        <f>M2/3</f>
        <v>0</v>
      </c>
      <c r="N4" s="314"/>
      <c r="O4" s="313">
        <f>O2/3</f>
        <v>0</v>
      </c>
      <c r="P4" s="314"/>
      <c r="Q4" s="313">
        <f>Q2/3</f>
        <v>0</v>
      </c>
      <c r="R4" s="314"/>
      <c r="S4" s="313">
        <f>S2/3</f>
        <v>0</v>
      </c>
      <c r="T4" s="314"/>
      <c r="U4" s="313">
        <f>U2/3</f>
        <v>0</v>
      </c>
      <c r="V4" s="314"/>
    </row>
    <row r="5" spans="1:22">
      <c r="A5" s="592"/>
      <c r="B5" s="315" t="s">
        <v>536</v>
      </c>
      <c r="C5" s="313">
        <f>2*C4</f>
        <v>4</v>
      </c>
      <c r="D5" s="314"/>
      <c r="E5" s="313">
        <f>2*E4</f>
        <v>1.7777777777777777</v>
      </c>
      <c r="F5" s="314"/>
      <c r="G5" s="313">
        <f>2*G4</f>
        <v>1.7777777777777777</v>
      </c>
      <c r="H5" s="314"/>
      <c r="I5" s="313">
        <f>2*I4</f>
        <v>2.2222222222222223</v>
      </c>
      <c r="J5" s="314"/>
      <c r="K5" s="313">
        <f>2*K4</f>
        <v>0</v>
      </c>
      <c r="L5" s="314"/>
      <c r="M5" s="313">
        <f>2*M4</f>
        <v>0</v>
      </c>
      <c r="N5" s="314"/>
      <c r="O5" s="313">
        <f>2*O4</f>
        <v>0</v>
      </c>
      <c r="P5" s="314"/>
      <c r="Q5" s="313">
        <f>2*Q4</f>
        <v>0</v>
      </c>
      <c r="R5" s="314"/>
      <c r="S5" s="313">
        <f>2*S4</f>
        <v>0</v>
      </c>
      <c r="T5" s="314"/>
      <c r="U5" s="313">
        <f>2*U4</f>
        <v>0</v>
      </c>
      <c r="V5" s="314"/>
    </row>
    <row r="6" spans="1:22">
      <c r="A6" s="592"/>
      <c r="B6" s="312" t="s">
        <v>537</v>
      </c>
      <c r="C6" s="313">
        <f>C2*3</f>
        <v>18</v>
      </c>
      <c r="D6" s="314"/>
      <c r="E6" s="313">
        <f>E2*3</f>
        <v>8</v>
      </c>
      <c r="F6" s="314"/>
      <c r="G6" s="313">
        <f>G2*3</f>
        <v>8</v>
      </c>
      <c r="H6" s="314"/>
      <c r="I6" s="313">
        <f>I2*3</f>
        <v>10</v>
      </c>
      <c r="J6" s="314"/>
      <c r="K6" s="313">
        <f>K2*3</f>
        <v>0</v>
      </c>
      <c r="L6" s="314"/>
      <c r="M6" s="313">
        <f>M2*3</f>
        <v>0</v>
      </c>
      <c r="N6" s="314"/>
      <c r="O6" s="313">
        <f>O2*3</f>
        <v>0</v>
      </c>
      <c r="P6" s="314"/>
      <c r="Q6" s="313">
        <f>Q2*3</f>
        <v>0</v>
      </c>
      <c r="R6" s="314"/>
      <c r="S6" s="313">
        <f>S2*3</f>
        <v>0</v>
      </c>
      <c r="T6" s="314"/>
      <c r="U6" s="313">
        <f>U2*3</f>
        <v>0</v>
      </c>
      <c r="V6" s="314"/>
    </row>
    <row r="7" spans="1:22">
      <c r="A7" s="592"/>
      <c r="B7" s="315" t="s">
        <v>538</v>
      </c>
      <c r="C7" s="313">
        <f>C4</f>
        <v>2</v>
      </c>
      <c r="D7" s="314"/>
      <c r="E7" s="313">
        <f>E4</f>
        <v>0.88888888888888884</v>
      </c>
      <c r="F7" s="314"/>
      <c r="G7" s="313">
        <f>G4</f>
        <v>0.88888888888888884</v>
      </c>
      <c r="H7" s="314"/>
      <c r="I7" s="313">
        <f>I4</f>
        <v>1.1111111111111112</v>
      </c>
      <c r="J7" s="314"/>
      <c r="K7" s="313">
        <f>K4</f>
        <v>0</v>
      </c>
      <c r="L7" s="314"/>
      <c r="M7" s="313">
        <f>M4</f>
        <v>0</v>
      </c>
      <c r="N7" s="314"/>
      <c r="O7" s="313">
        <f>O4</f>
        <v>0</v>
      </c>
      <c r="P7" s="314"/>
      <c r="Q7" s="313">
        <f>Q4</f>
        <v>0</v>
      </c>
      <c r="R7" s="314"/>
      <c r="S7" s="313">
        <f>S4</f>
        <v>0</v>
      </c>
      <c r="T7" s="314"/>
      <c r="U7" s="313">
        <f>U4</f>
        <v>0</v>
      </c>
      <c r="V7" s="314"/>
    </row>
    <row r="8" spans="1:22" s="319" customFormat="1">
      <c r="A8" s="316"/>
      <c r="B8" s="317" t="s">
        <v>539</v>
      </c>
      <c r="C8" s="318"/>
      <c r="D8" s="318"/>
      <c r="E8" s="318"/>
      <c r="F8" s="318"/>
      <c r="G8" s="318"/>
      <c r="H8" s="318"/>
      <c r="I8" s="318"/>
      <c r="J8" s="318"/>
      <c r="K8" s="318"/>
      <c r="L8" s="318"/>
      <c r="M8" s="318"/>
      <c r="N8" s="318"/>
      <c r="O8" s="318"/>
      <c r="P8" s="318"/>
      <c r="Q8" s="318"/>
      <c r="R8" s="318"/>
      <c r="S8" s="318"/>
      <c r="T8" s="318"/>
      <c r="U8" s="318"/>
      <c r="V8" s="318"/>
    </row>
    <row r="9" spans="1:22" ht="15" customHeight="1">
      <c r="A9" s="593" t="s">
        <v>540</v>
      </c>
      <c r="B9" s="312" t="s">
        <v>541</v>
      </c>
      <c r="C9" s="320">
        <f>C21</f>
        <v>44</v>
      </c>
    </row>
    <row r="10" spans="1:22">
      <c r="A10" s="593"/>
      <c r="B10" s="315" t="s">
        <v>542</v>
      </c>
      <c r="C10" s="320">
        <f>44*2</f>
        <v>88</v>
      </c>
    </row>
    <row r="11" spans="1:22">
      <c r="A11" s="594" t="s">
        <v>543</v>
      </c>
      <c r="B11" s="311" t="s">
        <v>401</v>
      </c>
      <c r="C11" s="320">
        <f>C2+E2+G2+I2+K2+M2+O2+Q2+S2+U2</f>
        <v>14.666666666666666</v>
      </c>
    </row>
    <row r="12" spans="1:22">
      <c r="A12" s="594"/>
      <c r="B12" s="311" t="s">
        <v>402</v>
      </c>
      <c r="C12" s="320">
        <f>SUM(C3+E3+G3+I3+K3+M3+O3+Q3+S3+U3)</f>
        <v>14.666666666666666</v>
      </c>
    </row>
    <row r="13" spans="1:22">
      <c r="A13" s="594"/>
      <c r="B13" s="311" t="s">
        <v>403</v>
      </c>
      <c r="C13" s="320">
        <f>SUM(C5+E5+G5+I5+K5+M5+O5+Q5+S5+U5)</f>
        <v>9.7777777777777786</v>
      </c>
    </row>
    <row r="14" spans="1:22">
      <c r="A14" s="594"/>
      <c r="B14" s="311" t="s">
        <v>404</v>
      </c>
      <c r="C14" s="320">
        <f>SUM(C6+E6+G6+I6+K6+M6+O6+Q6+S6+U6)</f>
        <v>44</v>
      </c>
    </row>
    <row r="15" spans="1:22">
      <c r="A15" s="594"/>
      <c r="B15" s="311" t="s">
        <v>405</v>
      </c>
      <c r="C15" s="320">
        <f>SUM(C4+E4+G4+I4+K4+M4+O4+Q4+S4+U4)</f>
        <v>4.8888888888888893</v>
      </c>
    </row>
    <row r="16" spans="1:22">
      <c r="A16" s="594"/>
      <c r="B16" s="311" t="s">
        <v>406</v>
      </c>
      <c r="C16" s="320">
        <f>SUM(C7+E7+G7+I7+K7+M7+O7+Q7+S7+U7)</f>
        <v>4.8888888888888893</v>
      </c>
    </row>
    <row r="17" spans="1:9">
      <c r="A17" s="321"/>
    </row>
    <row r="18" spans="1:9">
      <c r="A18" s="321"/>
    </row>
    <row r="20" spans="1:9">
      <c r="A20" s="318" t="s">
        <v>544</v>
      </c>
      <c r="B20" s="311" t="s">
        <v>545</v>
      </c>
      <c r="C20" s="311" t="s">
        <v>546</v>
      </c>
      <c r="D20" s="311" t="s">
        <v>547</v>
      </c>
      <c r="G20" s="311" t="s">
        <v>548</v>
      </c>
      <c r="I20" s="311" t="s">
        <v>549</v>
      </c>
    </row>
    <row r="21" spans="1:9">
      <c r="A21" s="311" t="s">
        <v>550</v>
      </c>
      <c r="B21" s="311">
        <v>18</v>
      </c>
      <c r="C21" s="311">
        <f>SUM(B21:B37)+B45+B42+B43</f>
        <v>44</v>
      </c>
      <c r="D21" s="311">
        <f>SUM(B40:B41)+B44+B38+B39</f>
        <v>0</v>
      </c>
      <c r="G21" s="311">
        <f>C21+D21</f>
        <v>44</v>
      </c>
      <c r="I21" s="311">
        <f>SUM(B21:B45)</f>
        <v>44</v>
      </c>
    </row>
    <row r="22" spans="1:9">
      <c r="A22" s="311" t="s">
        <v>551</v>
      </c>
      <c r="B22" s="311">
        <v>8</v>
      </c>
    </row>
    <row r="23" spans="1:9">
      <c r="A23" s="311" t="s">
        <v>552</v>
      </c>
      <c r="B23" s="311">
        <v>8</v>
      </c>
    </row>
    <row r="24" spans="1:9">
      <c r="A24" s="311" t="s">
        <v>553</v>
      </c>
      <c r="B24" s="311">
        <v>10</v>
      </c>
    </row>
    <row r="25" spans="1:9">
      <c r="A25" s="311" t="s">
        <v>554</v>
      </c>
      <c r="B25" s="311">
        <v>0</v>
      </c>
    </row>
    <row r="26" spans="1:9">
      <c r="A26" s="311" t="s">
        <v>555</v>
      </c>
      <c r="B26" s="311">
        <v>0</v>
      </c>
    </row>
    <row r="27" spans="1:9">
      <c r="A27" s="311" t="s">
        <v>556</v>
      </c>
      <c r="B27" s="311">
        <v>0</v>
      </c>
    </row>
    <row r="28" spans="1:9">
      <c r="A28" s="311" t="s">
        <v>557</v>
      </c>
      <c r="B28" s="311">
        <v>0</v>
      </c>
    </row>
    <row r="29" spans="1:9">
      <c r="A29" s="311" t="s">
        <v>558</v>
      </c>
      <c r="B29" s="311">
        <v>0</v>
      </c>
    </row>
    <row r="30" spans="1:9">
      <c r="A30" s="311" t="s">
        <v>559</v>
      </c>
      <c r="B30" s="311">
        <v>0</v>
      </c>
    </row>
    <row r="31" spans="1:9">
      <c r="A31" s="311" t="s">
        <v>560</v>
      </c>
      <c r="B31" s="311">
        <v>0</v>
      </c>
    </row>
    <row r="32" spans="1:9">
      <c r="A32" s="311" t="s">
        <v>561</v>
      </c>
      <c r="B32" s="311">
        <v>0</v>
      </c>
    </row>
    <row r="40" spans="1:1" ht="29.25" customHeight="1">
      <c r="A40" s="322"/>
    </row>
  </sheetData>
  <mergeCells count="3">
    <mergeCell ref="A1:A7"/>
    <mergeCell ref="A9:A10"/>
    <mergeCell ref="A11:A16"/>
  </mergeCells>
  <phoneticPr fontId="52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68CD9-DAEA-4AD3-A14A-9850C79695A0}">
  <sheetPr>
    <tabColor rgb="FF7030A0"/>
  </sheetPr>
  <dimension ref="A1:P39"/>
  <sheetViews>
    <sheetView zoomScale="90" zoomScaleNormal="90" workbookViewId="0">
      <selection activeCell="E10" sqref="E10"/>
    </sheetView>
  </sheetViews>
  <sheetFormatPr baseColWidth="10" defaultColWidth="9.140625" defaultRowHeight="12.75"/>
  <cols>
    <col min="1" max="1" width="56.42578125" customWidth="1"/>
    <col min="2" max="2" width="8.7109375" customWidth="1"/>
    <col min="3" max="3" width="15.85546875" customWidth="1"/>
    <col min="4" max="4" width="16.28515625" customWidth="1"/>
    <col min="5" max="5" width="10.7109375" bestFit="1" customWidth="1"/>
    <col min="6" max="6" width="10.28515625" bestFit="1" customWidth="1"/>
    <col min="7" max="7" width="11.28515625" bestFit="1" customWidth="1"/>
    <col min="8" max="8" width="12.85546875" customWidth="1"/>
    <col min="9" max="9" width="14" bestFit="1" customWidth="1"/>
    <col min="10" max="10" width="15.42578125" bestFit="1" customWidth="1"/>
    <col min="11" max="11" width="15.28515625" customWidth="1"/>
    <col min="12" max="12" width="15.140625" customWidth="1"/>
    <col min="13" max="13" width="19.140625" customWidth="1"/>
    <col min="14" max="14" width="16.7109375" customWidth="1"/>
    <col min="16" max="16" width="25.5703125" customWidth="1"/>
  </cols>
  <sheetData>
    <row r="1" spans="1:13" ht="15.75">
      <c r="A1" s="595" t="s">
        <v>562</v>
      </c>
      <c r="B1" s="595"/>
      <c r="C1" s="595"/>
      <c r="D1" s="596"/>
    </row>
    <row r="2" spans="1:13">
      <c r="A2" s="1"/>
      <c r="B2" s="1"/>
      <c r="C2" s="1"/>
      <c r="D2" s="2"/>
    </row>
    <row r="3" spans="1:13">
      <c r="A3" s="571" t="s">
        <v>563</v>
      </c>
      <c r="B3" s="571"/>
      <c r="C3" s="571"/>
      <c r="D3" s="571"/>
      <c r="E3" s="5" t="s">
        <v>362</v>
      </c>
      <c r="F3" s="5" t="s">
        <v>363</v>
      </c>
      <c r="G3" s="5" t="s">
        <v>320</v>
      </c>
      <c r="H3" s="5" t="s">
        <v>364</v>
      </c>
      <c r="I3" s="22" t="s">
        <v>365</v>
      </c>
      <c r="J3" s="23" t="s">
        <v>247</v>
      </c>
      <c r="K3" s="24" t="s">
        <v>367</v>
      </c>
      <c r="L3" s="25" t="s">
        <v>312</v>
      </c>
      <c r="M3" s="25" t="s">
        <v>312</v>
      </c>
    </row>
    <row r="4" spans="1:13">
      <c r="A4" s="28" t="s">
        <v>0</v>
      </c>
      <c r="B4" s="28" t="s">
        <v>1</v>
      </c>
      <c r="C4" s="28" t="s">
        <v>369</v>
      </c>
      <c r="D4" s="28" t="s">
        <v>370</v>
      </c>
      <c r="E4" s="6">
        <v>0.08</v>
      </c>
      <c r="F4" s="7">
        <v>0.02</v>
      </c>
      <c r="G4" s="6">
        <v>0</v>
      </c>
      <c r="H4" s="6">
        <v>0.14000000000000001</v>
      </c>
      <c r="I4" s="24" t="s">
        <v>371</v>
      </c>
      <c r="J4" s="26" t="s">
        <v>382</v>
      </c>
      <c r="K4" s="27" t="e">
        <f>RESUMEN!#REF!</f>
        <v>#REF!</v>
      </c>
      <c r="L4" s="25" t="s">
        <v>372</v>
      </c>
      <c r="M4" s="25" t="s">
        <v>14</v>
      </c>
    </row>
    <row r="5" spans="1:13">
      <c r="A5" s="484" t="s">
        <v>564</v>
      </c>
      <c r="B5" s="481">
        <v>1</v>
      </c>
      <c r="C5" s="482">
        <v>315</v>
      </c>
      <c r="D5" s="469">
        <f>+C5*B5</f>
        <v>315</v>
      </c>
      <c r="E5" s="471">
        <f>C5*$E$4</f>
        <v>25.2</v>
      </c>
      <c r="F5" s="471">
        <f>(C5+E5)*$F$4</f>
        <v>6.8040000000000003</v>
      </c>
      <c r="G5" s="471">
        <f>(C5+E5+F5)*$G$4</f>
        <v>0</v>
      </c>
      <c r="H5" s="471">
        <f>(C5+E5+F5+G5)*$H$4</f>
        <v>48.580559999999998</v>
      </c>
      <c r="I5" s="471">
        <f>C5+E5+F5+G5+H5</f>
        <v>395.58455999999995</v>
      </c>
      <c r="J5" s="476">
        <f>I5*B5</f>
        <v>395.58455999999995</v>
      </c>
      <c r="K5" s="471" t="e">
        <f>I5*$K$4/(1-$K$4)</f>
        <v>#REF!</v>
      </c>
      <c r="L5" s="471" t="e">
        <f>K5+I5</f>
        <v>#REF!</v>
      </c>
      <c r="M5" s="471" t="e">
        <f>L5*B5</f>
        <v>#REF!</v>
      </c>
    </row>
    <row r="6" spans="1:13">
      <c r="A6" s="484" t="s">
        <v>565</v>
      </c>
      <c r="B6" s="477">
        <v>1</v>
      </c>
      <c r="C6" s="482">
        <v>785</v>
      </c>
      <c r="D6" s="469">
        <f t="shared" ref="D6:D19" si="0">+C6*B6</f>
        <v>785</v>
      </c>
      <c r="E6" s="471">
        <f t="shared" ref="E6:E19" si="1">C6*$E$4</f>
        <v>62.800000000000004</v>
      </c>
      <c r="F6" s="471">
        <f t="shared" ref="F6:F19" si="2">(C6+E6)*$F$4</f>
        <v>16.956</v>
      </c>
      <c r="G6" s="471">
        <f t="shared" ref="G6:G19" si="3">(C6+E6+F6)*$G$4</f>
        <v>0</v>
      </c>
      <c r="H6" s="471">
        <f t="shared" ref="H6:H19" si="4">(C6+E6+F6+G6)*$H$4</f>
        <v>121.06584000000001</v>
      </c>
      <c r="I6" s="471">
        <f t="shared" ref="I6:I19" si="5">C6+E6+F6+G6+H6</f>
        <v>985.82183999999995</v>
      </c>
      <c r="J6" s="476">
        <f t="shared" ref="J6:J19" si="6">I6*B6</f>
        <v>985.82183999999995</v>
      </c>
      <c r="K6" s="471" t="e">
        <f t="shared" ref="K6:K19" si="7">I6*$K$4/(1-$K$4)</f>
        <v>#REF!</v>
      </c>
      <c r="L6" s="471" t="e">
        <f t="shared" ref="L6:L19" si="8">K6+I6</f>
        <v>#REF!</v>
      </c>
      <c r="M6" s="471" t="e">
        <f t="shared" ref="M6:M19" si="9">L6*B6</f>
        <v>#REF!</v>
      </c>
    </row>
    <row r="7" spans="1:13">
      <c r="A7" s="484" t="s">
        <v>566</v>
      </c>
      <c r="B7" s="481">
        <v>1</v>
      </c>
      <c r="C7" s="482">
        <v>200</v>
      </c>
      <c r="D7" s="469">
        <f t="shared" si="0"/>
        <v>200</v>
      </c>
      <c r="E7" s="471">
        <v>0</v>
      </c>
      <c r="F7" s="471">
        <v>0</v>
      </c>
      <c r="G7" s="471">
        <f t="shared" si="3"/>
        <v>0</v>
      </c>
      <c r="H7" s="471">
        <v>0</v>
      </c>
      <c r="I7" s="471">
        <f t="shared" si="5"/>
        <v>200</v>
      </c>
      <c r="J7" s="476">
        <f t="shared" si="6"/>
        <v>200</v>
      </c>
      <c r="K7" s="471" t="e">
        <f t="shared" si="7"/>
        <v>#REF!</v>
      </c>
      <c r="L7" s="471" t="e">
        <f t="shared" si="8"/>
        <v>#REF!</v>
      </c>
      <c r="M7" s="471" t="e">
        <f t="shared" si="9"/>
        <v>#REF!</v>
      </c>
    </row>
    <row r="8" spans="1:13">
      <c r="A8" s="484" t="s">
        <v>567</v>
      </c>
      <c r="B8" s="481">
        <v>1</v>
      </c>
      <c r="C8" s="482">
        <v>120</v>
      </c>
      <c r="D8" s="469">
        <f t="shared" si="0"/>
        <v>120</v>
      </c>
      <c r="E8" s="471">
        <v>0</v>
      </c>
      <c r="F8" s="471">
        <v>0</v>
      </c>
      <c r="G8" s="471">
        <f t="shared" si="3"/>
        <v>0</v>
      </c>
      <c r="H8" s="471">
        <v>0</v>
      </c>
      <c r="I8" s="471">
        <f t="shared" si="5"/>
        <v>120</v>
      </c>
      <c r="J8" s="476">
        <f t="shared" si="6"/>
        <v>120</v>
      </c>
      <c r="K8" s="471" t="e">
        <f t="shared" si="7"/>
        <v>#REF!</v>
      </c>
      <c r="L8" s="471" t="e">
        <f t="shared" si="8"/>
        <v>#REF!</v>
      </c>
      <c r="M8" s="471" t="e">
        <f t="shared" si="9"/>
        <v>#REF!</v>
      </c>
    </row>
    <row r="9" spans="1:13">
      <c r="A9" s="484" t="s">
        <v>568</v>
      </c>
      <c r="B9" s="481">
        <v>1</v>
      </c>
      <c r="C9" s="482">
        <v>441</v>
      </c>
      <c r="D9" s="469">
        <f t="shared" si="0"/>
        <v>441</v>
      </c>
      <c r="E9" s="471">
        <v>0</v>
      </c>
      <c r="F9" s="471">
        <v>0</v>
      </c>
      <c r="G9" s="471">
        <f t="shared" si="3"/>
        <v>0</v>
      </c>
      <c r="H9" s="471">
        <v>0</v>
      </c>
      <c r="I9" s="471">
        <f t="shared" si="5"/>
        <v>441</v>
      </c>
      <c r="J9" s="476">
        <f t="shared" si="6"/>
        <v>441</v>
      </c>
      <c r="K9" s="471" t="e">
        <f t="shared" si="7"/>
        <v>#REF!</v>
      </c>
      <c r="L9" s="471" t="e">
        <f t="shared" si="8"/>
        <v>#REF!</v>
      </c>
      <c r="M9" s="471" t="e">
        <f t="shared" si="9"/>
        <v>#REF!</v>
      </c>
    </row>
    <row r="10" spans="1:13">
      <c r="A10" s="484" t="s">
        <v>569</v>
      </c>
      <c r="B10" s="481">
        <v>1</v>
      </c>
      <c r="C10" s="482">
        <v>135</v>
      </c>
      <c r="D10" s="469">
        <f t="shared" si="0"/>
        <v>135</v>
      </c>
      <c r="E10" s="471">
        <f t="shared" si="1"/>
        <v>10.8</v>
      </c>
      <c r="F10" s="471">
        <f t="shared" si="2"/>
        <v>2.9160000000000004</v>
      </c>
      <c r="G10" s="471">
        <f t="shared" si="3"/>
        <v>0</v>
      </c>
      <c r="H10" s="471">
        <f t="shared" si="4"/>
        <v>20.820240000000002</v>
      </c>
      <c r="I10" s="471">
        <f t="shared" si="5"/>
        <v>169.53624000000002</v>
      </c>
      <c r="J10" s="476">
        <f t="shared" si="6"/>
        <v>169.53624000000002</v>
      </c>
      <c r="K10" s="471" t="e">
        <f t="shared" si="7"/>
        <v>#REF!</v>
      </c>
      <c r="L10" s="471" t="e">
        <f t="shared" si="8"/>
        <v>#REF!</v>
      </c>
      <c r="M10" s="471" t="e">
        <f t="shared" si="9"/>
        <v>#REF!</v>
      </c>
    </row>
    <row r="11" spans="1:13" hidden="1">
      <c r="A11" s="485"/>
      <c r="B11" s="481"/>
      <c r="C11" s="482">
        <v>0</v>
      </c>
      <c r="D11" s="469">
        <f t="shared" si="0"/>
        <v>0</v>
      </c>
      <c r="E11" s="471">
        <f t="shared" si="1"/>
        <v>0</v>
      </c>
      <c r="F11" s="471">
        <f t="shared" si="2"/>
        <v>0</v>
      </c>
      <c r="G11" s="471">
        <f t="shared" si="3"/>
        <v>0</v>
      </c>
      <c r="H11" s="471">
        <f t="shared" si="4"/>
        <v>0</v>
      </c>
      <c r="I11" s="471">
        <f t="shared" si="5"/>
        <v>0</v>
      </c>
      <c r="J11" s="476">
        <f t="shared" si="6"/>
        <v>0</v>
      </c>
      <c r="K11" s="471" t="e">
        <f t="shared" si="7"/>
        <v>#REF!</v>
      </c>
      <c r="L11" s="471" t="e">
        <f t="shared" si="8"/>
        <v>#REF!</v>
      </c>
      <c r="M11" s="471" t="e">
        <f t="shared" si="9"/>
        <v>#REF!</v>
      </c>
    </row>
    <row r="12" spans="1:13" hidden="1">
      <c r="A12" s="486"/>
      <c r="B12" s="481"/>
      <c r="C12" s="482">
        <v>0</v>
      </c>
      <c r="D12" s="469">
        <f t="shared" si="0"/>
        <v>0</v>
      </c>
      <c r="E12" s="471">
        <f t="shared" si="1"/>
        <v>0</v>
      </c>
      <c r="F12" s="471">
        <f t="shared" si="2"/>
        <v>0</v>
      </c>
      <c r="G12" s="471">
        <f t="shared" si="3"/>
        <v>0</v>
      </c>
      <c r="H12" s="471">
        <f t="shared" si="4"/>
        <v>0</v>
      </c>
      <c r="I12" s="471">
        <f t="shared" si="5"/>
        <v>0</v>
      </c>
      <c r="J12" s="476">
        <f t="shared" si="6"/>
        <v>0</v>
      </c>
      <c r="K12" s="471" t="e">
        <f t="shared" si="7"/>
        <v>#REF!</v>
      </c>
      <c r="L12" s="471" t="e">
        <f t="shared" si="8"/>
        <v>#REF!</v>
      </c>
      <c r="M12" s="471" t="e">
        <f t="shared" si="9"/>
        <v>#REF!</v>
      </c>
    </row>
    <row r="13" spans="1:13" hidden="1">
      <c r="A13" s="487"/>
      <c r="B13" s="488"/>
      <c r="C13" s="489">
        <v>0</v>
      </c>
      <c r="D13" s="469">
        <f t="shared" si="0"/>
        <v>0</v>
      </c>
      <c r="E13" s="471">
        <f t="shared" si="1"/>
        <v>0</v>
      </c>
      <c r="F13" s="471">
        <f t="shared" si="2"/>
        <v>0</v>
      </c>
      <c r="G13" s="471">
        <f t="shared" si="3"/>
        <v>0</v>
      </c>
      <c r="H13" s="471">
        <f t="shared" si="4"/>
        <v>0</v>
      </c>
      <c r="I13" s="471">
        <f t="shared" si="5"/>
        <v>0</v>
      </c>
      <c r="J13" s="476">
        <f t="shared" si="6"/>
        <v>0</v>
      </c>
      <c r="K13" s="471" t="e">
        <f t="shared" si="7"/>
        <v>#REF!</v>
      </c>
      <c r="L13" s="471" t="e">
        <f t="shared" si="8"/>
        <v>#REF!</v>
      </c>
      <c r="M13" s="471" t="e">
        <f t="shared" si="9"/>
        <v>#REF!</v>
      </c>
    </row>
    <row r="14" spans="1:13" hidden="1">
      <c r="A14" s="490"/>
      <c r="B14" s="483"/>
      <c r="C14" s="482">
        <v>0</v>
      </c>
      <c r="D14" s="469">
        <f t="shared" si="0"/>
        <v>0</v>
      </c>
      <c r="E14" s="471">
        <f t="shared" si="1"/>
        <v>0</v>
      </c>
      <c r="F14" s="471">
        <f t="shared" si="2"/>
        <v>0</v>
      </c>
      <c r="G14" s="471">
        <f t="shared" si="3"/>
        <v>0</v>
      </c>
      <c r="H14" s="471">
        <f t="shared" si="4"/>
        <v>0</v>
      </c>
      <c r="I14" s="471">
        <f t="shared" si="5"/>
        <v>0</v>
      </c>
      <c r="J14" s="476">
        <f t="shared" si="6"/>
        <v>0</v>
      </c>
      <c r="K14" s="471" t="e">
        <f t="shared" si="7"/>
        <v>#REF!</v>
      </c>
      <c r="L14" s="471" t="e">
        <f t="shared" si="8"/>
        <v>#REF!</v>
      </c>
      <c r="M14" s="471" t="e">
        <f t="shared" si="9"/>
        <v>#REF!</v>
      </c>
    </row>
    <row r="15" spans="1:13" hidden="1">
      <c r="A15" s="490"/>
      <c r="B15" s="483"/>
      <c r="C15" s="482">
        <v>0</v>
      </c>
      <c r="D15" s="469">
        <f t="shared" si="0"/>
        <v>0</v>
      </c>
      <c r="E15" s="471">
        <f t="shared" si="1"/>
        <v>0</v>
      </c>
      <c r="F15" s="471">
        <f t="shared" si="2"/>
        <v>0</v>
      </c>
      <c r="G15" s="471">
        <f t="shared" si="3"/>
        <v>0</v>
      </c>
      <c r="H15" s="471">
        <f t="shared" si="4"/>
        <v>0</v>
      </c>
      <c r="I15" s="471">
        <f t="shared" si="5"/>
        <v>0</v>
      </c>
      <c r="J15" s="476">
        <f t="shared" si="6"/>
        <v>0</v>
      </c>
      <c r="K15" s="471" t="e">
        <f t="shared" si="7"/>
        <v>#REF!</v>
      </c>
      <c r="L15" s="471" t="e">
        <f t="shared" si="8"/>
        <v>#REF!</v>
      </c>
      <c r="M15" s="471" t="e">
        <f t="shared" si="9"/>
        <v>#REF!</v>
      </c>
    </row>
    <row r="16" spans="1:13" hidden="1">
      <c r="A16" s="491"/>
      <c r="B16" s="483"/>
      <c r="C16" s="482">
        <v>0</v>
      </c>
      <c r="D16" s="469">
        <f t="shared" si="0"/>
        <v>0</v>
      </c>
      <c r="E16" s="471">
        <f t="shared" si="1"/>
        <v>0</v>
      </c>
      <c r="F16" s="471">
        <f t="shared" si="2"/>
        <v>0</v>
      </c>
      <c r="G16" s="471">
        <f t="shared" si="3"/>
        <v>0</v>
      </c>
      <c r="H16" s="471">
        <f t="shared" si="4"/>
        <v>0</v>
      </c>
      <c r="I16" s="471">
        <f t="shared" si="5"/>
        <v>0</v>
      </c>
      <c r="J16" s="476">
        <f t="shared" si="6"/>
        <v>0</v>
      </c>
      <c r="K16" s="471" t="e">
        <f t="shared" si="7"/>
        <v>#REF!</v>
      </c>
      <c r="L16" s="471" t="e">
        <f t="shared" si="8"/>
        <v>#REF!</v>
      </c>
      <c r="M16" s="471" t="e">
        <f t="shared" si="9"/>
        <v>#REF!</v>
      </c>
    </row>
    <row r="17" spans="1:16" hidden="1">
      <c r="A17" s="491"/>
      <c r="B17" s="483">
        <v>0</v>
      </c>
      <c r="C17" s="482">
        <v>0</v>
      </c>
      <c r="D17" s="469">
        <f t="shared" si="0"/>
        <v>0</v>
      </c>
      <c r="E17" s="471">
        <f t="shared" si="1"/>
        <v>0</v>
      </c>
      <c r="F17" s="471">
        <f t="shared" si="2"/>
        <v>0</v>
      </c>
      <c r="G17" s="471">
        <f t="shared" si="3"/>
        <v>0</v>
      </c>
      <c r="H17" s="471">
        <f t="shared" si="4"/>
        <v>0</v>
      </c>
      <c r="I17" s="471">
        <f t="shared" si="5"/>
        <v>0</v>
      </c>
      <c r="J17" s="476">
        <f t="shared" si="6"/>
        <v>0</v>
      </c>
      <c r="K17" s="471" t="e">
        <f t="shared" si="7"/>
        <v>#REF!</v>
      </c>
      <c r="L17" s="471" t="e">
        <f t="shared" si="8"/>
        <v>#REF!</v>
      </c>
      <c r="M17" s="471" t="e">
        <f t="shared" si="9"/>
        <v>#REF!</v>
      </c>
    </row>
    <row r="18" spans="1:16" hidden="1">
      <c r="A18" s="491"/>
      <c r="B18" s="483"/>
      <c r="C18" s="482"/>
      <c r="D18" s="469">
        <f t="shared" si="0"/>
        <v>0</v>
      </c>
      <c r="E18" s="471">
        <f t="shared" si="1"/>
        <v>0</v>
      </c>
      <c r="F18" s="471">
        <f t="shared" si="2"/>
        <v>0</v>
      </c>
      <c r="G18" s="471">
        <f t="shared" si="3"/>
        <v>0</v>
      </c>
      <c r="H18" s="471">
        <f t="shared" si="4"/>
        <v>0</v>
      </c>
      <c r="I18" s="471">
        <f t="shared" si="5"/>
        <v>0</v>
      </c>
      <c r="J18" s="476">
        <f t="shared" si="6"/>
        <v>0</v>
      </c>
      <c r="K18" s="471" t="e">
        <f t="shared" si="7"/>
        <v>#REF!</v>
      </c>
      <c r="L18" s="471" t="e">
        <f t="shared" si="8"/>
        <v>#REF!</v>
      </c>
      <c r="M18" s="471" t="e">
        <f t="shared" si="9"/>
        <v>#REF!</v>
      </c>
    </row>
    <row r="19" spans="1:16" hidden="1">
      <c r="A19" s="491"/>
      <c r="B19" s="483"/>
      <c r="C19" s="482"/>
      <c r="D19" s="469">
        <f t="shared" si="0"/>
        <v>0</v>
      </c>
      <c r="E19" s="471">
        <f t="shared" si="1"/>
        <v>0</v>
      </c>
      <c r="F19" s="471">
        <f t="shared" si="2"/>
        <v>0</v>
      </c>
      <c r="G19" s="471">
        <f t="shared" si="3"/>
        <v>0</v>
      </c>
      <c r="H19" s="471">
        <f t="shared" si="4"/>
        <v>0</v>
      </c>
      <c r="I19" s="471">
        <f t="shared" si="5"/>
        <v>0</v>
      </c>
      <c r="J19" s="476">
        <f t="shared" si="6"/>
        <v>0</v>
      </c>
      <c r="K19" s="471" t="e">
        <f t="shared" si="7"/>
        <v>#REF!</v>
      </c>
      <c r="L19" s="471" t="e">
        <f t="shared" si="8"/>
        <v>#REF!</v>
      </c>
      <c r="M19" s="471" t="e">
        <f t="shared" si="9"/>
        <v>#REF!</v>
      </c>
    </row>
    <row r="20" spans="1:16">
      <c r="A20" s="86" t="s">
        <v>570</v>
      </c>
      <c r="B20" s="81"/>
      <c r="C20" s="81"/>
      <c r="D20" s="81"/>
      <c r="E20" s="82"/>
      <c r="F20" s="83"/>
      <c r="G20" s="82"/>
      <c r="H20" s="82"/>
      <c r="I20" s="84"/>
      <c r="J20" s="84"/>
      <c r="K20" s="85"/>
      <c r="L20" s="84"/>
      <c r="M20" s="84"/>
    </row>
    <row r="21" spans="1:16">
      <c r="A21" s="464" t="s">
        <v>571</v>
      </c>
      <c r="B21" s="492">
        <v>1</v>
      </c>
      <c r="C21" s="480">
        <v>80</v>
      </c>
      <c r="D21" s="462">
        <f>+B21*C21*(B27)</f>
        <v>20</v>
      </c>
      <c r="E21" s="461">
        <v>0</v>
      </c>
      <c r="F21" s="461">
        <v>0</v>
      </c>
      <c r="G21" s="461">
        <f t="shared" ref="G21:G24" si="10">(C21+E21+F21)*$G$4</f>
        <v>0</v>
      </c>
      <c r="H21" s="461">
        <v>0</v>
      </c>
      <c r="I21" s="461">
        <f t="shared" ref="I21:I24" si="11">C21+E21+F21+G21+H21</f>
        <v>80</v>
      </c>
      <c r="J21" s="463">
        <f t="shared" ref="J21:J24" si="12">I21*B21</f>
        <v>80</v>
      </c>
      <c r="K21" s="461" t="e">
        <f t="shared" ref="K21:K24" si="13">I21*$K$4/(1-$K$4)</f>
        <v>#REF!</v>
      </c>
      <c r="L21" s="461" t="e">
        <f t="shared" ref="L21:L24" si="14">K21+I21</f>
        <v>#REF!</v>
      </c>
      <c r="M21" s="461" t="e">
        <f t="shared" ref="M21:M24" si="15">L21*B21</f>
        <v>#REF!</v>
      </c>
    </row>
    <row r="22" spans="1:16">
      <c r="A22" s="464" t="s">
        <v>572</v>
      </c>
      <c r="B22" s="492">
        <v>1</v>
      </c>
      <c r="C22" s="493">
        <v>240</v>
      </c>
      <c r="D22" s="462">
        <f>+B22*C22*(B27)</f>
        <v>60</v>
      </c>
      <c r="E22" s="461">
        <v>0</v>
      </c>
      <c r="F22" s="461">
        <v>0</v>
      </c>
      <c r="G22" s="461">
        <f t="shared" si="10"/>
        <v>0</v>
      </c>
      <c r="H22" s="461">
        <v>0</v>
      </c>
      <c r="I22" s="461">
        <f t="shared" si="11"/>
        <v>240</v>
      </c>
      <c r="J22" s="463">
        <f t="shared" si="12"/>
        <v>240</v>
      </c>
      <c r="K22" s="461" t="e">
        <f t="shared" si="13"/>
        <v>#REF!</v>
      </c>
      <c r="L22" s="461" t="e">
        <f t="shared" si="14"/>
        <v>#REF!</v>
      </c>
      <c r="M22" s="461" t="e">
        <f t="shared" si="15"/>
        <v>#REF!</v>
      </c>
    </row>
    <row r="23" spans="1:16">
      <c r="A23" s="464" t="s">
        <v>113</v>
      </c>
      <c r="B23" s="492">
        <v>1</v>
      </c>
      <c r="C23" s="493">
        <v>100</v>
      </c>
      <c r="D23" s="462">
        <f>+B23*C23*(B28)</f>
        <v>0</v>
      </c>
      <c r="E23" s="461">
        <v>0</v>
      </c>
      <c r="F23" s="461">
        <v>0</v>
      </c>
      <c r="G23" s="461">
        <f t="shared" si="10"/>
        <v>0</v>
      </c>
      <c r="H23" s="461">
        <v>0</v>
      </c>
      <c r="I23" s="461">
        <f t="shared" si="11"/>
        <v>100</v>
      </c>
      <c r="J23" s="463">
        <f t="shared" si="12"/>
        <v>100</v>
      </c>
      <c r="K23" s="461" t="e">
        <f t="shared" si="13"/>
        <v>#REF!</v>
      </c>
      <c r="L23" s="461" t="e">
        <f t="shared" si="14"/>
        <v>#REF!</v>
      </c>
      <c r="M23" s="461" t="e">
        <f t="shared" si="15"/>
        <v>#REF!</v>
      </c>
    </row>
    <row r="24" spans="1:16">
      <c r="A24" s="464" t="s">
        <v>573</v>
      </c>
      <c r="B24" s="492">
        <v>1</v>
      </c>
      <c r="C24" s="493">
        <v>120</v>
      </c>
      <c r="D24" s="462">
        <f>+B24*C24*(B27)</f>
        <v>30</v>
      </c>
      <c r="E24" s="461">
        <v>0</v>
      </c>
      <c r="F24" s="461">
        <v>0</v>
      </c>
      <c r="G24" s="461">
        <f t="shared" si="10"/>
        <v>0</v>
      </c>
      <c r="H24" s="461">
        <v>0</v>
      </c>
      <c r="I24" s="461">
        <f t="shared" si="11"/>
        <v>120</v>
      </c>
      <c r="J24" s="463">
        <f t="shared" si="12"/>
        <v>120</v>
      </c>
      <c r="K24" s="461" t="e">
        <f t="shared" si="13"/>
        <v>#REF!</v>
      </c>
      <c r="L24" s="461" t="e">
        <f t="shared" si="14"/>
        <v>#REF!</v>
      </c>
      <c r="M24" s="461" t="e">
        <f t="shared" si="15"/>
        <v>#REF!</v>
      </c>
    </row>
    <row r="25" spans="1:16">
      <c r="A25" s="140"/>
      <c r="B25" s="12"/>
      <c r="C25" s="139"/>
      <c r="D25" s="19"/>
      <c r="E25" s="9"/>
      <c r="F25" s="9"/>
      <c r="G25" s="9"/>
      <c r="H25" s="9"/>
      <c r="I25" s="9"/>
      <c r="J25" s="10"/>
      <c r="K25" s="9"/>
      <c r="L25" s="9"/>
      <c r="M25" s="9"/>
    </row>
    <row r="26" spans="1:16">
      <c r="A26" s="13"/>
      <c r="B26" s="14"/>
      <c r="C26" s="15" t="s">
        <v>376</v>
      </c>
      <c r="D26" s="15">
        <f>SUM(D5:D24)</f>
        <v>2106</v>
      </c>
      <c r="E26" s="16"/>
      <c r="F26" s="16"/>
      <c r="G26" s="16"/>
      <c r="H26" s="16"/>
      <c r="I26" s="17" t="s">
        <v>377</v>
      </c>
      <c r="J26" s="15">
        <f>SUM(J5:J24)</f>
        <v>2851.9426399999998</v>
      </c>
      <c r="K26" s="16"/>
      <c r="L26" s="17" t="s">
        <v>378</v>
      </c>
      <c r="M26" s="15" t="e">
        <f>SUM(M5:M24)</f>
        <v>#REF!</v>
      </c>
    </row>
    <row r="27" spans="1:16">
      <c r="A27" s="35" t="s">
        <v>574</v>
      </c>
      <c r="B27" s="145">
        <v>0.25</v>
      </c>
      <c r="C27" s="16"/>
      <c r="D27" s="19"/>
      <c r="E27" s="16"/>
      <c r="F27" s="16"/>
      <c r="G27" s="16"/>
      <c r="H27" s="16"/>
      <c r="I27" s="16"/>
      <c r="J27" s="16"/>
      <c r="K27" s="16"/>
      <c r="L27" s="20" t="s">
        <v>379</v>
      </c>
      <c r="M27" s="21" t="e">
        <f>M26-J26</f>
        <v>#REF!</v>
      </c>
      <c r="O27" s="4"/>
    </row>
    <row r="28" spans="1:16">
      <c r="A28" s="8"/>
      <c r="O28" s="4"/>
      <c r="P28" s="3"/>
    </row>
    <row r="29" spans="1:16">
      <c r="D29" s="3"/>
      <c r="O29" s="4"/>
      <c r="P29" s="3"/>
    </row>
    <row r="30" spans="1:16">
      <c r="A30" s="8"/>
      <c r="D30" s="3"/>
      <c r="O30" s="4"/>
      <c r="P30" s="3"/>
    </row>
    <row r="31" spans="1:16" ht="38.25">
      <c r="A31" s="48" t="s">
        <v>575</v>
      </c>
      <c r="B31" s="16" t="s">
        <v>576</v>
      </c>
      <c r="C31" s="16" t="s">
        <v>577</v>
      </c>
      <c r="M31" s="3"/>
      <c r="O31" s="4"/>
      <c r="P31" s="3"/>
    </row>
    <row r="32" spans="1:16" ht="38.25">
      <c r="A32" s="48" t="s">
        <v>578</v>
      </c>
      <c r="B32" s="16" t="s">
        <v>579</v>
      </c>
      <c r="C32" s="16" t="s">
        <v>580</v>
      </c>
      <c r="O32" s="4"/>
    </row>
    <row r="34" spans="1:14">
      <c r="N34" s="3"/>
    </row>
    <row r="35" spans="1:14">
      <c r="A35" t="s">
        <v>581</v>
      </c>
    </row>
    <row r="36" spans="1:14">
      <c r="A36" t="s">
        <v>582</v>
      </c>
    </row>
    <row r="37" spans="1:14">
      <c r="A37" t="s">
        <v>583</v>
      </c>
    </row>
    <row r="39" spans="1:14">
      <c r="A39" t="s">
        <v>584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BC679-96AD-4505-9600-80DD40F05959}">
  <sheetPr>
    <tabColor rgb="FF7030A0"/>
  </sheetPr>
  <dimension ref="A1:P38"/>
  <sheetViews>
    <sheetView zoomScale="90" zoomScaleNormal="90" workbookViewId="0">
      <selection activeCell="J25" sqref="J25"/>
    </sheetView>
  </sheetViews>
  <sheetFormatPr baseColWidth="10" defaultColWidth="9.140625" defaultRowHeight="12.75"/>
  <cols>
    <col min="1" max="1" width="56.42578125" customWidth="1"/>
    <col min="2" max="2" width="8.7109375" customWidth="1"/>
    <col min="3" max="3" width="15.85546875" customWidth="1"/>
    <col min="4" max="4" width="16.28515625" customWidth="1"/>
    <col min="5" max="5" width="10.7109375" bestFit="1" customWidth="1"/>
    <col min="6" max="6" width="10.28515625" bestFit="1" customWidth="1"/>
    <col min="7" max="7" width="11.28515625" bestFit="1" customWidth="1"/>
    <col min="8" max="8" width="12.85546875" customWidth="1"/>
    <col min="9" max="9" width="14" bestFit="1" customWidth="1"/>
    <col min="10" max="10" width="15.42578125" bestFit="1" customWidth="1"/>
    <col min="11" max="11" width="15.28515625" customWidth="1"/>
    <col min="12" max="12" width="15.140625" customWidth="1"/>
    <col min="13" max="13" width="19.140625" customWidth="1"/>
    <col min="14" max="14" width="16.7109375" customWidth="1"/>
    <col min="16" max="16" width="25.5703125" customWidth="1"/>
  </cols>
  <sheetData>
    <row r="1" spans="1:13" ht="15.75">
      <c r="A1" s="595" t="s">
        <v>562</v>
      </c>
      <c r="B1" s="595"/>
      <c r="C1" s="595"/>
      <c r="D1" s="596"/>
    </row>
    <row r="2" spans="1:13">
      <c r="A2" s="1"/>
      <c r="B2" s="1"/>
      <c r="C2" s="1"/>
      <c r="D2" s="2"/>
    </row>
    <row r="3" spans="1:13">
      <c r="A3" s="571" t="s">
        <v>585</v>
      </c>
      <c r="B3" s="571"/>
      <c r="C3" s="571"/>
      <c r="D3" s="571"/>
      <c r="E3" s="5" t="s">
        <v>362</v>
      </c>
      <c r="F3" s="5" t="s">
        <v>363</v>
      </c>
      <c r="G3" s="5" t="s">
        <v>320</v>
      </c>
      <c r="H3" s="5" t="s">
        <v>364</v>
      </c>
      <c r="I3" s="22" t="s">
        <v>365</v>
      </c>
      <c r="J3" s="23" t="s">
        <v>247</v>
      </c>
      <c r="K3" s="24" t="s">
        <v>367</v>
      </c>
      <c r="L3" s="25" t="s">
        <v>312</v>
      </c>
      <c r="M3" s="25" t="s">
        <v>312</v>
      </c>
    </row>
    <row r="4" spans="1:13">
      <c r="A4" s="28" t="s">
        <v>0</v>
      </c>
      <c r="B4" s="28" t="s">
        <v>1</v>
      </c>
      <c r="C4" s="28" t="s">
        <v>369</v>
      </c>
      <c r="D4" s="28" t="s">
        <v>370</v>
      </c>
      <c r="E4" s="6">
        <v>0.08</v>
      </c>
      <c r="F4" s="7">
        <v>0.02</v>
      </c>
      <c r="G4" s="6">
        <v>0</v>
      </c>
      <c r="H4" s="6">
        <v>0.14000000000000001</v>
      </c>
      <c r="I4" s="24" t="s">
        <v>371</v>
      </c>
      <c r="J4" s="26" t="s">
        <v>382</v>
      </c>
      <c r="K4" s="27" t="e">
        <f>RESUMEN!#REF!</f>
        <v>#REF!</v>
      </c>
      <c r="L4" s="25" t="s">
        <v>372</v>
      </c>
      <c r="M4" s="25" t="s">
        <v>14</v>
      </c>
    </row>
    <row r="5" spans="1:13">
      <c r="A5" s="494" t="s">
        <v>586</v>
      </c>
      <c r="B5" s="481">
        <v>1</v>
      </c>
      <c r="C5" s="482">
        <v>490</v>
      </c>
      <c r="D5" s="469">
        <f>+C5*B5</f>
        <v>490</v>
      </c>
      <c r="E5" s="471">
        <f>C5*$E$4</f>
        <v>39.200000000000003</v>
      </c>
      <c r="F5" s="471">
        <f>(C5+E5)*$F$4</f>
        <v>10.584000000000001</v>
      </c>
      <c r="G5" s="471">
        <f>(C5+E5+F5)*$G$4</f>
        <v>0</v>
      </c>
      <c r="H5" s="471">
        <f>(C5+E5+F5+G5)*$H$4</f>
        <v>75.569760000000002</v>
      </c>
      <c r="I5" s="471">
        <f>C5+E5+F5+G5+H5</f>
        <v>615.35375999999997</v>
      </c>
      <c r="J5" s="476">
        <f>I5*B5</f>
        <v>615.35375999999997</v>
      </c>
      <c r="K5" s="471" t="e">
        <f>I5*$K$4/(1-$K$4)</f>
        <v>#REF!</v>
      </c>
      <c r="L5" s="471" t="e">
        <f>K5+I5</f>
        <v>#REF!</v>
      </c>
      <c r="M5" s="471" t="e">
        <f>L5*B5</f>
        <v>#REF!</v>
      </c>
    </row>
    <row r="6" spans="1:13">
      <c r="A6" s="495" t="s">
        <v>587</v>
      </c>
      <c r="B6" s="477">
        <v>1</v>
      </c>
      <c r="C6" s="482">
        <v>360</v>
      </c>
      <c r="D6" s="469">
        <f t="shared" ref="D6:D19" si="0">+C6*B6</f>
        <v>360</v>
      </c>
      <c r="E6" s="471">
        <f t="shared" ref="E6:E19" si="1">C6*$E$4</f>
        <v>28.8</v>
      </c>
      <c r="F6" s="471">
        <f t="shared" ref="F6:F19" si="2">(C6+E6)*$F$4</f>
        <v>7.7760000000000007</v>
      </c>
      <c r="G6" s="471">
        <f t="shared" ref="G6:G19" si="3">(C6+E6+F6)*$G$4</f>
        <v>0</v>
      </c>
      <c r="H6" s="471">
        <f t="shared" ref="H6:H19" si="4">(C6+E6+F6+G6)*$H$4</f>
        <v>55.520640000000007</v>
      </c>
      <c r="I6" s="471">
        <f t="shared" ref="I6:I19" si="5">C6+E6+F6+G6+H6</f>
        <v>452.09664000000004</v>
      </c>
      <c r="J6" s="476">
        <f t="shared" ref="J6:J19" si="6">I6*B6</f>
        <v>452.09664000000004</v>
      </c>
      <c r="K6" s="471" t="e">
        <f t="shared" ref="K6:K19" si="7">I6*$K$4/(1-$K$4)</f>
        <v>#REF!</v>
      </c>
      <c r="L6" s="471" t="e">
        <f t="shared" ref="L6:L19" si="8">K6+I6</f>
        <v>#REF!</v>
      </c>
      <c r="M6" s="471" t="e">
        <f t="shared" ref="M6:M19" si="9">L6*B6</f>
        <v>#REF!</v>
      </c>
    </row>
    <row r="7" spans="1:13">
      <c r="A7" s="494" t="s">
        <v>588</v>
      </c>
      <c r="B7" s="481">
        <v>1</v>
      </c>
      <c r="C7" s="482">
        <v>70</v>
      </c>
      <c r="D7" s="469">
        <f t="shared" si="0"/>
        <v>70</v>
      </c>
      <c r="E7" s="471">
        <f t="shared" si="1"/>
        <v>5.6000000000000005</v>
      </c>
      <c r="F7" s="471">
        <f t="shared" si="2"/>
        <v>1.512</v>
      </c>
      <c r="G7" s="471">
        <f t="shared" si="3"/>
        <v>0</v>
      </c>
      <c r="H7" s="471">
        <f t="shared" si="4"/>
        <v>10.795680000000001</v>
      </c>
      <c r="I7" s="471">
        <f t="shared" si="5"/>
        <v>87.907679999999999</v>
      </c>
      <c r="J7" s="476">
        <f t="shared" si="6"/>
        <v>87.907679999999999</v>
      </c>
      <c r="K7" s="471" t="e">
        <f t="shared" si="7"/>
        <v>#REF!</v>
      </c>
      <c r="L7" s="471" t="e">
        <f t="shared" si="8"/>
        <v>#REF!</v>
      </c>
      <c r="M7" s="471" t="e">
        <f t="shared" si="9"/>
        <v>#REF!</v>
      </c>
    </row>
    <row r="8" spans="1:13">
      <c r="A8" s="495"/>
      <c r="B8" s="481">
        <v>0</v>
      </c>
      <c r="C8" s="482">
        <v>0</v>
      </c>
      <c r="D8" s="469">
        <f t="shared" si="0"/>
        <v>0</v>
      </c>
      <c r="E8" s="471">
        <f t="shared" si="1"/>
        <v>0</v>
      </c>
      <c r="F8" s="471">
        <f t="shared" si="2"/>
        <v>0</v>
      </c>
      <c r="G8" s="471">
        <f t="shared" si="3"/>
        <v>0</v>
      </c>
      <c r="H8" s="471">
        <f t="shared" si="4"/>
        <v>0</v>
      </c>
      <c r="I8" s="471">
        <f t="shared" si="5"/>
        <v>0</v>
      </c>
      <c r="J8" s="476">
        <f t="shared" si="6"/>
        <v>0</v>
      </c>
      <c r="K8" s="471" t="e">
        <f t="shared" si="7"/>
        <v>#REF!</v>
      </c>
      <c r="L8" s="471" t="e">
        <f t="shared" si="8"/>
        <v>#REF!</v>
      </c>
      <c r="M8" s="471" t="e">
        <f t="shared" si="9"/>
        <v>#REF!</v>
      </c>
    </row>
    <row r="9" spans="1:13">
      <c r="A9" s="495"/>
      <c r="B9" s="481"/>
      <c r="C9" s="482">
        <v>0</v>
      </c>
      <c r="D9" s="469">
        <f t="shared" si="0"/>
        <v>0</v>
      </c>
      <c r="E9" s="471">
        <f t="shared" si="1"/>
        <v>0</v>
      </c>
      <c r="F9" s="471">
        <f t="shared" si="2"/>
        <v>0</v>
      </c>
      <c r="G9" s="471">
        <f t="shared" si="3"/>
        <v>0</v>
      </c>
      <c r="H9" s="471">
        <f t="shared" si="4"/>
        <v>0</v>
      </c>
      <c r="I9" s="471">
        <f t="shared" si="5"/>
        <v>0</v>
      </c>
      <c r="J9" s="476">
        <f t="shared" si="6"/>
        <v>0</v>
      </c>
      <c r="K9" s="471" t="e">
        <f t="shared" si="7"/>
        <v>#REF!</v>
      </c>
      <c r="L9" s="471" t="e">
        <f t="shared" si="8"/>
        <v>#REF!</v>
      </c>
      <c r="M9" s="471" t="e">
        <f t="shared" si="9"/>
        <v>#REF!</v>
      </c>
    </row>
    <row r="10" spans="1:13" hidden="1">
      <c r="A10" s="485"/>
      <c r="B10" s="481"/>
      <c r="C10" s="482">
        <v>0</v>
      </c>
      <c r="D10" s="469">
        <f t="shared" si="0"/>
        <v>0</v>
      </c>
      <c r="E10" s="471">
        <f t="shared" si="1"/>
        <v>0</v>
      </c>
      <c r="F10" s="471">
        <f t="shared" si="2"/>
        <v>0</v>
      </c>
      <c r="G10" s="471">
        <f t="shared" si="3"/>
        <v>0</v>
      </c>
      <c r="H10" s="471">
        <f t="shared" si="4"/>
        <v>0</v>
      </c>
      <c r="I10" s="471">
        <f t="shared" si="5"/>
        <v>0</v>
      </c>
      <c r="J10" s="476">
        <f t="shared" si="6"/>
        <v>0</v>
      </c>
      <c r="K10" s="471" t="e">
        <f t="shared" si="7"/>
        <v>#REF!</v>
      </c>
      <c r="L10" s="471" t="e">
        <f t="shared" si="8"/>
        <v>#REF!</v>
      </c>
      <c r="M10" s="471" t="e">
        <f t="shared" si="9"/>
        <v>#REF!</v>
      </c>
    </row>
    <row r="11" spans="1:13" hidden="1">
      <c r="A11" s="485"/>
      <c r="B11" s="481"/>
      <c r="C11" s="482">
        <v>0</v>
      </c>
      <c r="D11" s="469">
        <f t="shared" si="0"/>
        <v>0</v>
      </c>
      <c r="E11" s="471">
        <f t="shared" si="1"/>
        <v>0</v>
      </c>
      <c r="F11" s="471">
        <f t="shared" si="2"/>
        <v>0</v>
      </c>
      <c r="G11" s="471">
        <f t="shared" si="3"/>
        <v>0</v>
      </c>
      <c r="H11" s="471">
        <f t="shared" si="4"/>
        <v>0</v>
      </c>
      <c r="I11" s="471">
        <f t="shared" si="5"/>
        <v>0</v>
      </c>
      <c r="J11" s="476">
        <f t="shared" si="6"/>
        <v>0</v>
      </c>
      <c r="K11" s="471" t="e">
        <f t="shared" si="7"/>
        <v>#REF!</v>
      </c>
      <c r="L11" s="471" t="e">
        <f t="shared" si="8"/>
        <v>#REF!</v>
      </c>
      <c r="M11" s="471" t="e">
        <f t="shared" si="9"/>
        <v>#REF!</v>
      </c>
    </row>
    <row r="12" spans="1:13" hidden="1">
      <c r="A12" s="486"/>
      <c r="B12" s="481"/>
      <c r="C12" s="482">
        <v>0</v>
      </c>
      <c r="D12" s="469">
        <f t="shared" si="0"/>
        <v>0</v>
      </c>
      <c r="E12" s="471">
        <f t="shared" si="1"/>
        <v>0</v>
      </c>
      <c r="F12" s="471">
        <f t="shared" si="2"/>
        <v>0</v>
      </c>
      <c r="G12" s="471">
        <f t="shared" si="3"/>
        <v>0</v>
      </c>
      <c r="H12" s="471">
        <f t="shared" si="4"/>
        <v>0</v>
      </c>
      <c r="I12" s="471">
        <f t="shared" si="5"/>
        <v>0</v>
      </c>
      <c r="J12" s="476">
        <f t="shared" si="6"/>
        <v>0</v>
      </c>
      <c r="K12" s="471" t="e">
        <f t="shared" si="7"/>
        <v>#REF!</v>
      </c>
      <c r="L12" s="471" t="e">
        <f t="shared" si="8"/>
        <v>#REF!</v>
      </c>
      <c r="M12" s="471" t="e">
        <f t="shared" si="9"/>
        <v>#REF!</v>
      </c>
    </row>
    <row r="13" spans="1:13" hidden="1">
      <c r="A13" s="487"/>
      <c r="B13" s="488"/>
      <c r="C13" s="489">
        <v>0</v>
      </c>
      <c r="D13" s="469">
        <f t="shared" si="0"/>
        <v>0</v>
      </c>
      <c r="E13" s="471">
        <f t="shared" si="1"/>
        <v>0</v>
      </c>
      <c r="F13" s="471">
        <f t="shared" si="2"/>
        <v>0</v>
      </c>
      <c r="G13" s="471">
        <f t="shared" si="3"/>
        <v>0</v>
      </c>
      <c r="H13" s="471">
        <f t="shared" si="4"/>
        <v>0</v>
      </c>
      <c r="I13" s="471">
        <f t="shared" si="5"/>
        <v>0</v>
      </c>
      <c r="J13" s="476">
        <f t="shared" si="6"/>
        <v>0</v>
      </c>
      <c r="K13" s="471" t="e">
        <f t="shared" si="7"/>
        <v>#REF!</v>
      </c>
      <c r="L13" s="471" t="e">
        <f t="shared" si="8"/>
        <v>#REF!</v>
      </c>
      <c r="M13" s="471" t="e">
        <f t="shared" si="9"/>
        <v>#REF!</v>
      </c>
    </row>
    <row r="14" spans="1:13" hidden="1">
      <c r="A14" s="490"/>
      <c r="B14" s="483"/>
      <c r="C14" s="482">
        <v>0</v>
      </c>
      <c r="D14" s="469">
        <f t="shared" si="0"/>
        <v>0</v>
      </c>
      <c r="E14" s="471">
        <f t="shared" si="1"/>
        <v>0</v>
      </c>
      <c r="F14" s="471">
        <f t="shared" si="2"/>
        <v>0</v>
      </c>
      <c r="G14" s="471">
        <f t="shared" si="3"/>
        <v>0</v>
      </c>
      <c r="H14" s="471">
        <f t="shared" si="4"/>
        <v>0</v>
      </c>
      <c r="I14" s="471">
        <f t="shared" si="5"/>
        <v>0</v>
      </c>
      <c r="J14" s="476">
        <f t="shared" si="6"/>
        <v>0</v>
      </c>
      <c r="K14" s="471" t="e">
        <f t="shared" si="7"/>
        <v>#REF!</v>
      </c>
      <c r="L14" s="471" t="e">
        <f t="shared" si="8"/>
        <v>#REF!</v>
      </c>
      <c r="M14" s="471" t="e">
        <f t="shared" si="9"/>
        <v>#REF!</v>
      </c>
    </row>
    <row r="15" spans="1:13" hidden="1">
      <c r="A15" s="490"/>
      <c r="B15" s="483"/>
      <c r="C15" s="482">
        <v>0</v>
      </c>
      <c r="D15" s="469">
        <f t="shared" si="0"/>
        <v>0</v>
      </c>
      <c r="E15" s="471">
        <f t="shared" si="1"/>
        <v>0</v>
      </c>
      <c r="F15" s="471">
        <f t="shared" si="2"/>
        <v>0</v>
      </c>
      <c r="G15" s="471">
        <f t="shared" si="3"/>
        <v>0</v>
      </c>
      <c r="H15" s="471">
        <f t="shared" si="4"/>
        <v>0</v>
      </c>
      <c r="I15" s="471">
        <f t="shared" si="5"/>
        <v>0</v>
      </c>
      <c r="J15" s="476">
        <f t="shared" si="6"/>
        <v>0</v>
      </c>
      <c r="K15" s="471" t="e">
        <f t="shared" si="7"/>
        <v>#REF!</v>
      </c>
      <c r="L15" s="471" t="e">
        <f t="shared" si="8"/>
        <v>#REF!</v>
      </c>
      <c r="M15" s="471" t="e">
        <f t="shared" si="9"/>
        <v>#REF!</v>
      </c>
    </row>
    <row r="16" spans="1:13" hidden="1">
      <c r="A16" s="491"/>
      <c r="B16" s="483"/>
      <c r="C16" s="482">
        <v>0</v>
      </c>
      <c r="D16" s="469">
        <f t="shared" si="0"/>
        <v>0</v>
      </c>
      <c r="E16" s="471">
        <f t="shared" si="1"/>
        <v>0</v>
      </c>
      <c r="F16" s="471">
        <f t="shared" si="2"/>
        <v>0</v>
      </c>
      <c r="G16" s="471">
        <f t="shared" si="3"/>
        <v>0</v>
      </c>
      <c r="H16" s="471">
        <f t="shared" si="4"/>
        <v>0</v>
      </c>
      <c r="I16" s="471">
        <f t="shared" si="5"/>
        <v>0</v>
      </c>
      <c r="J16" s="476">
        <f t="shared" si="6"/>
        <v>0</v>
      </c>
      <c r="K16" s="471" t="e">
        <f t="shared" si="7"/>
        <v>#REF!</v>
      </c>
      <c r="L16" s="471" t="e">
        <f t="shared" si="8"/>
        <v>#REF!</v>
      </c>
      <c r="M16" s="471" t="e">
        <f t="shared" si="9"/>
        <v>#REF!</v>
      </c>
    </row>
    <row r="17" spans="1:16" hidden="1">
      <c r="A17" s="491"/>
      <c r="B17" s="483">
        <v>0</v>
      </c>
      <c r="C17" s="482">
        <v>0</v>
      </c>
      <c r="D17" s="469">
        <f t="shared" si="0"/>
        <v>0</v>
      </c>
      <c r="E17" s="471">
        <f t="shared" si="1"/>
        <v>0</v>
      </c>
      <c r="F17" s="471">
        <f t="shared" si="2"/>
        <v>0</v>
      </c>
      <c r="G17" s="471">
        <f t="shared" si="3"/>
        <v>0</v>
      </c>
      <c r="H17" s="471">
        <f t="shared" si="4"/>
        <v>0</v>
      </c>
      <c r="I17" s="471">
        <f t="shared" si="5"/>
        <v>0</v>
      </c>
      <c r="J17" s="476">
        <f t="shared" si="6"/>
        <v>0</v>
      </c>
      <c r="K17" s="471" t="e">
        <f t="shared" si="7"/>
        <v>#REF!</v>
      </c>
      <c r="L17" s="471" t="e">
        <f t="shared" si="8"/>
        <v>#REF!</v>
      </c>
      <c r="M17" s="471" t="e">
        <f t="shared" si="9"/>
        <v>#REF!</v>
      </c>
    </row>
    <row r="18" spans="1:16" hidden="1">
      <c r="A18" s="491"/>
      <c r="B18" s="483"/>
      <c r="C18" s="482"/>
      <c r="D18" s="469">
        <f t="shared" si="0"/>
        <v>0</v>
      </c>
      <c r="E18" s="471">
        <f t="shared" si="1"/>
        <v>0</v>
      </c>
      <c r="F18" s="471">
        <f t="shared" si="2"/>
        <v>0</v>
      </c>
      <c r="G18" s="471">
        <f t="shared" si="3"/>
        <v>0</v>
      </c>
      <c r="H18" s="471">
        <f t="shared" si="4"/>
        <v>0</v>
      </c>
      <c r="I18" s="471">
        <f t="shared" si="5"/>
        <v>0</v>
      </c>
      <c r="J18" s="476">
        <f t="shared" si="6"/>
        <v>0</v>
      </c>
      <c r="K18" s="471" t="e">
        <f t="shared" si="7"/>
        <v>#REF!</v>
      </c>
      <c r="L18" s="471" t="e">
        <f t="shared" si="8"/>
        <v>#REF!</v>
      </c>
      <c r="M18" s="471" t="e">
        <f t="shared" si="9"/>
        <v>#REF!</v>
      </c>
    </row>
    <row r="19" spans="1:16" hidden="1">
      <c r="A19" s="491"/>
      <c r="B19" s="483"/>
      <c r="C19" s="482"/>
      <c r="D19" s="469">
        <f t="shared" si="0"/>
        <v>0</v>
      </c>
      <c r="E19" s="471">
        <f t="shared" si="1"/>
        <v>0</v>
      </c>
      <c r="F19" s="471">
        <f t="shared" si="2"/>
        <v>0</v>
      </c>
      <c r="G19" s="471">
        <f t="shared" si="3"/>
        <v>0</v>
      </c>
      <c r="H19" s="471">
        <f t="shared" si="4"/>
        <v>0</v>
      </c>
      <c r="I19" s="471">
        <f t="shared" si="5"/>
        <v>0</v>
      </c>
      <c r="J19" s="476">
        <f t="shared" si="6"/>
        <v>0</v>
      </c>
      <c r="K19" s="471" t="e">
        <f t="shared" si="7"/>
        <v>#REF!</v>
      </c>
      <c r="L19" s="471" t="e">
        <f t="shared" si="8"/>
        <v>#REF!</v>
      </c>
      <c r="M19" s="471" t="e">
        <f t="shared" si="9"/>
        <v>#REF!</v>
      </c>
    </row>
    <row r="20" spans="1:16">
      <c r="A20" s="86" t="s">
        <v>589</v>
      </c>
      <c r="B20" s="81"/>
      <c r="C20" s="81"/>
      <c r="D20" s="81"/>
      <c r="E20" s="82"/>
      <c r="F20" s="83"/>
      <c r="G20" s="82"/>
      <c r="H20" s="82"/>
      <c r="I20" s="84"/>
      <c r="J20" s="84"/>
      <c r="K20" s="85"/>
      <c r="L20" s="84"/>
      <c r="M20" s="84"/>
    </row>
    <row r="21" spans="1:16">
      <c r="A21" s="464" t="s">
        <v>590</v>
      </c>
      <c r="B21" s="492">
        <v>1</v>
      </c>
      <c r="C21" s="480">
        <v>800</v>
      </c>
      <c r="D21" s="462">
        <f>+B21*C21*(B26)</f>
        <v>200</v>
      </c>
      <c r="E21" s="461">
        <f t="shared" ref="E21:E23" si="10">C21*$E$4</f>
        <v>64</v>
      </c>
      <c r="F21" s="461">
        <f t="shared" ref="F21:F23" si="11">(C21+E21)*$F$4</f>
        <v>17.28</v>
      </c>
      <c r="G21" s="461">
        <f t="shared" ref="G21:G23" si="12">(C21+E21+F21)*$G$4</f>
        <v>0</v>
      </c>
      <c r="H21" s="461">
        <f t="shared" ref="H21:H23" si="13">(C21+E21+F21+G21)*$H$4</f>
        <v>123.37920000000001</v>
      </c>
      <c r="I21" s="461">
        <f t="shared" ref="I21:I23" si="14">C21+E21+F21+G21+H21</f>
        <v>1004.6591999999999</v>
      </c>
      <c r="J21" s="463">
        <f t="shared" ref="J21:J23" si="15">I21*B21</f>
        <v>1004.6591999999999</v>
      </c>
      <c r="K21" s="461" t="e">
        <f t="shared" ref="K21:K23" si="16">I21*$K$4/(1-$K$4)</f>
        <v>#REF!</v>
      </c>
      <c r="L21" s="461" t="e">
        <f t="shared" ref="L21:L23" si="17">K21+I21</f>
        <v>#REF!</v>
      </c>
      <c r="M21" s="461" t="e">
        <f t="shared" ref="M21:M23" si="18">L21*B21</f>
        <v>#REF!</v>
      </c>
    </row>
    <row r="22" spans="1:16">
      <c r="A22" s="464" t="s">
        <v>430</v>
      </c>
      <c r="B22" s="492">
        <v>1</v>
      </c>
      <c r="C22" s="493">
        <v>500</v>
      </c>
      <c r="D22" s="462">
        <f>+B22*C22*(B26)</f>
        <v>125</v>
      </c>
      <c r="E22" s="461">
        <f t="shared" si="10"/>
        <v>40</v>
      </c>
      <c r="F22" s="461">
        <f t="shared" si="11"/>
        <v>10.8</v>
      </c>
      <c r="G22" s="461">
        <f t="shared" si="12"/>
        <v>0</v>
      </c>
      <c r="H22" s="461">
        <f t="shared" si="13"/>
        <v>77.111999999999995</v>
      </c>
      <c r="I22" s="461">
        <f t="shared" si="14"/>
        <v>627.91199999999992</v>
      </c>
      <c r="J22" s="463">
        <f t="shared" si="15"/>
        <v>627.91199999999992</v>
      </c>
      <c r="K22" s="461" t="e">
        <f t="shared" si="16"/>
        <v>#REF!</v>
      </c>
      <c r="L22" s="461" t="e">
        <f t="shared" si="17"/>
        <v>#REF!</v>
      </c>
      <c r="M22" s="461" t="e">
        <f t="shared" si="18"/>
        <v>#REF!</v>
      </c>
    </row>
    <row r="23" spans="1:16">
      <c r="A23" s="464"/>
      <c r="B23" s="492">
        <v>0</v>
      </c>
      <c r="C23" s="493">
        <v>0</v>
      </c>
      <c r="D23" s="462">
        <f>+B23*C23*(B26)</f>
        <v>0</v>
      </c>
      <c r="E23" s="461">
        <f t="shared" si="10"/>
        <v>0</v>
      </c>
      <c r="F23" s="461">
        <f t="shared" si="11"/>
        <v>0</v>
      </c>
      <c r="G23" s="461">
        <f t="shared" si="12"/>
        <v>0</v>
      </c>
      <c r="H23" s="461">
        <f t="shared" si="13"/>
        <v>0</v>
      </c>
      <c r="I23" s="461">
        <f t="shared" si="14"/>
        <v>0</v>
      </c>
      <c r="J23" s="463">
        <f t="shared" si="15"/>
        <v>0</v>
      </c>
      <c r="K23" s="461" t="e">
        <f t="shared" si="16"/>
        <v>#REF!</v>
      </c>
      <c r="L23" s="461" t="e">
        <f t="shared" si="17"/>
        <v>#REF!</v>
      </c>
      <c r="M23" s="461" t="e">
        <f t="shared" si="18"/>
        <v>#REF!</v>
      </c>
    </row>
    <row r="24" spans="1:16">
      <c r="A24" s="140"/>
      <c r="B24" s="12"/>
      <c r="C24" s="139"/>
      <c r="D24" s="19"/>
      <c r="E24" s="9"/>
      <c r="F24" s="9"/>
      <c r="G24" s="9"/>
      <c r="H24" s="9"/>
      <c r="I24" s="9"/>
      <c r="J24" s="10"/>
      <c r="K24" s="9"/>
      <c r="L24" s="9"/>
      <c r="M24" s="9"/>
    </row>
    <row r="25" spans="1:16">
      <c r="A25" s="13"/>
      <c r="B25" s="14"/>
      <c r="C25" s="15" t="s">
        <v>376</v>
      </c>
      <c r="D25" s="15">
        <f>SUM(D5:D23)</f>
        <v>1245</v>
      </c>
      <c r="E25" s="16"/>
      <c r="F25" s="16"/>
      <c r="G25" s="16"/>
      <c r="H25" s="16"/>
      <c r="I25" s="17" t="s">
        <v>377</v>
      </c>
      <c r="J25" s="15">
        <f>SUM(J5:J23)</f>
        <v>2787.9292799999998</v>
      </c>
      <c r="K25" s="16"/>
      <c r="L25" s="17" t="s">
        <v>378</v>
      </c>
      <c r="M25" s="15" t="e">
        <f>SUM(M5:M23)</f>
        <v>#REF!</v>
      </c>
    </row>
    <row r="26" spans="1:16">
      <c r="A26" s="35" t="s">
        <v>574</v>
      </c>
      <c r="B26" s="145">
        <v>0.25</v>
      </c>
      <c r="C26" s="16"/>
      <c r="D26" s="19"/>
      <c r="E26" s="16"/>
      <c r="F26" s="16"/>
      <c r="G26" s="16"/>
      <c r="H26" s="16"/>
      <c r="I26" s="16"/>
      <c r="J26" s="16"/>
      <c r="K26" s="16"/>
      <c r="L26" s="20" t="s">
        <v>379</v>
      </c>
      <c r="M26" s="21" t="e">
        <f>M25-J25</f>
        <v>#REF!</v>
      </c>
      <c r="O26" s="4"/>
    </row>
    <row r="27" spans="1:16">
      <c r="A27" s="8"/>
      <c r="O27" s="4"/>
      <c r="P27" s="3"/>
    </row>
    <row r="28" spans="1:16">
      <c r="D28" s="3"/>
      <c r="O28" s="4"/>
      <c r="P28" s="3"/>
    </row>
    <row r="29" spans="1:16">
      <c r="A29" s="8"/>
      <c r="D29" s="3"/>
      <c r="O29" s="4"/>
      <c r="P29" s="3"/>
    </row>
    <row r="30" spans="1:16" ht="38.25">
      <c r="A30" s="48" t="s">
        <v>575</v>
      </c>
      <c r="B30" s="16" t="s">
        <v>576</v>
      </c>
      <c r="C30" s="16" t="s">
        <v>577</v>
      </c>
      <c r="M30" s="3"/>
      <c r="O30" s="4"/>
      <c r="P30" s="3"/>
    </row>
    <row r="31" spans="1:16" ht="38.25">
      <c r="A31" s="48" t="s">
        <v>578</v>
      </c>
      <c r="B31" s="16" t="s">
        <v>579</v>
      </c>
      <c r="C31" s="16" t="s">
        <v>580</v>
      </c>
      <c r="O31" s="4"/>
    </row>
    <row r="33" spans="1:14">
      <c r="N33" s="3"/>
    </row>
    <row r="34" spans="1:14">
      <c r="A34" t="s">
        <v>581</v>
      </c>
    </row>
    <row r="35" spans="1:14">
      <c r="A35" t="s">
        <v>582</v>
      </c>
    </row>
    <row r="36" spans="1:14">
      <c r="A36" t="s">
        <v>583</v>
      </c>
    </row>
    <row r="38" spans="1:14">
      <c r="A38" t="s">
        <v>584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B3B7A-D277-4C9F-A13D-F1CAB75D3F97}">
  <sheetPr>
    <tabColor rgb="FF7030A0"/>
  </sheetPr>
  <dimension ref="A1:P38"/>
  <sheetViews>
    <sheetView topLeftCell="A4" zoomScale="90" zoomScaleNormal="90" workbookViewId="0">
      <selection activeCell="B27" sqref="B27"/>
    </sheetView>
  </sheetViews>
  <sheetFormatPr baseColWidth="10" defaultColWidth="9.140625" defaultRowHeight="12.75"/>
  <cols>
    <col min="1" max="1" width="56.42578125" customWidth="1"/>
    <col min="2" max="2" width="8.7109375" customWidth="1"/>
    <col min="3" max="3" width="15.85546875" customWidth="1"/>
    <col min="4" max="4" width="16.28515625" customWidth="1"/>
    <col min="5" max="5" width="10.7109375" bestFit="1" customWidth="1"/>
    <col min="6" max="6" width="10.28515625" bestFit="1" customWidth="1"/>
    <col min="7" max="7" width="11.28515625" bestFit="1" customWidth="1"/>
    <col min="8" max="8" width="12.85546875" customWidth="1"/>
    <col min="9" max="9" width="14" bestFit="1" customWidth="1"/>
    <col min="10" max="10" width="15.42578125" bestFit="1" customWidth="1"/>
    <col min="11" max="11" width="15.28515625" customWidth="1"/>
    <col min="12" max="12" width="15.140625" customWidth="1"/>
    <col min="13" max="13" width="19.140625" customWidth="1"/>
    <col min="14" max="14" width="16.7109375" customWidth="1"/>
    <col min="16" max="16" width="25.5703125" customWidth="1"/>
  </cols>
  <sheetData>
    <row r="1" spans="1:13" ht="15.75">
      <c r="A1" s="595" t="s">
        <v>562</v>
      </c>
      <c r="B1" s="595"/>
      <c r="C1" s="595"/>
      <c r="D1" s="596"/>
    </row>
    <row r="2" spans="1:13">
      <c r="A2" s="1"/>
      <c r="B2" s="1"/>
      <c r="C2" s="1"/>
      <c r="D2" s="2"/>
    </row>
    <row r="3" spans="1:13">
      <c r="A3" s="571" t="s">
        <v>591</v>
      </c>
      <c r="B3" s="571"/>
      <c r="C3" s="571"/>
      <c r="D3" s="571"/>
      <c r="E3" s="5" t="s">
        <v>362</v>
      </c>
      <c r="F3" s="5" t="s">
        <v>363</v>
      </c>
      <c r="G3" s="5" t="s">
        <v>320</v>
      </c>
      <c r="H3" s="5" t="s">
        <v>364</v>
      </c>
      <c r="I3" s="22" t="s">
        <v>365</v>
      </c>
      <c r="J3" s="23" t="s">
        <v>247</v>
      </c>
      <c r="K3" s="24" t="s">
        <v>367</v>
      </c>
      <c r="L3" s="25" t="s">
        <v>312</v>
      </c>
      <c r="M3" s="25" t="s">
        <v>312</v>
      </c>
    </row>
    <row r="4" spans="1:13">
      <c r="A4" s="28" t="s">
        <v>0</v>
      </c>
      <c r="B4" s="28" t="s">
        <v>1</v>
      </c>
      <c r="C4" s="28" t="s">
        <v>369</v>
      </c>
      <c r="D4" s="28" t="s">
        <v>370</v>
      </c>
      <c r="E4" s="6">
        <v>0.08</v>
      </c>
      <c r="F4" s="7">
        <v>0.02</v>
      </c>
      <c r="G4" s="6">
        <v>0</v>
      </c>
      <c r="H4" s="6">
        <v>0.14000000000000001</v>
      </c>
      <c r="I4" s="24" t="s">
        <v>371</v>
      </c>
      <c r="J4" s="26" t="s">
        <v>382</v>
      </c>
      <c r="K4" s="27" t="e">
        <f>RESUMEN!#REF!</f>
        <v>#REF!</v>
      </c>
      <c r="L4" s="25" t="s">
        <v>372</v>
      </c>
      <c r="M4" s="25" t="s">
        <v>14</v>
      </c>
    </row>
    <row r="5" spans="1:13">
      <c r="A5" s="494" t="s">
        <v>592</v>
      </c>
      <c r="B5" s="481">
        <v>1</v>
      </c>
      <c r="C5" s="482">
        <v>6902</v>
      </c>
      <c r="D5" s="469">
        <f>+C5*B5</f>
        <v>6902</v>
      </c>
      <c r="E5" s="471">
        <v>0</v>
      </c>
      <c r="F5" s="471">
        <v>0</v>
      </c>
      <c r="G5" s="471">
        <f>(C5+E5+F5)*$G$4</f>
        <v>0</v>
      </c>
      <c r="H5" s="471">
        <v>0</v>
      </c>
      <c r="I5" s="471">
        <f>C5+E5+F5+G5+H5</f>
        <v>6902</v>
      </c>
      <c r="J5" s="476">
        <f>I5*B5</f>
        <v>6902</v>
      </c>
      <c r="K5" s="471" t="e">
        <f>I5*$K$4/(1-$K$4)</f>
        <v>#REF!</v>
      </c>
      <c r="L5" s="471" t="e">
        <f>K5+I5</f>
        <v>#REF!</v>
      </c>
      <c r="M5" s="471" t="e">
        <f>L5*B5</f>
        <v>#REF!</v>
      </c>
    </row>
    <row r="6" spans="1:13">
      <c r="A6" s="495" t="s">
        <v>593</v>
      </c>
      <c r="B6" s="477">
        <v>0</v>
      </c>
      <c r="C6" s="482">
        <v>2106</v>
      </c>
      <c r="D6" s="469">
        <f t="shared" ref="D6:D19" si="0">+C6*B6</f>
        <v>0</v>
      </c>
      <c r="E6" s="471">
        <v>0</v>
      </c>
      <c r="F6" s="471">
        <v>0</v>
      </c>
      <c r="G6" s="471">
        <f t="shared" ref="G6:G19" si="1">(C6+E6+F6)*$G$4</f>
        <v>0</v>
      </c>
      <c r="H6" s="471">
        <v>0</v>
      </c>
      <c r="I6" s="471">
        <f t="shared" ref="I6:I19" si="2">C6+E6+F6+G6+H6</f>
        <v>2106</v>
      </c>
      <c r="J6" s="476">
        <f t="shared" ref="J6:J19" si="3">I6*B6</f>
        <v>0</v>
      </c>
      <c r="K6" s="471" t="e">
        <f t="shared" ref="K6:K19" si="4">I6*$K$4/(1-$K$4)</f>
        <v>#REF!</v>
      </c>
      <c r="L6" s="471" t="e">
        <f t="shared" ref="L6:L19" si="5">K6+I6</f>
        <v>#REF!</v>
      </c>
      <c r="M6" s="471" t="e">
        <f t="shared" ref="M6:M19" si="6">L6*B6</f>
        <v>#REF!</v>
      </c>
    </row>
    <row r="7" spans="1:13">
      <c r="A7" s="494" t="s">
        <v>594</v>
      </c>
      <c r="B7" s="481">
        <v>1</v>
      </c>
      <c r="C7" s="482">
        <v>740</v>
      </c>
      <c r="D7" s="469">
        <f t="shared" si="0"/>
        <v>740</v>
      </c>
      <c r="E7" s="471">
        <v>0</v>
      </c>
      <c r="F7" s="471">
        <v>0</v>
      </c>
      <c r="G7" s="471">
        <f t="shared" si="1"/>
        <v>0</v>
      </c>
      <c r="H7" s="471">
        <v>0</v>
      </c>
      <c r="I7" s="471">
        <f t="shared" si="2"/>
        <v>740</v>
      </c>
      <c r="J7" s="476">
        <f t="shared" si="3"/>
        <v>740</v>
      </c>
      <c r="K7" s="471" t="e">
        <f t="shared" si="4"/>
        <v>#REF!</v>
      </c>
      <c r="L7" s="471" t="e">
        <f t="shared" si="5"/>
        <v>#REF!</v>
      </c>
      <c r="M7" s="471" t="e">
        <f t="shared" si="6"/>
        <v>#REF!</v>
      </c>
    </row>
    <row r="8" spans="1:13">
      <c r="A8" s="495" t="s">
        <v>595</v>
      </c>
      <c r="B8" s="481">
        <v>0</v>
      </c>
      <c r="C8" s="482">
        <v>606</v>
      </c>
      <c r="D8" s="469">
        <f t="shared" si="0"/>
        <v>0</v>
      </c>
      <c r="E8" s="471">
        <v>0</v>
      </c>
      <c r="F8" s="471">
        <v>0</v>
      </c>
      <c r="G8" s="471">
        <f t="shared" si="1"/>
        <v>0</v>
      </c>
      <c r="H8" s="471">
        <v>0</v>
      </c>
      <c r="I8" s="471">
        <f t="shared" si="2"/>
        <v>606</v>
      </c>
      <c r="J8" s="476">
        <f t="shared" si="3"/>
        <v>0</v>
      </c>
      <c r="K8" s="471" t="e">
        <f t="shared" si="4"/>
        <v>#REF!</v>
      </c>
      <c r="L8" s="471" t="e">
        <f t="shared" si="5"/>
        <v>#REF!</v>
      </c>
      <c r="M8" s="471" t="e">
        <f t="shared" si="6"/>
        <v>#REF!</v>
      </c>
    </row>
    <row r="9" spans="1:13">
      <c r="A9" s="495"/>
      <c r="B9" s="481"/>
      <c r="C9" s="482"/>
      <c r="D9" s="469">
        <f t="shared" si="0"/>
        <v>0</v>
      </c>
      <c r="E9" s="471">
        <f t="shared" ref="E9:E19" si="7">C9*$E$4</f>
        <v>0</v>
      </c>
      <c r="F9" s="471">
        <f t="shared" ref="F9:F19" si="8">(C9+E9)*$F$4</f>
        <v>0</v>
      </c>
      <c r="G9" s="471">
        <f t="shared" si="1"/>
        <v>0</v>
      </c>
      <c r="H9" s="471">
        <f t="shared" ref="H9:H19" si="9">(C9+E9+F9+G9)*$H$4</f>
        <v>0</v>
      </c>
      <c r="I9" s="471">
        <f t="shared" si="2"/>
        <v>0</v>
      </c>
      <c r="J9" s="476">
        <f t="shared" si="3"/>
        <v>0</v>
      </c>
      <c r="K9" s="471" t="e">
        <f t="shared" si="4"/>
        <v>#REF!</v>
      </c>
      <c r="L9" s="471" t="e">
        <f t="shared" si="5"/>
        <v>#REF!</v>
      </c>
      <c r="M9" s="471" t="e">
        <f t="shared" si="6"/>
        <v>#REF!</v>
      </c>
    </row>
    <row r="10" spans="1:13">
      <c r="A10" s="86" t="s">
        <v>596</v>
      </c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</row>
    <row r="11" spans="1:13" ht="25.5">
      <c r="A11" s="496" t="s">
        <v>597</v>
      </c>
      <c r="B11" s="481">
        <v>1</v>
      </c>
      <c r="C11" s="482">
        <v>719</v>
      </c>
      <c r="D11" s="469">
        <f t="shared" si="0"/>
        <v>719</v>
      </c>
      <c r="E11" s="471">
        <f t="shared" si="7"/>
        <v>57.52</v>
      </c>
      <c r="F11" s="471">
        <f t="shared" si="8"/>
        <v>15.5304</v>
      </c>
      <c r="G11" s="471">
        <f t="shared" si="1"/>
        <v>0</v>
      </c>
      <c r="H11" s="471">
        <f t="shared" si="9"/>
        <v>110.887056</v>
      </c>
      <c r="I11" s="471">
        <f t="shared" si="2"/>
        <v>902.937456</v>
      </c>
      <c r="J11" s="476">
        <f t="shared" si="3"/>
        <v>902.937456</v>
      </c>
      <c r="K11" s="471" t="e">
        <f t="shared" si="4"/>
        <v>#REF!</v>
      </c>
      <c r="L11" s="471" t="e">
        <f t="shared" si="5"/>
        <v>#REF!</v>
      </c>
      <c r="M11" s="471" t="e">
        <f t="shared" si="6"/>
        <v>#REF!</v>
      </c>
    </row>
    <row r="12" spans="1:13">
      <c r="A12" s="486"/>
      <c r="B12" s="481"/>
      <c r="C12" s="482"/>
      <c r="D12" s="469">
        <f t="shared" si="0"/>
        <v>0</v>
      </c>
      <c r="E12" s="471">
        <f t="shared" si="7"/>
        <v>0</v>
      </c>
      <c r="F12" s="471">
        <f t="shared" si="8"/>
        <v>0</v>
      </c>
      <c r="G12" s="471">
        <f t="shared" si="1"/>
        <v>0</v>
      </c>
      <c r="H12" s="471">
        <f t="shared" si="9"/>
        <v>0</v>
      </c>
      <c r="I12" s="471">
        <f t="shared" si="2"/>
        <v>0</v>
      </c>
      <c r="J12" s="476">
        <f t="shared" si="3"/>
        <v>0</v>
      </c>
      <c r="K12" s="471" t="e">
        <f t="shared" si="4"/>
        <v>#REF!</v>
      </c>
      <c r="L12" s="471" t="e">
        <f t="shared" si="5"/>
        <v>#REF!</v>
      </c>
      <c r="M12" s="471" t="e">
        <f t="shared" si="6"/>
        <v>#REF!</v>
      </c>
    </row>
    <row r="13" spans="1:13">
      <c r="A13" s="497" t="s">
        <v>598</v>
      </c>
      <c r="B13" s="488"/>
      <c r="C13" s="489">
        <v>314</v>
      </c>
      <c r="D13" s="469">
        <f t="shared" si="0"/>
        <v>0</v>
      </c>
      <c r="E13" s="471">
        <f t="shared" si="7"/>
        <v>25.12</v>
      </c>
      <c r="F13" s="471">
        <f t="shared" si="8"/>
        <v>6.7824</v>
      </c>
      <c r="G13" s="471">
        <f t="shared" si="1"/>
        <v>0</v>
      </c>
      <c r="H13" s="471">
        <f t="shared" si="9"/>
        <v>48.426336000000006</v>
      </c>
      <c r="I13" s="471">
        <f t="shared" si="2"/>
        <v>394.32873599999999</v>
      </c>
      <c r="J13" s="476">
        <f t="shared" si="3"/>
        <v>0</v>
      </c>
      <c r="K13" s="471" t="e">
        <f t="shared" si="4"/>
        <v>#REF!</v>
      </c>
      <c r="L13" s="471" t="e">
        <f t="shared" si="5"/>
        <v>#REF!</v>
      </c>
      <c r="M13" s="471" t="e">
        <f t="shared" si="6"/>
        <v>#REF!</v>
      </c>
    </row>
    <row r="14" spans="1:13" ht="25.5">
      <c r="A14" s="498" t="s">
        <v>599</v>
      </c>
      <c r="B14" s="483"/>
      <c r="C14" s="482">
        <v>199</v>
      </c>
      <c r="D14" s="469">
        <f t="shared" si="0"/>
        <v>0</v>
      </c>
      <c r="E14" s="471">
        <f t="shared" si="7"/>
        <v>15.92</v>
      </c>
      <c r="F14" s="471">
        <f t="shared" si="8"/>
        <v>4.2984</v>
      </c>
      <c r="G14" s="471">
        <f t="shared" si="1"/>
        <v>0</v>
      </c>
      <c r="H14" s="471">
        <f t="shared" si="9"/>
        <v>30.690576</v>
      </c>
      <c r="I14" s="471">
        <f t="shared" si="2"/>
        <v>249.90897599999997</v>
      </c>
      <c r="J14" s="476">
        <f t="shared" si="3"/>
        <v>0</v>
      </c>
      <c r="K14" s="471" t="e">
        <f t="shared" si="4"/>
        <v>#REF!</v>
      </c>
      <c r="L14" s="471" t="e">
        <f t="shared" si="5"/>
        <v>#REF!</v>
      </c>
      <c r="M14" s="471" t="e">
        <f t="shared" si="6"/>
        <v>#REF!</v>
      </c>
    </row>
    <row r="15" spans="1:13">
      <c r="A15" s="490"/>
      <c r="B15" s="483"/>
      <c r="C15" s="482">
        <v>0</v>
      </c>
      <c r="D15" s="469">
        <f t="shared" si="0"/>
        <v>0</v>
      </c>
      <c r="E15" s="471">
        <f t="shared" si="7"/>
        <v>0</v>
      </c>
      <c r="F15" s="471">
        <f t="shared" si="8"/>
        <v>0</v>
      </c>
      <c r="G15" s="471">
        <f t="shared" si="1"/>
        <v>0</v>
      </c>
      <c r="H15" s="471">
        <f t="shared" si="9"/>
        <v>0</v>
      </c>
      <c r="I15" s="471">
        <f t="shared" si="2"/>
        <v>0</v>
      </c>
      <c r="J15" s="476">
        <f t="shared" si="3"/>
        <v>0</v>
      </c>
      <c r="K15" s="471" t="e">
        <f t="shared" si="4"/>
        <v>#REF!</v>
      </c>
      <c r="L15" s="471" t="e">
        <f t="shared" si="5"/>
        <v>#REF!</v>
      </c>
      <c r="M15" s="471" t="e">
        <f t="shared" si="6"/>
        <v>#REF!</v>
      </c>
    </row>
    <row r="16" spans="1:13">
      <c r="A16" s="491" t="s">
        <v>600</v>
      </c>
      <c r="B16" s="483">
        <v>1</v>
      </c>
      <c r="C16" s="482">
        <v>3200</v>
      </c>
      <c r="D16" s="469">
        <f t="shared" si="0"/>
        <v>3200</v>
      </c>
      <c r="E16" s="471">
        <f t="shared" si="7"/>
        <v>256</v>
      </c>
      <c r="F16" s="471">
        <f t="shared" si="8"/>
        <v>69.12</v>
      </c>
      <c r="G16" s="471">
        <f t="shared" si="1"/>
        <v>0</v>
      </c>
      <c r="H16" s="471">
        <f t="shared" si="9"/>
        <v>493.51680000000005</v>
      </c>
      <c r="I16" s="471">
        <f t="shared" si="2"/>
        <v>4018.6367999999998</v>
      </c>
      <c r="J16" s="476">
        <f t="shared" si="3"/>
        <v>4018.6367999999998</v>
      </c>
      <c r="K16" s="471" t="e">
        <f t="shared" si="4"/>
        <v>#REF!</v>
      </c>
      <c r="L16" s="471" t="e">
        <f t="shared" si="5"/>
        <v>#REF!</v>
      </c>
      <c r="M16" s="471" t="e">
        <f t="shared" si="6"/>
        <v>#REF!</v>
      </c>
    </row>
    <row r="17" spans="1:16">
      <c r="A17" s="491"/>
      <c r="B17" s="483">
        <v>0</v>
      </c>
      <c r="C17" s="482">
        <v>0</v>
      </c>
      <c r="D17" s="469">
        <f t="shared" si="0"/>
        <v>0</v>
      </c>
      <c r="E17" s="471">
        <f t="shared" si="7"/>
        <v>0</v>
      </c>
      <c r="F17" s="471">
        <f t="shared" si="8"/>
        <v>0</v>
      </c>
      <c r="G17" s="471">
        <f t="shared" si="1"/>
        <v>0</v>
      </c>
      <c r="H17" s="471">
        <f t="shared" si="9"/>
        <v>0</v>
      </c>
      <c r="I17" s="471">
        <f t="shared" si="2"/>
        <v>0</v>
      </c>
      <c r="J17" s="476">
        <f t="shared" si="3"/>
        <v>0</v>
      </c>
      <c r="K17" s="471" t="e">
        <f t="shared" si="4"/>
        <v>#REF!</v>
      </c>
      <c r="L17" s="471" t="e">
        <f t="shared" si="5"/>
        <v>#REF!</v>
      </c>
      <c r="M17" s="471" t="e">
        <f t="shared" si="6"/>
        <v>#REF!</v>
      </c>
    </row>
    <row r="18" spans="1:16">
      <c r="A18" s="491"/>
      <c r="B18" s="483"/>
      <c r="C18" s="482"/>
      <c r="D18" s="469">
        <f t="shared" si="0"/>
        <v>0</v>
      </c>
      <c r="E18" s="471">
        <f t="shared" si="7"/>
        <v>0</v>
      </c>
      <c r="F18" s="471">
        <f t="shared" si="8"/>
        <v>0</v>
      </c>
      <c r="G18" s="471">
        <f t="shared" si="1"/>
        <v>0</v>
      </c>
      <c r="H18" s="471">
        <f t="shared" si="9"/>
        <v>0</v>
      </c>
      <c r="I18" s="471">
        <f t="shared" si="2"/>
        <v>0</v>
      </c>
      <c r="J18" s="476">
        <f t="shared" si="3"/>
        <v>0</v>
      </c>
      <c r="K18" s="471" t="e">
        <f t="shared" si="4"/>
        <v>#REF!</v>
      </c>
      <c r="L18" s="471" t="e">
        <f t="shared" si="5"/>
        <v>#REF!</v>
      </c>
      <c r="M18" s="471" t="e">
        <f t="shared" si="6"/>
        <v>#REF!</v>
      </c>
    </row>
    <row r="19" spans="1:16">
      <c r="A19" s="491"/>
      <c r="B19" s="483"/>
      <c r="C19" s="482"/>
      <c r="D19" s="469">
        <f t="shared" si="0"/>
        <v>0</v>
      </c>
      <c r="E19" s="471">
        <f t="shared" si="7"/>
        <v>0</v>
      </c>
      <c r="F19" s="471">
        <f t="shared" si="8"/>
        <v>0</v>
      </c>
      <c r="G19" s="471">
        <f t="shared" si="1"/>
        <v>0</v>
      </c>
      <c r="H19" s="471">
        <f t="shared" si="9"/>
        <v>0</v>
      </c>
      <c r="I19" s="471">
        <f t="shared" si="2"/>
        <v>0</v>
      </c>
      <c r="J19" s="476">
        <f t="shared" si="3"/>
        <v>0</v>
      </c>
      <c r="K19" s="471" t="e">
        <f t="shared" si="4"/>
        <v>#REF!</v>
      </c>
      <c r="L19" s="471" t="e">
        <f t="shared" si="5"/>
        <v>#REF!</v>
      </c>
      <c r="M19" s="471" t="e">
        <f t="shared" si="6"/>
        <v>#REF!</v>
      </c>
    </row>
    <row r="20" spans="1:16">
      <c r="A20" s="86" t="s">
        <v>601</v>
      </c>
      <c r="B20" s="81"/>
      <c r="C20" s="81"/>
      <c r="D20" s="81"/>
      <c r="E20" s="82"/>
      <c r="F20" s="83"/>
      <c r="G20" s="82"/>
      <c r="H20" s="82"/>
      <c r="I20" s="84"/>
      <c r="J20" s="84"/>
      <c r="K20" s="85"/>
      <c r="L20" s="84"/>
      <c r="M20" s="84"/>
    </row>
    <row r="21" spans="1:16">
      <c r="A21" s="464" t="s">
        <v>602</v>
      </c>
      <c r="B21" s="492">
        <v>1</v>
      </c>
      <c r="C21" s="480">
        <v>1500</v>
      </c>
      <c r="D21" s="462">
        <f>+B21*C21*(B26)</f>
        <v>1500</v>
      </c>
      <c r="E21" s="461">
        <v>0</v>
      </c>
      <c r="F21" s="461">
        <v>0</v>
      </c>
      <c r="G21" s="461">
        <f t="shared" ref="G21:G23" si="10">(C21+E21+F21)*$G$4</f>
        <v>0</v>
      </c>
      <c r="H21" s="461">
        <v>0</v>
      </c>
      <c r="I21" s="461">
        <f t="shared" ref="I21:I23" si="11">C21+E21+F21+G21+H21</f>
        <v>1500</v>
      </c>
      <c r="J21" s="463">
        <f t="shared" ref="J21:J23" si="12">I21*B21</f>
        <v>1500</v>
      </c>
      <c r="K21" s="461" t="e">
        <f t="shared" ref="K21:K23" si="13">I21*$K$4/(1-$K$4)</f>
        <v>#REF!</v>
      </c>
      <c r="L21" s="461" t="e">
        <f t="shared" ref="L21:L23" si="14">K21+I21</f>
        <v>#REF!</v>
      </c>
      <c r="M21" s="461" t="e">
        <f t="shared" ref="M21:M23" si="15">L21*B21</f>
        <v>#REF!</v>
      </c>
    </row>
    <row r="22" spans="1:16">
      <c r="A22" s="464" t="s">
        <v>113</v>
      </c>
      <c r="B22" s="492">
        <v>1</v>
      </c>
      <c r="C22" s="493">
        <v>750</v>
      </c>
      <c r="D22" s="462">
        <f>+B22*C22*(B26)</f>
        <v>750</v>
      </c>
      <c r="E22" s="461">
        <v>0</v>
      </c>
      <c r="F22" s="461">
        <v>0</v>
      </c>
      <c r="G22" s="461">
        <f t="shared" si="10"/>
        <v>0</v>
      </c>
      <c r="H22" s="461">
        <v>0</v>
      </c>
      <c r="I22" s="461">
        <f t="shared" si="11"/>
        <v>750</v>
      </c>
      <c r="J22" s="463">
        <f t="shared" si="12"/>
        <v>750</v>
      </c>
      <c r="K22" s="461" t="e">
        <f t="shared" si="13"/>
        <v>#REF!</v>
      </c>
      <c r="L22" s="461" t="e">
        <f t="shared" si="14"/>
        <v>#REF!</v>
      </c>
      <c r="M22" s="461" t="e">
        <f t="shared" si="15"/>
        <v>#REF!</v>
      </c>
    </row>
    <row r="23" spans="1:16">
      <c r="A23" s="464" t="s">
        <v>430</v>
      </c>
      <c r="B23" s="492">
        <v>1</v>
      </c>
      <c r="C23" s="493">
        <v>1500</v>
      </c>
      <c r="D23" s="462">
        <f>+B23*C23*(B26)</f>
        <v>1500</v>
      </c>
      <c r="E23" s="461">
        <v>0</v>
      </c>
      <c r="F23" s="461">
        <v>0</v>
      </c>
      <c r="G23" s="461">
        <f t="shared" si="10"/>
        <v>0</v>
      </c>
      <c r="H23" s="461">
        <v>0</v>
      </c>
      <c r="I23" s="461">
        <f t="shared" si="11"/>
        <v>1500</v>
      </c>
      <c r="J23" s="463">
        <f t="shared" si="12"/>
        <v>1500</v>
      </c>
      <c r="K23" s="461" t="e">
        <f t="shared" si="13"/>
        <v>#REF!</v>
      </c>
      <c r="L23" s="461" t="e">
        <f t="shared" si="14"/>
        <v>#REF!</v>
      </c>
      <c r="M23" s="461" t="e">
        <f t="shared" si="15"/>
        <v>#REF!</v>
      </c>
    </row>
    <row r="24" spans="1:16">
      <c r="A24" s="140"/>
      <c r="B24" s="12"/>
      <c r="C24" s="139"/>
      <c r="D24" s="19"/>
      <c r="E24" s="9"/>
      <c r="F24" s="9"/>
      <c r="G24" s="9"/>
      <c r="H24" s="9"/>
      <c r="I24" s="9"/>
      <c r="J24" s="10"/>
      <c r="K24" s="9"/>
      <c r="L24" s="9"/>
      <c r="M24" s="9"/>
    </row>
    <row r="25" spans="1:16">
      <c r="A25" s="13"/>
      <c r="B25" s="14"/>
      <c r="C25" s="15" t="s">
        <v>376</v>
      </c>
      <c r="D25" s="15">
        <f>SUM(D5:D23)</f>
        <v>15311</v>
      </c>
      <c r="E25" s="16"/>
      <c r="F25" s="16"/>
      <c r="G25" s="16"/>
      <c r="H25" s="16"/>
      <c r="I25" s="17" t="s">
        <v>377</v>
      </c>
      <c r="J25" s="15">
        <f>SUM(J5:J23)</f>
        <v>16313.574256</v>
      </c>
      <c r="K25" s="16"/>
      <c r="L25" s="17" t="s">
        <v>378</v>
      </c>
      <c r="M25" s="15" t="e">
        <f>SUM(M5:M23)</f>
        <v>#REF!</v>
      </c>
    </row>
    <row r="26" spans="1:16">
      <c r="A26" s="35" t="s">
        <v>574</v>
      </c>
      <c r="B26" s="145">
        <v>1</v>
      </c>
      <c r="C26" s="16"/>
      <c r="D26" s="19"/>
      <c r="E26" s="16"/>
      <c r="F26" s="16"/>
      <c r="G26" s="16"/>
      <c r="H26" s="16"/>
      <c r="I26" s="16"/>
      <c r="J26" s="16"/>
      <c r="K26" s="16"/>
      <c r="L26" s="20" t="s">
        <v>379</v>
      </c>
      <c r="M26" s="21" t="e">
        <f>M25-J25</f>
        <v>#REF!</v>
      </c>
      <c r="O26" s="4"/>
    </row>
    <row r="27" spans="1:16">
      <c r="A27" s="8"/>
      <c r="O27" s="4"/>
      <c r="P27" s="3"/>
    </row>
    <row r="28" spans="1:16">
      <c r="D28" s="3"/>
      <c r="O28" s="4"/>
      <c r="P28" s="3"/>
    </row>
    <row r="29" spans="1:16">
      <c r="A29" s="8"/>
      <c r="D29" s="3"/>
      <c r="O29" s="4"/>
      <c r="P29" s="3"/>
    </row>
    <row r="30" spans="1:16" ht="38.25">
      <c r="A30" s="48" t="s">
        <v>575</v>
      </c>
      <c r="B30" s="16" t="s">
        <v>576</v>
      </c>
      <c r="C30" s="16" t="s">
        <v>577</v>
      </c>
      <c r="M30" s="3"/>
      <c r="O30" s="4"/>
      <c r="P30" s="3"/>
    </row>
    <row r="31" spans="1:16" ht="38.25">
      <c r="A31" s="48" t="s">
        <v>578</v>
      </c>
      <c r="B31" s="16" t="s">
        <v>579</v>
      </c>
      <c r="C31" s="16" t="s">
        <v>580</v>
      </c>
      <c r="O31" s="4"/>
    </row>
    <row r="33" spans="1:14">
      <c r="N33" s="3"/>
    </row>
    <row r="34" spans="1:14">
      <c r="A34" t="s">
        <v>581</v>
      </c>
    </row>
    <row r="35" spans="1:14">
      <c r="A35" t="s">
        <v>582</v>
      </c>
    </row>
    <row r="36" spans="1:14">
      <c r="A36" t="s">
        <v>583</v>
      </c>
    </row>
    <row r="38" spans="1:14">
      <c r="A38" t="s">
        <v>584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A66A-AA16-4D51-BC4A-9217049EDD2F}">
  <sheetPr>
    <tabColor rgb="FF7030A0"/>
  </sheetPr>
  <dimension ref="A1:P38"/>
  <sheetViews>
    <sheetView zoomScale="90" zoomScaleNormal="90" workbookViewId="0">
      <selection activeCell="C30" sqref="C30"/>
    </sheetView>
  </sheetViews>
  <sheetFormatPr baseColWidth="10" defaultColWidth="9.140625" defaultRowHeight="12.75"/>
  <cols>
    <col min="1" max="1" width="56.42578125" customWidth="1"/>
    <col min="2" max="2" width="8.7109375" customWidth="1"/>
    <col min="3" max="3" width="15.85546875" customWidth="1"/>
    <col min="4" max="4" width="16.28515625" customWidth="1"/>
    <col min="5" max="5" width="10.7109375" bestFit="1" customWidth="1"/>
    <col min="6" max="6" width="10.28515625" bestFit="1" customWidth="1"/>
    <col min="7" max="7" width="11.28515625" bestFit="1" customWidth="1"/>
    <col min="8" max="8" width="12.85546875" customWidth="1"/>
    <col min="9" max="9" width="14" bestFit="1" customWidth="1"/>
    <col min="10" max="10" width="15.42578125" bestFit="1" customWidth="1"/>
    <col min="11" max="11" width="15.28515625" customWidth="1"/>
    <col min="12" max="12" width="15.140625" customWidth="1"/>
    <col min="13" max="13" width="19.140625" customWidth="1"/>
    <col min="14" max="14" width="16.7109375" customWidth="1"/>
    <col min="16" max="16" width="25.5703125" customWidth="1"/>
  </cols>
  <sheetData>
    <row r="1" spans="1:13" ht="15.75">
      <c r="A1" s="595" t="s">
        <v>562</v>
      </c>
      <c r="B1" s="595"/>
      <c r="C1" s="595"/>
      <c r="D1" s="596"/>
    </row>
    <row r="2" spans="1:13">
      <c r="A2" s="1"/>
      <c r="B2" s="1"/>
      <c r="C2" s="1"/>
      <c r="D2" s="2"/>
    </row>
    <row r="3" spans="1:13">
      <c r="A3" s="571" t="s">
        <v>563</v>
      </c>
      <c r="B3" s="571"/>
      <c r="C3" s="571"/>
      <c r="D3" s="571"/>
      <c r="E3" s="5" t="s">
        <v>362</v>
      </c>
      <c r="F3" s="5" t="s">
        <v>363</v>
      </c>
      <c r="G3" s="5" t="s">
        <v>320</v>
      </c>
      <c r="H3" s="5" t="s">
        <v>364</v>
      </c>
      <c r="I3" s="22" t="s">
        <v>365</v>
      </c>
      <c r="J3" s="23" t="s">
        <v>247</v>
      </c>
      <c r="K3" s="24" t="s">
        <v>367</v>
      </c>
      <c r="L3" s="25" t="s">
        <v>312</v>
      </c>
      <c r="M3" s="25" t="s">
        <v>312</v>
      </c>
    </row>
    <row r="4" spans="1:13">
      <c r="A4" s="28" t="s">
        <v>0</v>
      </c>
      <c r="B4" s="28" t="s">
        <v>1</v>
      </c>
      <c r="C4" s="28" t="s">
        <v>369</v>
      </c>
      <c r="D4" s="28" t="s">
        <v>370</v>
      </c>
      <c r="E4" s="6">
        <v>0.08</v>
      </c>
      <c r="F4" s="7">
        <v>0.02</v>
      </c>
      <c r="G4" s="6">
        <v>0</v>
      </c>
      <c r="H4" s="6">
        <v>0.14000000000000001</v>
      </c>
      <c r="I4" s="24" t="s">
        <v>371</v>
      </c>
      <c r="J4" s="26" t="s">
        <v>382</v>
      </c>
      <c r="K4" s="27" t="e">
        <f>RESUMEN!#REF!</f>
        <v>#REF!</v>
      </c>
      <c r="L4" s="25" t="s">
        <v>372</v>
      </c>
      <c r="M4" s="25" t="s">
        <v>14</v>
      </c>
    </row>
    <row r="5" spans="1:13" ht="25.5">
      <c r="A5" s="473" t="s">
        <v>603</v>
      </c>
      <c r="B5" s="481">
        <v>1</v>
      </c>
      <c r="C5" s="482">
        <v>750</v>
      </c>
      <c r="D5" s="469">
        <f>+C5*B5</f>
        <v>750</v>
      </c>
      <c r="E5" s="471">
        <f>C5*$E$4</f>
        <v>60</v>
      </c>
      <c r="F5" s="471">
        <f>(C5+E5)*$F$4</f>
        <v>16.2</v>
      </c>
      <c r="G5" s="471">
        <f>(C5+E5+F5)*$G$4</f>
        <v>0</v>
      </c>
      <c r="H5" s="471">
        <f>(C5+E5+F5+G5)*$H$4</f>
        <v>115.66800000000002</v>
      </c>
      <c r="I5" s="471">
        <f>C5+E5+F5+G5+H5</f>
        <v>941.86800000000005</v>
      </c>
      <c r="J5" s="476">
        <f>I5*B5</f>
        <v>941.86800000000005</v>
      </c>
      <c r="K5" s="471" t="e">
        <f>I5*$K$4/(1-$K$4)</f>
        <v>#REF!</v>
      </c>
      <c r="L5" s="471" t="e">
        <f>K5+I5</f>
        <v>#REF!</v>
      </c>
      <c r="M5" s="471" t="e">
        <f>L5*B5</f>
        <v>#REF!</v>
      </c>
    </row>
    <row r="6" spans="1:13" ht="51">
      <c r="A6" s="499" t="s">
        <v>604</v>
      </c>
      <c r="B6" s="477">
        <v>4</v>
      </c>
      <c r="C6" s="482">
        <v>2625</v>
      </c>
      <c r="D6" s="469">
        <f t="shared" ref="D6:D19" si="0">+C6*B6</f>
        <v>10500</v>
      </c>
      <c r="E6" s="471">
        <f t="shared" ref="E6:E19" si="1">C6*$E$4</f>
        <v>210</v>
      </c>
      <c r="F6" s="471">
        <f t="shared" ref="F6:F19" si="2">(C6+E6)*$F$4</f>
        <v>56.7</v>
      </c>
      <c r="G6" s="471">
        <f t="shared" ref="G6:G19" si="3">(C6+E6+F6)*$G$4</f>
        <v>0</v>
      </c>
      <c r="H6" s="471">
        <f t="shared" ref="H6:H19" si="4">(C6+E6+F6+G6)*$H$4</f>
        <v>404.83800000000002</v>
      </c>
      <c r="I6" s="471">
        <f t="shared" ref="I6:I19" si="5">C6+E6+F6+G6+H6</f>
        <v>3296.538</v>
      </c>
      <c r="J6" s="476">
        <f t="shared" ref="J6:J19" si="6">I6*B6</f>
        <v>13186.152</v>
      </c>
      <c r="K6" s="471" t="e">
        <f t="shared" ref="K6:K19" si="7">I6*$K$4/(1-$K$4)</f>
        <v>#REF!</v>
      </c>
      <c r="L6" s="471" t="e">
        <f t="shared" ref="L6:L19" si="8">K6+I6</f>
        <v>#REF!</v>
      </c>
      <c r="M6" s="471" t="e">
        <f t="shared" ref="M6:M19" si="9">L6*B6</f>
        <v>#REF!</v>
      </c>
    </row>
    <row r="7" spans="1:13" ht="30">
      <c r="A7" s="204" t="s">
        <v>605</v>
      </c>
      <c r="B7" s="481">
        <v>1</v>
      </c>
      <c r="C7" s="482">
        <v>6885</v>
      </c>
      <c r="D7" s="469">
        <f t="shared" si="0"/>
        <v>6885</v>
      </c>
      <c r="E7" s="471">
        <v>0</v>
      </c>
      <c r="F7" s="471">
        <v>0</v>
      </c>
      <c r="G7" s="471">
        <f t="shared" si="3"/>
        <v>0</v>
      </c>
      <c r="H7" s="471">
        <v>0</v>
      </c>
      <c r="I7" s="471">
        <f t="shared" si="5"/>
        <v>6885</v>
      </c>
      <c r="J7" s="476">
        <f t="shared" si="6"/>
        <v>6885</v>
      </c>
      <c r="K7" s="471" t="e">
        <f t="shared" si="7"/>
        <v>#REF!</v>
      </c>
      <c r="L7" s="471" t="e">
        <f t="shared" si="8"/>
        <v>#REF!</v>
      </c>
      <c r="M7" s="471" t="e">
        <f t="shared" si="9"/>
        <v>#REF!</v>
      </c>
    </row>
    <row r="8" spans="1:13" ht="30">
      <c r="A8" s="204" t="s">
        <v>606</v>
      </c>
      <c r="B8" s="481">
        <v>4</v>
      </c>
      <c r="C8" s="482">
        <v>165</v>
      </c>
      <c r="D8" s="469">
        <f t="shared" si="0"/>
        <v>660</v>
      </c>
      <c r="E8" s="471">
        <f t="shared" si="1"/>
        <v>13.200000000000001</v>
      </c>
      <c r="F8" s="471">
        <f t="shared" si="2"/>
        <v>3.5640000000000001</v>
      </c>
      <c r="G8" s="471">
        <f t="shared" si="3"/>
        <v>0</v>
      </c>
      <c r="H8" s="471">
        <f t="shared" si="4"/>
        <v>25.446960000000001</v>
      </c>
      <c r="I8" s="471">
        <f t="shared" si="5"/>
        <v>207.21095999999997</v>
      </c>
      <c r="J8" s="476">
        <f t="shared" si="6"/>
        <v>828.84383999999989</v>
      </c>
      <c r="K8" s="471" t="e">
        <f t="shared" si="7"/>
        <v>#REF!</v>
      </c>
      <c r="L8" s="471" t="e">
        <f t="shared" si="8"/>
        <v>#REF!</v>
      </c>
      <c r="M8" s="471" t="e">
        <f t="shared" si="9"/>
        <v>#REF!</v>
      </c>
    </row>
    <row r="9" spans="1:13" ht="114.75">
      <c r="A9" s="499" t="s">
        <v>607</v>
      </c>
      <c r="B9" s="481">
        <v>1</v>
      </c>
      <c r="C9" s="482">
        <v>5760</v>
      </c>
      <c r="D9" s="469">
        <f t="shared" si="0"/>
        <v>5760</v>
      </c>
      <c r="E9" s="471">
        <f t="shared" si="1"/>
        <v>460.8</v>
      </c>
      <c r="F9" s="471">
        <f t="shared" si="2"/>
        <v>124.41600000000001</v>
      </c>
      <c r="G9" s="471">
        <f t="shared" si="3"/>
        <v>0</v>
      </c>
      <c r="H9" s="471">
        <f t="shared" si="4"/>
        <v>888.33024000000012</v>
      </c>
      <c r="I9" s="471">
        <f t="shared" si="5"/>
        <v>7233.5462400000006</v>
      </c>
      <c r="J9" s="476">
        <f t="shared" si="6"/>
        <v>7233.5462400000006</v>
      </c>
      <c r="K9" s="471" t="e">
        <f t="shared" si="7"/>
        <v>#REF!</v>
      </c>
      <c r="L9" s="471" t="e">
        <f t="shared" si="8"/>
        <v>#REF!</v>
      </c>
      <c r="M9" s="471" t="e">
        <f t="shared" si="9"/>
        <v>#REF!</v>
      </c>
    </row>
    <row r="10" spans="1:13">
      <c r="A10" s="485"/>
      <c r="B10" s="481"/>
      <c r="C10" s="482">
        <v>0</v>
      </c>
      <c r="D10" s="469">
        <f t="shared" si="0"/>
        <v>0</v>
      </c>
      <c r="E10" s="471">
        <f t="shared" si="1"/>
        <v>0</v>
      </c>
      <c r="F10" s="471">
        <f t="shared" si="2"/>
        <v>0</v>
      </c>
      <c r="G10" s="471">
        <f t="shared" si="3"/>
        <v>0</v>
      </c>
      <c r="H10" s="471">
        <f t="shared" si="4"/>
        <v>0</v>
      </c>
      <c r="I10" s="471">
        <f t="shared" si="5"/>
        <v>0</v>
      </c>
      <c r="J10" s="476">
        <f t="shared" si="6"/>
        <v>0</v>
      </c>
      <c r="K10" s="471" t="e">
        <f t="shared" si="7"/>
        <v>#REF!</v>
      </c>
      <c r="L10" s="471" t="e">
        <f t="shared" si="8"/>
        <v>#REF!</v>
      </c>
      <c r="M10" s="471" t="e">
        <f t="shared" si="9"/>
        <v>#REF!</v>
      </c>
    </row>
    <row r="11" spans="1:13" hidden="1">
      <c r="A11" s="485"/>
      <c r="B11" s="481"/>
      <c r="C11" s="482">
        <v>0</v>
      </c>
      <c r="D11" s="469">
        <f t="shared" si="0"/>
        <v>0</v>
      </c>
      <c r="E11" s="471">
        <f t="shared" si="1"/>
        <v>0</v>
      </c>
      <c r="F11" s="471">
        <f t="shared" si="2"/>
        <v>0</v>
      </c>
      <c r="G11" s="471">
        <f t="shared" si="3"/>
        <v>0</v>
      </c>
      <c r="H11" s="471">
        <f t="shared" si="4"/>
        <v>0</v>
      </c>
      <c r="I11" s="471">
        <f t="shared" si="5"/>
        <v>0</v>
      </c>
      <c r="J11" s="476">
        <f t="shared" si="6"/>
        <v>0</v>
      </c>
      <c r="K11" s="471" t="e">
        <f t="shared" si="7"/>
        <v>#REF!</v>
      </c>
      <c r="L11" s="471" t="e">
        <f t="shared" si="8"/>
        <v>#REF!</v>
      </c>
      <c r="M11" s="471" t="e">
        <f t="shared" si="9"/>
        <v>#REF!</v>
      </c>
    </row>
    <row r="12" spans="1:13" hidden="1">
      <c r="A12" s="486"/>
      <c r="B12" s="481"/>
      <c r="C12" s="482">
        <v>0</v>
      </c>
      <c r="D12" s="469">
        <f t="shared" si="0"/>
        <v>0</v>
      </c>
      <c r="E12" s="471">
        <f t="shared" si="1"/>
        <v>0</v>
      </c>
      <c r="F12" s="471">
        <f t="shared" si="2"/>
        <v>0</v>
      </c>
      <c r="G12" s="471">
        <f t="shared" si="3"/>
        <v>0</v>
      </c>
      <c r="H12" s="471">
        <f t="shared" si="4"/>
        <v>0</v>
      </c>
      <c r="I12" s="471">
        <f t="shared" si="5"/>
        <v>0</v>
      </c>
      <c r="J12" s="476">
        <f t="shared" si="6"/>
        <v>0</v>
      </c>
      <c r="K12" s="471" t="e">
        <f t="shared" si="7"/>
        <v>#REF!</v>
      </c>
      <c r="L12" s="471" t="e">
        <f t="shared" si="8"/>
        <v>#REF!</v>
      </c>
      <c r="M12" s="471" t="e">
        <f t="shared" si="9"/>
        <v>#REF!</v>
      </c>
    </row>
    <row r="13" spans="1:13" hidden="1">
      <c r="A13" s="487"/>
      <c r="B13" s="488"/>
      <c r="C13" s="489">
        <v>0</v>
      </c>
      <c r="D13" s="469">
        <f t="shared" si="0"/>
        <v>0</v>
      </c>
      <c r="E13" s="471">
        <f t="shared" si="1"/>
        <v>0</v>
      </c>
      <c r="F13" s="471">
        <f t="shared" si="2"/>
        <v>0</v>
      </c>
      <c r="G13" s="471">
        <f t="shared" si="3"/>
        <v>0</v>
      </c>
      <c r="H13" s="471">
        <f t="shared" si="4"/>
        <v>0</v>
      </c>
      <c r="I13" s="471">
        <f t="shared" si="5"/>
        <v>0</v>
      </c>
      <c r="J13" s="476">
        <f t="shared" si="6"/>
        <v>0</v>
      </c>
      <c r="K13" s="471" t="e">
        <f t="shared" si="7"/>
        <v>#REF!</v>
      </c>
      <c r="L13" s="471" t="e">
        <f t="shared" si="8"/>
        <v>#REF!</v>
      </c>
      <c r="M13" s="471" t="e">
        <f t="shared" si="9"/>
        <v>#REF!</v>
      </c>
    </row>
    <row r="14" spans="1:13" hidden="1">
      <c r="A14" s="490"/>
      <c r="B14" s="483"/>
      <c r="C14" s="482">
        <v>0</v>
      </c>
      <c r="D14" s="469">
        <f t="shared" si="0"/>
        <v>0</v>
      </c>
      <c r="E14" s="471">
        <f t="shared" si="1"/>
        <v>0</v>
      </c>
      <c r="F14" s="471">
        <f t="shared" si="2"/>
        <v>0</v>
      </c>
      <c r="G14" s="471">
        <f t="shared" si="3"/>
        <v>0</v>
      </c>
      <c r="H14" s="471">
        <f t="shared" si="4"/>
        <v>0</v>
      </c>
      <c r="I14" s="471">
        <f t="shared" si="5"/>
        <v>0</v>
      </c>
      <c r="J14" s="476">
        <f t="shared" si="6"/>
        <v>0</v>
      </c>
      <c r="K14" s="471" t="e">
        <f t="shared" si="7"/>
        <v>#REF!</v>
      </c>
      <c r="L14" s="471" t="e">
        <f t="shared" si="8"/>
        <v>#REF!</v>
      </c>
      <c r="M14" s="471" t="e">
        <f t="shared" si="9"/>
        <v>#REF!</v>
      </c>
    </row>
    <row r="15" spans="1:13" hidden="1">
      <c r="A15" s="490"/>
      <c r="B15" s="483"/>
      <c r="C15" s="482">
        <v>0</v>
      </c>
      <c r="D15" s="469">
        <f t="shared" si="0"/>
        <v>0</v>
      </c>
      <c r="E15" s="471">
        <f t="shared" si="1"/>
        <v>0</v>
      </c>
      <c r="F15" s="471">
        <f t="shared" si="2"/>
        <v>0</v>
      </c>
      <c r="G15" s="471">
        <f t="shared" si="3"/>
        <v>0</v>
      </c>
      <c r="H15" s="471">
        <f t="shared" si="4"/>
        <v>0</v>
      </c>
      <c r="I15" s="471">
        <f t="shared" si="5"/>
        <v>0</v>
      </c>
      <c r="J15" s="476">
        <f t="shared" si="6"/>
        <v>0</v>
      </c>
      <c r="K15" s="471" t="e">
        <f t="shared" si="7"/>
        <v>#REF!</v>
      </c>
      <c r="L15" s="471" t="e">
        <f t="shared" si="8"/>
        <v>#REF!</v>
      </c>
      <c r="M15" s="471" t="e">
        <f t="shared" si="9"/>
        <v>#REF!</v>
      </c>
    </row>
    <row r="16" spans="1:13" hidden="1">
      <c r="A16" s="491"/>
      <c r="B16" s="483"/>
      <c r="C16" s="482">
        <v>0</v>
      </c>
      <c r="D16" s="469">
        <f t="shared" si="0"/>
        <v>0</v>
      </c>
      <c r="E16" s="471">
        <f t="shared" si="1"/>
        <v>0</v>
      </c>
      <c r="F16" s="471">
        <f t="shared" si="2"/>
        <v>0</v>
      </c>
      <c r="G16" s="471">
        <f t="shared" si="3"/>
        <v>0</v>
      </c>
      <c r="H16" s="471">
        <f t="shared" si="4"/>
        <v>0</v>
      </c>
      <c r="I16" s="471">
        <f t="shared" si="5"/>
        <v>0</v>
      </c>
      <c r="J16" s="476">
        <f t="shared" si="6"/>
        <v>0</v>
      </c>
      <c r="K16" s="471" t="e">
        <f t="shared" si="7"/>
        <v>#REF!</v>
      </c>
      <c r="L16" s="471" t="e">
        <f t="shared" si="8"/>
        <v>#REF!</v>
      </c>
      <c r="M16" s="471" t="e">
        <f t="shared" si="9"/>
        <v>#REF!</v>
      </c>
    </row>
    <row r="17" spans="1:16" hidden="1">
      <c r="A17" s="491"/>
      <c r="B17" s="483">
        <v>0</v>
      </c>
      <c r="C17" s="482">
        <v>0</v>
      </c>
      <c r="D17" s="469">
        <f t="shared" si="0"/>
        <v>0</v>
      </c>
      <c r="E17" s="471">
        <f t="shared" si="1"/>
        <v>0</v>
      </c>
      <c r="F17" s="471">
        <f t="shared" si="2"/>
        <v>0</v>
      </c>
      <c r="G17" s="471">
        <f t="shared" si="3"/>
        <v>0</v>
      </c>
      <c r="H17" s="471">
        <f t="shared" si="4"/>
        <v>0</v>
      </c>
      <c r="I17" s="471">
        <f t="shared" si="5"/>
        <v>0</v>
      </c>
      <c r="J17" s="476">
        <f t="shared" si="6"/>
        <v>0</v>
      </c>
      <c r="K17" s="471" t="e">
        <f t="shared" si="7"/>
        <v>#REF!</v>
      </c>
      <c r="L17" s="471" t="e">
        <f t="shared" si="8"/>
        <v>#REF!</v>
      </c>
      <c r="M17" s="471" t="e">
        <f t="shared" si="9"/>
        <v>#REF!</v>
      </c>
    </row>
    <row r="18" spans="1:16" hidden="1">
      <c r="A18" s="491"/>
      <c r="B18" s="483"/>
      <c r="C18" s="482"/>
      <c r="D18" s="469">
        <f t="shared" si="0"/>
        <v>0</v>
      </c>
      <c r="E18" s="471">
        <f t="shared" si="1"/>
        <v>0</v>
      </c>
      <c r="F18" s="471">
        <f t="shared" si="2"/>
        <v>0</v>
      </c>
      <c r="G18" s="471">
        <f t="shared" si="3"/>
        <v>0</v>
      </c>
      <c r="H18" s="471">
        <f t="shared" si="4"/>
        <v>0</v>
      </c>
      <c r="I18" s="471">
        <f t="shared" si="5"/>
        <v>0</v>
      </c>
      <c r="J18" s="476">
        <f t="shared" si="6"/>
        <v>0</v>
      </c>
      <c r="K18" s="471" t="e">
        <f t="shared" si="7"/>
        <v>#REF!</v>
      </c>
      <c r="L18" s="471" t="e">
        <f t="shared" si="8"/>
        <v>#REF!</v>
      </c>
      <c r="M18" s="471" t="e">
        <f t="shared" si="9"/>
        <v>#REF!</v>
      </c>
    </row>
    <row r="19" spans="1:16" hidden="1">
      <c r="A19" s="491"/>
      <c r="B19" s="483"/>
      <c r="C19" s="482"/>
      <c r="D19" s="469">
        <f t="shared" si="0"/>
        <v>0</v>
      </c>
      <c r="E19" s="471">
        <f t="shared" si="1"/>
        <v>0</v>
      </c>
      <c r="F19" s="471">
        <f t="shared" si="2"/>
        <v>0</v>
      </c>
      <c r="G19" s="471">
        <f t="shared" si="3"/>
        <v>0</v>
      </c>
      <c r="H19" s="471">
        <f t="shared" si="4"/>
        <v>0</v>
      </c>
      <c r="I19" s="471">
        <f t="shared" si="5"/>
        <v>0</v>
      </c>
      <c r="J19" s="476">
        <f t="shared" si="6"/>
        <v>0</v>
      </c>
      <c r="K19" s="471" t="e">
        <f t="shared" si="7"/>
        <v>#REF!</v>
      </c>
      <c r="L19" s="471" t="e">
        <f t="shared" si="8"/>
        <v>#REF!</v>
      </c>
      <c r="M19" s="471" t="e">
        <f t="shared" si="9"/>
        <v>#REF!</v>
      </c>
    </row>
    <row r="20" spans="1:16">
      <c r="A20" s="86" t="s">
        <v>570</v>
      </c>
      <c r="B20" s="81"/>
      <c r="C20" s="81"/>
      <c r="D20" s="81"/>
      <c r="E20" s="82"/>
      <c r="F20" s="83"/>
      <c r="G20" s="82"/>
      <c r="H20" s="82"/>
      <c r="I20" s="84"/>
      <c r="J20" s="84"/>
      <c r="K20" s="85"/>
      <c r="L20" s="84"/>
      <c r="M20" s="84"/>
    </row>
    <row r="21" spans="1:16">
      <c r="A21" s="464" t="s">
        <v>589</v>
      </c>
      <c r="B21" s="492">
        <v>1</v>
      </c>
      <c r="C21" s="480">
        <v>1500</v>
      </c>
      <c r="D21" s="462">
        <f>+B21*C21*(B26)</f>
        <v>1500</v>
      </c>
      <c r="E21" s="461">
        <v>0</v>
      </c>
      <c r="F21" s="461">
        <v>0</v>
      </c>
      <c r="G21" s="461">
        <f t="shared" ref="G21:G23" si="10">(C21+E21+F21)*$G$4</f>
        <v>0</v>
      </c>
      <c r="H21" s="461">
        <v>0</v>
      </c>
      <c r="I21" s="461">
        <f t="shared" ref="I21:I23" si="11">C21+E21+F21+G21+H21</f>
        <v>1500</v>
      </c>
      <c r="J21" s="463">
        <f t="shared" ref="J21:J23" si="12">I21*B21</f>
        <v>1500</v>
      </c>
      <c r="K21" s="461" t="e">
        <f t="shared" ref="K21:K23" si="13">I21*$K$4/(1-$K$4)</f>
        <v>#REF!</v>
      </c>
      <c r="L21" s="461" t="e">
        <f t="shared" ref="L21:L23" si="14">K21+I21</f>
        <v>#REF!</v>
      </c>
      <c r="M21" s="461" t="e">
        <f t="shared" ref="M21:M23" si="15">L21*B21</f>
        <v>#REF!</v>
      </c>
    </row>
    <row r="22" spans="1:16">
      <c r="A22" s="464" t="s">
        <v>608</v>
      </c>
      <c r="B22" s="492">
        <v>1</v>
      </c>
      <c r="C22" s="493">
        <v>685</v>
      </c>
      <c r="D22" s="462">
        <f>+B22*C22*(B26)</f>
        <v>685</v>
      </c>
      <c r="E22" s="461">
        <v>0</v>
      </c>
      <c r="F22" s="461">
        <v>0</v>
      </c>
      <c r="G22" s="461">
        <f t="shared" si="10"/>
        <v>0</v>
      </c>
      <c r="H22" s="461">
        <v>0</v>
      </c>
      <c r="I22" s="461">
        <f t="shared" si="11"/>
        <v>685</v>
      </c>
      <c r="J22" s="463">
        <f t="shared" si="12"/>
        <v>685</v>
      </c>
      <c r="K22" s="461" t="e">
        <f t="shared" si="13"/>
        <v>#REF!</v>
      </c>
      <c r="L22" s="461" t="e">
        <f t="shared" si="14"/>
        <v>#REF!</v>
      </c>
      <c r="M22" s="461" t="e">
        <f t="shared" si="15"/>
        <v>#REF!</v>
      </c>
    </row>
    <row r="23" spans="1:16">
      <c r="A23" s="464" t="s">
        <v>609</v>
      </c>
      <c r="B23" s="492">
        <v>1</v>
      </c>
      <c r="C23" s="493">
        <v>550</v>
      </c>
      <c r="D23" s="462">
        <f>+B23*C23*(B26)</f>
        <v>550</v>
      </c>
      <c r="E23" s="461">
        <v>0</v>
      </c>
      <c r="F23" s="461">
        <v>0</v>
      </c>
      <c r="G23" s="461">
        <f t="shared" si="10"/>
        <v>0</v>
      </c>
      <c r="H23" s="461">
        <v>0</v>
      </c>
      <c r="I23" s="461">
        <f t="shared" si="11"/>
        <v>550</v>
      </c>
      <c r="J23" s="463">
        <f t="shared" si="12"/>
        <v>550</v>
      </c>
      <c r="K23" s="461" t="e">
        <f t="shared" si="13"/>
        <v>#REF!</v>
      </c>
      <c r="L23" s="461" t="e">
        <f t="shared" si="14"/>
        <v>#REF!</v>
      </c>
      <c r="M23" s="461" t="e">
        <f t="shared" si="15"/>
        <v>#REF!</v>
      </c>
    </row>
    <row r="24" spans="1:16">
      <c r="A24" s="140"/>
      <c r="B24" s="12"/>
      <c r="C24" s="139"/>
      <c r="D24" s="19"/>
      <c r="E24" s="9"/>
      <c r="F24" s="9"/>
      <c r="G24" s="9"/>
      <c r="H24" s="9"/>
      <c r="I24" s="9"/>
      <c r="J24" s="10"/>
      <c r="K24" s="9"/>
      <c r="L24" s="9"/>
      <c r="M24" s="9"/>
    </row>
    <row r="25" spans="1:16">
      <c r="A25" s="13"/>
      <c r="B25" s="14"/>
      <c r="C25" s="15" t="s">
        <v>376</v>
      </c>
      <c r="D25" s="15">
        <f>SUM(D5:D23)</f>
        <v>27290</v>
      </c>
      <c r="E25" s="16"/>
      <c r="F25" s="16"/>
      <c r="G25" s="16"/>
      <c r="H25" s="16"/>
      <c r="I25" s="17" t="s">
        <v>377</v>
      </c>
      <c r="J25" s="15">
        <f>SUM(J5:J23)</f>
        <v>31810.410080000001</v>
      </c>
      <c r="K25" s="16"/>
      <c r="L25" s="17" t="s">
        <v>378</v>
      </c>
      <c r="M25" s="15" t="e">
        <f>SUM(M5:M23)</f>
        <v>#REF!</v>
      </c>
    </row>
    <row r="26" spans="1:16">
      <c r="A26" s="35" t="s">
        <v>574</v>
      </c>
      <c r="B26" s="145">
        <v>1</v>
      </c>
      <c r="C26" s="16"/>
      <c r="D26" s="19"/>
      <c r="E26" s="16"/>
      <c r="F26" s="16"/>
      <c r="G26" s="16"/>
      <c r="H26" s="16"/>
      <c r="I26" s="16"/>
      <c r="J26" s="16"/>
      <c r="K26" s="16"/>
      <c r="L26" s="20" t="s">
        <v>379</v>
      </c>
      <c r="M26" s="21" t="e">
        <f>M25-J25</f>
        <v>#REF!</v>
      </c>
      <c r="O26" s="4"/>
    </row>
    <row r="27" spans="1:16">
      <c r="A27" s="8"/>
      <c r="O27" s="4"/>
      <c r="P27" s="3"/>
    </row>
    <row r="28" spans="1:16">
      <c r="D28" s="3"/>
      <c r="O28" s="4"/>
      <c r="P28" s="3"/>
    </row>
    <row r="29" spans="1:16">
      <c r="A29" s="8"/>
      <c r="D29" s="3"/>
      <c r="O29" s="4"/>
      <c r="P29" s="3"/>
    </row>
    <row r="30" spans="1:16" ht="38.25">
      <c r="A30" s="48" t="s">
        <v>575</v>
      </c>
      <c r="B30" s="16" t="s">
        <v>576</v>
      </c>
      <c r="C30" s="16" t="s">
        <v>577</v>
      </c>
      <c r="M30" s="3"/>
      <c r="O30" s="4"/>
      <c r="P30" s="3"/>
    </row>
    <row r="31" spans="1:16" ht="38.25">
      <c r="A31" s="48" t="s">
        <v>578</v>
      </c>
      <c r="B31" s="16" t="s">
        <v>579</v>
      </c>
      <c r="C31" s="16" t="s">
        <v>580</v>
      </c>
      <c r="O31" s="4"/>
    </row>
    <row r="33" spans="1:14">
      <c r="N33" s="3"/>
    </row>
    <row r="34" spans="1:14">
      <c r="A34" t="s">
        <v>581</v>
      </c>
    </row>
    <row r="35" spans="1:14">
      <c r="A35" t="s">
        <v>582</v>
      </c>
    </row>
    <row r="36" spans="1:14">
      <c r="A36" t="s">
        <v>583</v>
      </c>
    </row>
    <row r="38" spans="1:14">
      <c r="A38" t="s">
        <v>584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40FE4-E644-485B-A9A5-2C2C6B545EA2}">
  <dimension ref="C1:L35"/>
  <sheetViews>
    <sheetView topLeftCell="A4" zoomScale="90" zoomScaleNormal="90" workbookViewId="0">
      <selection activeCell="L16" sqref="L16"/>
    </sheetView>
  </sheetViews>
  <sheetFormatPr baseColWidth="10" defaultColWidth="11.42578125" defaultRowHeight="13.5"/>
  <cols>
    <col min="1" max="1" width="11.42578125" style="149"/>
    <col min="2" max="3" width="2.85546875" style="149" customWidth="1"/>
    <col min="4" max="4" width="8.28515625" style="39" customWidth="1"/>
    <col min="5" max="5" width="64.28515625" style="165" customWidth="1"/>
    <col min="6" max="7" width="12.28515625" style="39" customWidth="1"/>
    <col min="8" max="8" width="16.5703125" style="43" bestFit="1" customWidth="1"/>
    <col min="9" max="9" width="18.7109375" style="43" customWidth="1"/>
    <col min="10" max="10" width="2.85546875" style="149" customWidth="1"/>
    <col min="11" max="11" width="4" style="149" customWidth="1"/>
    <col min="12" max="16384" width="11.42578125" style="149"/>
  </cols>
  <sheetData>
    <row r="1" spans="3:12" s="156" customFormat="1" ht="48" customHeight="1">
      <c r="D1" s="157"/>
      <c r="E1" s="162"/>
      <c r="F1" s="157"/>
      <c r="G1" s="157"/>
      <c r="H1" s="159"/>
      <c r="I1" s="159"/>
    </row>
    <row r="2" spans="3:12" s="156" customFormat="1" ht="14.25" thickBot="1">
      <c r="D2" s="157"/>
      <c r="E2" s="158"/>
      <c r="F2" s="157"/>
      <c r="G2" s="157"/>
      <c r="H2" s="159"/>
      <c r="I2" s="159"/>
    </row>
    <row r="3" spans="3:12">
      <c r="C3" s="150"/>
      <c r="D3" s="40"/>
      <c r="E3" s="160"/>
      <c r="F3" s="40"/>
      <c r="G3" s="40"/>
      <c r="H3" s="44"/>
      <c r="I3" s="44"/>
      <c r="J3" s="151"/>
    </row>
    <row r="4" spans="3:12" ht="36.75" customHeight="1" thickBot="1">
      <c r="C4" s="152"/>
      <c r="D4" s="597" t="s">
        <v>610</v>
      </c>
      <c r="E4" s="598"/>
      <c r="F4" s="598"/>
      <c r="G4" s="598"/>
      <c r="H4" s="598"/>
      <c r="I4" s="599"/>
      <c r="J4" s="153"/>
    </row>
    <row r="5" spans="3:12" ht="6" customHeight="1">
      <c r="C5" s="152"/>
      <c r="E5" s="161"/>
      <c r="H5" s="45"/>
      <c r="I5" s="45"/>
      <c r="J5" s="153"/>
    </row>
    <row r="6" spans="3:12" ht="28.5">
      <c r="C6" s="152"/>
      <c r="D6" s="146" t="s">
        <v>611</v>
      </c>
      <c r="E6" s="146" t="s">
        <v>310</v>
      </c>
      <c r="F6" s="146" t="s">
        <v>612</v>
      </c>
      <c r="G6" s="146" t="s">
        <v>8</v>
      </c>
      <c r="H6" s="46" t="s">
        <v>471</v>
      </c>
      <c r="I6" s="46" t="s">
        <v>613</v>
      </c>
      <c r="J6" s="153"/>
    </row>
    <row r="7" spans="3:12" ht="14.25">
      <c r="C7" s="152"/>
      <c r="D7" s="600" t="s">
        <v>614</v>
      </c>
      <c r="E7" s="601"/>
      <c r="F7" s="601"/>
      <c r="G7" s="601"/>
      <c r="H7" s="601"/>
      <c r="I7" s="602"/>
      <c r="J7" s="153"/>
    </row>
    <row r="8" spans="3:12" ht="14.25">
      <c r="C8" s="152"/>
      <c r="D8" s="603" t="s">
        <v>615</v>
      </c>
      <c r="E8" s="604"/>
      <c r="F8" s="604"/>
      <c r="G8" s="604"/>
      <c r="H8" s="604"/>
      <c r="I8" s="605"/>
      <c r="J8" s="153"/>
    </row>
    <row r="9" spans="3:12" ht="16.5">
      <c r="C9" s="152"/>
      <c r="D9" s="41" t="s">
        <v>616</v>
      </c>
      <c r="E9" s="148" t="e">
        <f>#REF!</f>
        <v>#REF!</v>
      </c>
      <c r="F9" s="41" t="s">
        <v>617</v>
      </c>
      <c r="G9" s="41">
        <v>1</v>
      </c>
      <c r="H9" s="166" t="e">
        <f>#REF!</f>
        <v>#REF!</v>
      </c>
      <c r="I9" s="166" t="e">
        <f>H9*G9</f>
        <v>#REF!</v>
      </c>
      <c r="J9" s="153"/>
      <c r="L9" s="147"/>
    </row>
    <row r="10" spans="3:12" ht="16.5">
      <c r="C10" s="152"/>
      <c r="D10" s="41" t="s">
        <v>618</v>
      </c>
      <c r="E10" s="148" t="e">
        <f>#REF!</f>
        <v>#REF!</v>
      </c>
      <c r="F10" s="41" t="s">
        <v>617</v>
      </c>
      <c r="G10" s="41">
        <v>1</v>
      </c>
      <c r="H10" s="166" t="e">
        <f>#REF!</f>
        <v>#REF!</v>
      </c>
      <c r="I10" s="166" t="e">
        <f t="shared" ref="I10:I12" si="0">H10*G10</f>
        <v>#REF!</v>
      </c>
      <c r="J10" s="153"/>
      <c r="L10" s="147"/>
    </row>
    <row r="11" spans="3:12" ht="16.5">
      <c r="C11" s="152"/>
      <c r="D11" s="41" t="s">
        <v>619</v>
      </c>
      <c r="E11" s="148" t="e">
        <f>#REF!</f>
        <v>#REF!</v>
      </c>
      <c r="F11" s="41" t="s">
        <v>617</v>
      </c>
      <c r="G11" s="41">
        <v>1</v>
      </c>
      <c r="H11" s="166" t="e">
        <f>#REF!</f>
        <v>#REF!</v>
      </c>
      <c r="I11" s="166" t="e">
        <f t="shared" si="0"/>
        <v>#REF!</v>
      </c>
      <c r="J11" s="153"/>
      <c r="L11" s="147"/>
    </row>
    <row r="12" spans="3:12" ht="16.5">
      <c r="C12" s="152"/>
      <c r="D12" s="41" t="s">
        <v>620</v>
      </c>
      <c r="E12" s="148" t="e">
        <f>#REF!</f>
        <v>#REF!</v>
      </c>
      <c r="F12" s="41" t="s">
        <v>617</v>
      </c>
      <c r="G12" s="41">
        <v>1</v>
      </c>
      <c r="H12" s="166" t="e">
        <f>#REF!</f>
        <v>#REF!</v>
      </c>
      <c r="I12" s="166" t="e">
        <f t="shared" si="0"/>
        <v>#REF!</v>
      </c>
      <c r="J12" s="153"/>
      <c r="L12" s="147"/>
    </row>
    <row r="13" spans="3:12" ht="14.25">
      <c r="C13" s="152"/>
      <c r="D13" s="603" t="s">
        <v>621</v>
      </c>
      <c r="E13" s="604"/>
      <c r="F13" s="604"/>
      <c r="G13" s="604"/>
      <c r="H13" s="604"/>
      <c r="I13" s="605"/>
      <c r="J13" s="153"/>
    </row>
    <row r="14" spans="3:12" ht="16.5">
      <c r="C14" s="152"/>
      <c r="D14" s="41" t="s">
        <v>622</v>
      </c>
      <c r="E14" s="163" t="s">
        <v>623</v>
      </c>
      <c r="F14" s="41" t="s">
        <v>617</v>
      </c>
      <c r="G14" s="41">
        <v>1</v>
      </c>
      <c r="H14" s="166"/>
      <c r="I14" s="166">
        <f>H14*G14</f>
        <v>0</v>
      </c>
      <c r="J14" s="153"/>
      <c r="L14" s="147"/>
    </row>
    <row r="15" spans="3:12" ht="14.25">
      <c r="C15" s="152"/>
      <c r="D15" s="603" t="s">
        <v>624</v>
      </c>
      <c r="E15" s="604"/>
      <c r="F15" s="604"/>
      <c r="G15" s="604"/>
      <c r="H15" s="604"/>
      <c r="I15" s="605"/>
      <c r="J15" s="153"/>
    </row>
    <row r="16" spans="3:12" ht="16.5">
      <c r="C16" s="152"/>
      <c r="D16" s="41" t="s">
        <v>625</v>
      </c>
      <c r="E16" s="163" t="s">
        <v>626</v>
      </c>
      <c r="F16" s="41" t="s">
        <v>617</v>
      </c>
      <c r="G16" s="41">
        <v>1</v>
      </c>
      <c r="H16" s="166"/>
      <c r="I16" s="166">
        <f>H16*G16</f>
        <v>0</v>
      </c>
      <c r="J16" s="153"/>
      <c r="L16" s="147"/>
    </row>
    <row r="17" spans="3:12" ht="16.5">
      <c r="C17" s="152"/>
      <c r="D17" s="199"/>
      <c r="E17" s="202"/>
      <c r="F17" s="199"/>
      <c r="G17" s="199"/>
      <c r="H17" s="201" t="e">
        <f>H16+H14+H12+H11+H10+H9</f>
        <v>#REF!</v>
      </c>
      <c r="I17" s="200" t="e">
        <f>I16+I14+I12+I11+I10+I9</f>
        <v>#REF!</v>
      </c>
      <c r="J17" s="153"/>
      <c r="L17" s="147"/>
    </row>
    <row r="18" spans="3:12" ht="14.25" thickBot="1">
      <c r="C18" s="154"/>
      <c r="D18" s="42"/>
      <c r="E18" s="164"/>
      <c r="F18" s="42"/>
      <c r="G18" s="42"/>
      <c r="H18" s="167"/>
      <c r="I18" s="167"/>
      <c r="J18" s="155"/>
    </row>
    <row r="19" spans="3:12" s="156" customFormat="1">
      <c r="D19" s="157"/>
      <c r="E19" s="162"/>
      <c r="F19" s="157"/>
      <c r="G19" s="157"/>
      <c r="H19" s="168"/>
      <c r="I19" s="168"/>
    </row>
    <row r="20" spans="3:12" s="156" customFormat="1">
      <c r="D20" s="157"/>
      <c r="E20" s="162"/>
      <c r="F20" s="157"/>
      <c r="G20" s="157"/>
      <c r="H20" s="168"/>
      <c r="I20" s="168"/>
    </row>
    <row r="21" spans="3:12">
      <c r="H21" s="45"/>
      <c r="I21" s="45"/>
    </row>
    <row r="22" spans="3:12">
      <c r="H22" s="45"/>
      <c r="I22" s="45"/>
    </row>
    <row r="23" spans="3:12">
      <c r="H23" s="45"/>
      <c r="I23" s="45"/>
    </row>
    <row r="24" spans="3:12">
      <c r="H24" s="45"/>
      <c r="I24" s="45"/>
    </row>
    <row r="25" spans="3:12">
      <c r="H25" s="45"/>
      <c r="I25" s="45"/>
    </row>
    <row r="26" spans="3:12">
      <c r="H26" s="45"/>
      <c r="I26" s="45"/>
    </row>
    <row r="27" spans="3:12">
      <c r="H27" s="45"/>
      <c r="I27" s="45"/>
    </row>
    <row r="28" spans="3:12">
      <c r="H28" s="45"/>
      <c r="I28" s="45"/>
    </row>
    <row r="34" s="149" customFormat="1"/>
    <row r="35" s="149" customFormat="1"/>
  </sheetData>
  <mergeCells count="5">
    <mergeCell ref="D4:I4"/>
    <mergeCell ref="D7:I7"/>
    <mergeCell ref="D8:I8"/>
    <mergeCell ref="D13:I13"/>
    <mergeCell ref="D15:I1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E664-5E94-4430-AA2D-817C37BD09E8}">
  <dimension ref="C1:L36"/>
  <sheetViews>
    <sheetView topLeftCell="A4" zoomScale="90" zoomScaleNormal="90" workbookViewId="0">
      <selection activeCell="E17" sqref="E17"/>
    </sheetView>
  </sheetViews>
  <sheetFormatPr baseColWidth="10" defaultColWidth="11.42578125" defaultRowHeight="13.5"/>
  <cols>
    <col min="1" max="1" width="11.42578125" style="149"/>
    <col min="2" max="3" width="2.85546875" style="149" customWidth="1"/>
    <col min="4" max="4" width="8.28515625" style="39" customWidth="1"/>
    <col min="5" max="5" width="64.28515625" style="165" customWidth="1"/>
    <col min="6" max="7" width="12.28515625" style="39" customWidth="1"/>
    <col min="8" max="8" width="16.5703125" style="43" bestFit="1" customWidth="1"/>
    <col min="9" max="9" width="18.7109375" style="43" customWidth="1"/>
    <col min="10" max="10" width="2.85546875" style="149" customWidth="1"/>
    <col min="11" max="11" width="4" style="149" customWidth="1"/>
    <col min="12" max="16384" width="11.42578125" style="149"/>
  </cols>
  <sheetData>
    <row r="1" spans="3:12" s="156" customFormat="1" ht="48" customHeight="1">
      <c r="D1" s="157"/>
      <c r="E1" s="162"/>
      <c r="F1" s="157"/>
      <c r="G1" s="157"/>
      <c r="H1" s="159"/>
      <c r="I1" s="159"/>
    </row>
    <row r="2" spans="3:12" s="156" customFormat="1" ht="14.25" thickBot="1">
      <c r="D2" s="157"/>
      <c r="E2" s="158"/>
      <c r="F2" s="157"/>
      <c r="G2" s="157"/>
      <c r="H2" s="159"/>
      <c r="I2" s="159"/>
    </row>
    <row r="3" spans="3:12">
      <c r="C3" s="150"/>
      <c r="D3" s="40"/>
      <c r="E3" s="160"/>
      <c r="F3" s="40"/>
      <c r="G3" s="40"/>
      <c r="H3" s="44"/>
      <c r="I3" s="44"/>
      <c r="J3" s="151"/>
    </row>
    <row r="4" spans="3:12" ht="36.75" customHeight="1" thickBot="1">
      <c r="C4" s="152"/>
      <c r="D4" s="597" t="s">
        <v>610</v>
      </c>
      <c r="E4" s="598"/>
      <c r="F4" s="598"/>
      <c r="G4" s="598"/>
      <c r="H4" s="598"/>
      <c r="I4" s="599"/>
      <c r="J4" s="153"/>
    </row>
    <row r="5" spans="3:12" ht="6" customHeight="1">
      <c r="C5" s="152"/>
      <c r="E5" s="161"/>
      <c r="H5" s="45"/>
      <c r="I5" s="45"/>
      <c r="J5" s="153"/>
    </row>
    <row r="6" spans="3:12" ht="28.5">
      <c r="C6" s="152"/>
      <c r="D6" s="146" t="s">
        <v>611</v>
      </c>
      <c r="E6" s="146" t="s">
        <v>310</v>
      </c>
      <c r="F6" s="146" t="s">
        <v>612</v>
      </c>
      <c r="G6" s="146" t="s">
        <v>8</v>
      </c>
      <c r="H6" s="46" t="s">
        <v>471</v>
      </c>
      <c r="I6" s="46" t="s">
        <v>613</v>
      </c>
      <c r="J6" s="153"/>
    </row>
    <row r="7" spans="3:12" ht="14.25">
      <c r="C7" s="152"/>
      <c r="D7" s="600" t="s">
        <v>627</v>
      </c>
      <c r="E7" s="601"/>
      <c r="F7" s="601"/>
      <c r="G7" s="601"/>
      <c r="H7" s="601"/>
      <c r="I7" s="602"/>
      <c r="J7" s="153"/>
    </row>
    <row r="8" spans="3:12" ht="14.25">
      <c r="C8" s="152"/>
      <c r="D8" s="603" t="s">
        <v>628</v>
      </c>
      <c r="E8" s="604"/>
      <c r="F8" s="604"/>
      <c r="G8" s="604"/>
      <c r="H8" s="604"/>
      <c r="I8" s="605"/>
      <c r="J8" s="153"/>
    </row>
    <row r="9" spans="3:12" ht="16.5">
      <c r="C9" s="152"/>
      <c r="D9" s="41" t="s">
        <v>616</v>
      </c>
      <c r="E9" s="148" t="s">
        <v>586</v>
      </c>
      <c r="F9" s="41" t="s">
        <v>617</v>
      </c>
      <c r="G9" s="41">
        <v>1</v>
      </c>
      <c r="H9" s="166" t="e">
        <f>BodyCam!L5</f>
        <v>#REF!</v>
      </c>
      <c r="I9" s="166" t="e">
        <f>H9*G9</f>
        <v>#REF!</v>
      </c>
      <c r="J9" s="153"/>
      <c r="L9" s="147"/>
    </row>
    <row r="10" spans="3:12" ht="16.5">
      <c r="C10" s="152"/>
      <c r="D10" s="41" t="s">
        <v>618</v>
      </c>
      <c r="E10" s="495" t="s">
        <v>587</v>
      </c>
      <c r="F10" s="41" t="s">
        <v>617</v>
      </c>
      <c r="G10" s="41">
        <v>1</v>
      </c>
      <c r="H10" s="166" t="e">
        <f>BodyCam!L6</f>
        <v>#REF!</v>
      </c>
      <c r="I10" s="166" t="e">
        <f t="shared" ref="I10:I12" si="0">H10*G10</f>
        <v>#REF!</v>
      </c>
      <c r="J10" s="153"/>
      <c r="L10" s="147"/>
    </row>
    <row r="11" spans="3:12" ht="16.5">
      <c r="C11" s="152"/>
      <c r="D11" s="41" t="s">
        <v>619</v>
      </c>
      <c r="E11" s="494" t="s">
        <v>588</v>
      </c>
      <c r="F11" s="41" t="s">
        <v>617</v>
      </c>
      <c r="G11" s="41">
        <v>1</v>
      </c>
      <c r="H11" s="166" t="e">
        <f>BodyCam!L7</f>
        <v>#REF!</v>
      </c>
      <c r="I11" s="166" t="e">
        <f t="shared" si="0"/>
        <v>#REF!</v>
      </c>
      <c r="J11" s="153"/>
      <c r="L11" s="147"/>
    </row>
    <row r="12" spans="3:12" ht="16.5">
      <c r="C12" s="152"/>
      <c r="D12" s="41" t="s">
        <v>620</v>
      </c>
      <c r="E12" s="148"/>
      <c r="F12" s="41" t="s">
        <v>617</v>
      </c>
      <c r="G12" s="41">
        <v>0</v>
      </c>
      <c r="H12" s="166">
        <v>0</v>
      </c>
      <c r="I12" s="166">
        <f t="shared" si="0"/>
        <v>0</v>
      </c>
      <c r="J12" s="153"/>
      <c r="L12" s="147"/>
    </row>
    <row r="13" spans="3:12" ht="14.25">
      <c r="C13" s="152"/>
      <c r="D13" s="603" t="s">
        <v>629</v>
      </c>
      <c r="E13" s="604"/>
      <c r="F13" s="604"/>
      <c r="G13" s="604"/>
      <c r="H13" s="604"/>
      <c r="I13" s="605"/>
      <c r="J13" s="153"/>
    </row>
    <row r="14" spans="3:12" ht="16.5">
      <c r="C14" s="152"/>
      <c r="D14" s="41" t="s">
        <v>622</v>
      </c>
      <c r="E14" s="163"/>
      <c r="F14" s="41" t="s">
        <v>617</v>
      </c>
      <c r="G14" s="41">
        <v>1</v>
      </c>
      <c r="H14" s="166"/>
      <c r="I14" s="166">
        <f>H14*G14</f>
        <v>0</v>
      </c>
      <c r="J14" s="153"/>
      <c r="L14" s="147"/>
    </row>
    <row r="15" spans="3:12" ht="14.25">
      <c r="C15" s="152"/>
      <c r="D15" s="603" t="s">
        <v>624</v>
      </c>
      <c r="E15" s="604"/>
      <c r="F15" s="604"/>
      <c r="G15" s="604"/>
      <c r="H15" s="604"/>
      <c r="I15" s="605"/>
      <c r="J15" s="153"/>
    </row>
    <row r="16" spans="3:12" ht="16.5">
      <c r="C16" s="152"/>
      <c r="D16" s="41" t="s">
        <v>625</v>
      </c>
      <c r="E16" s="148" t="str">
        <f>BodyCam!A21</f>
        <v>Configuracion y mantenimiento</v>
      </c>
      <c r="F16" s="41" t="s">
        <v>617</v>
      </c>
      <c r="G16" s="41">
        <v>1</v>
      </c>
      <c r="H16" s="166" t="e">
        <f>BodyCam!L21</f>
        <v>#REF!</v>
      </c>
      <c r="I16" s="166" t="e">
        <f>H16*G16</f>
        <v>#REF!</v>
      </c>
      <c r="J16" s="153"/>
      <c r="L16" s="147"/>
    </row>
    <row r="17" spans="3:12" ht="16.5">
      <c r="C17" s="152"/>
      <c r="D17" s="41" t="s">
        <v>630</v>
      </c>
      <c r="E17" s="148" t="s">
        <v>631</v>
      </c>
      <c r="F17" s="41" t="s">
        <v>617</v>
      </c>
      <c r="G17" s="41">
        <v>1</v>
      </c>
      <c r="H17" s="166" t="e">
        <f>BodyCam!L22</f>
        <v>#REF!</v>
      </c>
      <c r="I17" s="166" t="e">
        <f>H17*G17</f>
        <v>#REF!</v>
      </c>
      <c r="J17" s="153"/>
      <c r="L17" s="147"/>
    </row>
    <row r="18" spans="3:12" ht="16.5">
      <c r="C18" s="152"/>
      <c r="D18" s="199"/>
      <c r="E18" s="202"/>
      <c r="F18" s="199"/>
      <c r="G18" s="199"/>
      <c r="H18" s="201" t="e">
        <f>H16+H14+H12+H11+H10+H9+H17</f>
        <v>#REF!</v>
      </c>
      <c r="I18" s="200" t="e">
        <f>I16+I14+I12+I11+I10+I9+I17</f>
        <v>#REF!</v>
      </c>
      <c r="J18" s="153"/>
      <c r="L18" s="147"/>
    </row>
    <row r="19" spans="3:12" ht="14.25" thickBot="1">
      <c r="C19" s="154"/>
      <c r="D19" s="42"/>
      <c r="E19" s="164"/>
      <c r="F19" s="42"/>
      <c r="G19" s="42"/>
      <c r="H19" s="167"/>
      <c r="I19" s="167"/>
      <c r="J19" s="155"/>
    </row>
    <row r="20" spans="3:12" s="156" customFormat="1">
      <c r="D20" s="157"/>
      <c r="E20" s="162"/>
      <c r="F20" s="157"/>
      <c r="G20" s="157"/>
      <c r="H20" s="168"/>
      <c r="I20" s="168"/>
    </row>
    <row r="21" spans="3:12" s="156" customFormat="1">
      <c r="D21" s="157"/>
      <c r="E21" s="162"/>
      <c r="F21" s="157"/>
      <c r="G21" s="157"/>
      <c r="H21" s="168"/>
      <c r="I21" s="168"/>
    </row>
    <row r="22" spans="3:12">
      <c r="H22" s="45"/>
      <c r="I22" s="45"/>
    </row>
    <row r="23" spans="3:12">
      <c r="H23" s="45"/>
      <c r="I23" s="45"/>
    </row>
    <row r="24" spans="3:12">
      <c r="H24" s="45"/>
      <c r="I24" s="45"/>
    </row>
    <row r="25" spans="3:12">
      <c r="H25" s="45"/>
      <c r="I25" s="45"/>
    </row>
    <row r="26" spans="3:12">
      <c r="H26" s="45"/>
      <c r="I26" s="45"/>
    </row>
    <row r="27" spans="3:12">
      <c r="H27" s="45"/>
      <c r="I27" s="45"/>
    </row>
    <row r="28" spans="3:12">
      <c r="H28" s="45"/>
      <c r="I28" s="45"/>
    </row>
    <row r="29" spans="3:12">
      <c r="H29" s="45"/>
      <c r="I29" s="45"/>
    </row>
    <row r="35" s="149" customFormat="1"/>
    <row r="36" s="149" customFormat="1"/>
  </sheetData>
  <mergeCells count="5">
    <mergeCell ref="D4:I4"/>
    <mergeCell ref="D7:I7"/>
    <mergeCell ref="D8:I8"/>
    <mergeCell ref="D13:I13"/>
    <mergeCell ref="D15:I15"/>
  </mergeCells>
  <phoneticPr fontId="45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9FFC0-B42B-4772-8555-8766B8619020}">
  <dimension ref="C1:L39"/>
  <sheetViews>
    <sheetView topLeftCell="A4" zoomScale="90" zoomScaleNormal="90" workbookViewId="0">
      <selection activeCell="H18" sqref="H18"/>
    </sheetView>
  </sheetViews>
  <sheetFormatPr baseColWidth="10" defaultColWidth="11.42578125" defaultRowHeight="13.5"/>
  <cols>
    <col min="1" max="1" width="11.42578125" style="149"/>
    <col min="2" max="3" width="2.85546875" style="149" customWidth="1"/>
    <col min="4" max="4" width="8.28515625" style="39" customWidth="1"/>
    <col min="5" max="5" width="64.28515625" style="165" customWidth="1"/>
    <col min="6" max="7" width="12.28515625" style="39" customWidth="1"/>
    <col min="8" max="8" width="16.5703125" style="43" bestFit="1" customWidth="1"/>
    <col min="9" max="9" width="18.7109375" style="43" customWidth="1"/>
    <col min="10" max="10" width="2.85546875" style="149" customWidth="1"/>
    <col min="11" max="11" width="4" style="149" customWidth="1"/>
    <col min="12" max="16384" width="11.42578125" style="149"/>
  </cols>
  <sheetData>
    <row r="1" spans="3:12" s="156" customFormat="1" ht="48" customHeight="1">
      <c r="D1" s="157"/>
      <c r="E1" s="162"/>
      <c r="F1" s="157"/>
      <c r="G1" s="157"/>
      <c r="H1" s="159"/>
      <c r="I1" s="159"/>
    </row>
    <row r="2" spans="3:12" s="156" customFormat="1" ht="14.25" thickBot="1">
      <c r="D2" s="157"/>
      <c r="E2" s="158"/>
      <c r="F2" s="157"/>
      <c r="G2" s="157"/>
      <c r="H2" s="159"/>
      <c r="I2" s="159"/>
    </row>
    <row r="3" spans="3:12">
      <c r="C3" s="150"/>
      <c r="D3" s="40"/>
      <c r="E3" s="160"/>
      <c r="F3" s="40"/>
      <c r="G3" s="40"/>
      <c r="H3" s="44"/>
      <c r="I3" s="44"/>
      <c r="J3" s="151"/>
    </row>
    <row r="4" spans="3:12" ht="36.75" customHeight="1" thickBot="1">
      <c r="C4" s="152"/>
      <c r="D4" s="597" t="s">
        <v>610</v>
      </c>
      <c r="E4" s="598"/>
      <c r="F4" s="598"/>
      <c r="G4" s="598"/>
      <c r="H4" s="598"/>
      <c r="I4" s="599"/>
      <c r="J4" s="153"/>
    </row>
    <row r="5" spans="3:12" ht="6" customHeight="1">
      <c r="C5" s="152"/>
      <c r="E5" s="161"/>
      <c r="H5" s="45"/>
      <c r="I5" s="45"/>
      <c r="J5" s="153"/>
    </row>
    <row r="6" spans="3:12" ht="28.5">
      <c r="C6" s="152"/>
      <c r="D6" s="146" t="s">
        <v>611</v>
      </c>
      <c r="E6" s="146" t="s">
        <v>310</v>
      </c>
      <c r="F6" s="146" t="s">
        <v>612</v>
      </c>
      <c r="G6" s="146" t="s">
        <v>8</v>
      </c>
      <c r="H6" s="46" t="s">
        <v>471</v>
      </c>
      <c r="I6" s="46" t="s">
        <v>613</v>
      </c>
      <c r="J6" s="153"/>
    </row>
    <row r="7" spans="3:12" ht="14.25">
      <c r="C7" s="152"/>
      <c r="D7" s="600" t="s">
        <v>632</v>
      </c>
      <c r="E7" s="601"/>
      <c r="F7" s="601"/>
      <c r="G7" s="601"/>
      <c r="H7" s="601"/>
      <c r="I7" s="602"/>
      <c r="J7" s="153"/>
    </row>
    <row r="8" spans="3:12" ht="14.25">
      <c r="C8" s="152"/>
      <c r="D8" s="603" t="s">
        <v>633</v>
      </c>
      <c r="E8" s="604"/>
      <c r="F8" s="604"/>
      <c r="G8" s="604"/>
      <c r="H8" s="604"/>
      <c r="I8" s="605"/>
      <c r="J8" s="153"/>
    </row>
    <row r="9" spans="3:12" ht="16.5">
      <c r="C9" s="152"/>
      <c r="D9" s="41" t="s">
        <v>616</v>
      </c>
      <c r="E9" s="148" t="s">
        <v>564</v>
      </c>
      <c r="F9" s="41" t="s">
        <v>617</v>
      </c>
      <c r="G9" s="41">
        <v>1</v>
      </c>
      <c r="H9" s="166" t="e">
        <f>Equipos!#REF!</f>
        <v>#REF!</v>
      </c>
      <c r="I9" s="166" t="e">
        <f>H9*G9</f>
        <v>#REF!</v>
      </c>
      <c r="J9" s="153"/>
      <c r="L9" s="147"/>
    </row>
    <row r="10" spans="3:12" ht="16.5">
      <c r="C10" s="152"/>
      <c r="D10" s="41" t="s">
        <v>618</v>
      </c>
      <c r="E10" s="148" t="s">
        <v>565</v>
      </c>
      <c r="F10" s="41" t="s">
        <v>617</v>
      </c>
      <c r="G10" s="41">
        <v>1</v>
      </c>
      <c r="H10" s="166" t="e">
        <f>Equipos!#REF!</f>
        <v>#REF!</v>
      </c>
      <c r="I10" s="166" t="e">
        <f t="shared" ref="I10:I13" si="0">H10*G10</f>
        <v>#REF!</v>
      </c>
      <c r="J10" s="153"/>
      <c r="L10" s="147"/>
    </row>
    <row r="11" spans="3:12" ht="16.5">
      <c r="C11" s="152"/>
      <c r="D11" s="41" t="s">
        <v>619</v>
      </c>
      <c r="E11" s="148" t="s">
        <v>566</v>
      </c>
      <c r="F11" s="41" t="s">
        <v>617</v>
      </c>
      <c r="G11" s="41">
        <v>1</v>
      </c>
      <c r="H11" s="166" t="e">
        <f>Equipos!#REF!</f>
        <v>#REF!</v>
      </c>
      <c r="I11" s="166" t="e">
        <f t="shared" si="0"/>
        <v>#REF!</v>
      </c>
      <c r="J11" s="153"/>
      <c r="L11" s="147"/>
    </row>
    <row r="12" spans="3:12" ht="16.5">
      <c r="C12" s="152"/>
      <c r="D12" s="41" t="s">
        <v>620</v>
      </c>
      <c r="E12" s="148" t="s">
        <v>567</v>
      </c>
      <c r="F12" s="41" t="s">
        <v>617</v>
      </c>
      <c r="G12" s="41">
        <v>1</v>
      </c>
      <c r="H12" s="166" t="e">
        <f>Equipos!#REF!</f>
        <v>#REF!</v>
      </c>
      <c r="I12" s="166" t="e">
        <f t="shared" si="0"/>
        <v>#REF!</v>
      </c>
      <c r="J12" s="153"/>
      <c r="L12" s="147"/>
    </row>
    <row r="13" spans="3:12" ht="16.5">
      <c r="C13" s="152"/>
      <c r="D13" s="41" t="s">
        <v>634</v>
      </c>
      <c r="E13" s="148" t="s">
        <v>635</v>
      </c>
      <c r="F13" s="41" t="s">
        <v>617</v>
      </c>
      <c r="G13" s="41">
        <v>1</v>
      </c>
      <c r="H13" s="166" t="e">
        <f>Equipos!#REF!</f>
        <v>#REF!</v>
      </c>
      <c r="I13" s="166" t="e">
        <f t="shared" si="0"/>
        <v>#REF!</v>
      </c>
      <c r="J13" s="153"/>
      <c r="L13" s="147"/>
    </row>
    <row r="14" spans="3:12" ht="14.25">
      <c r="C14" s="152"/>
      <c r="D14" s="603" t="s">
        <v>636</v>
      </c>
      <c r="E14" s="604"/>
      <c r="F14" s="604"/>
      <c r="G14" s="604"/>
      <c r="H14" s="604"/>
      <c r="I14" s="605"/>
      <c r="J14" s="153"/>
    </row>
    <row r="15" spans="3:12" ht="16.5">
      <c r="C15" s="152"/>
      <c r="D15" s="41" t="s">
        <v>622</v>
      </c>
      <c r="E15" s="203" t="e">
        <f>#REF!</f>
        <v>#REF!</v>
      </c>
      <c r="F15" s="41" t="s">
        <v>617</v>
      </c>
      <c r="G15" s="41">
        <v>1</v>
      </c>
      <c r="H15" s="166" t="e">
        <f>#REF!</f>
        <v>#REF!</v>
      </c>
      <c r="I15" s="166" t="e">
        <f>H15*G15</f>
        <v>#REF!</v>
      </c>
      <c r="J15" s="153"/>
      <c r="L15" s="147"/>
    </row>
    <row r="16" spans="3:12" ht="16.5">
      <c r="C16" s="152"/>
      <c r="D16" s="41" t="s">
        <v>637</v>
      </c>
      <c r="E16" s="148" t="e">
        <f>#REF!</f>
        <v>#REF!</v>
      </c>
      <c r="F16" s="41" t="s">
        <v>617</v>
      </c>
      <c r="G16" s="41">
        <v>1</v>
      </c>
      <c r="H16" s="166" t="e">
        <f>#REF!</f>
        <v>#REF!</v>
      </c>
      <c r="I16" s="166" t="e">
        <f>H16*G16</f>
        <v>#REF!</v>
      </c>
      <c r="J16" s="153"/>
      <c r="L16" s="147"/>
    </row>
    <row r="17" spans="3:12" ht="16.5">
      <c r="C17" s="152"/>
      <c r="D17" s="41" t="s">
        <v>638</v>
      </c>
      <c r="E17" s="148" t="e">
        <f>#REF!</f>
        <v>#REF!</v>
      </c>
      <c r="F17" s="41" t="s">
        <v>617</v>
      </c>
      <c r="G17" s="41">
        <v>1</v>
      </c>
      <c r="H17" s="166" t="e">
        <f>#REF!</f>
        <v>#REF!</v>
      </c>
      <c r="I17" s="166" t="e">
        <f>H17*G17</f>
        <v>#REF!</v>
      </c>
      <c r="J17" s="153"/>
      <c r="L17" s="147"/>
    </row>
    <row r="18" spans="3:12" ht="16.5">
      <c r="C18" s="152"/>
      <c r="D18" s="41" t="s">
        <v>639</v>
      </c>
      <c r="E18" s="148" t="e">
        <f>Equipos!#REF!</f>
        <v>#REF!</v>
      </c>
      <c r="F18" s="41" t="s">
        <v>617</v>
      </c>
      <c r="G18" s="41">
        <v>1</v>
      </c>
      <c r="H18" s="166" t="e">
        <f>Equipos!#REF!</f>
        <v>#REF!</v>
      </c>
      <c r="I18" s="166" t="e">
        <f>H18*G18</f>
        <v>#REF!</v>
      </c>
      <c r="J18" s="153"/>
      <c r="L18" s="147"/>
    </row>
    <row r="19" spans="3:12" ht="14.25">
      <c r="C19" s="152"/>
      <c r="D19" s="603" t="s">
        <v>624</v>
      </c>
      <c r="E19" s="604"/>
      <c r="F19" s="604"/>
      <c r="G19" s="604"/>
      <c r="H19" s="604"/>
      <c r="I19" s="605"/>
      <c r="J19" s="153"/>
    </row>
    <row r="20" spans="3:12" ht="16.5">
      <c r="C20" s="152"/>
      <c r="D20" s="41" t="s">
        <v>625</v>
      </c>
      <c r="E20" s="148">
        <f>'Productos 2'!A6</f>
        <v>0</v>
      </c>
      <c r="F20" s="41" t="s">
        <v>617</v>
      </c>
      <c r="G20" s="41">
        <v>1</v>
      </c>
      <c r="H20" s="166">
        <f>'Productos 2'!N6</f>
        <v>0</v>
      </c>
      <c r="I20" s="166">
        <f>H20*G20</f>
        <v>0</v>
      </c>
      <c r="J20" s="153"/>
      <c r="L20" s="147"/>
    </row>
    <row r="21" spans="3:12" ht="16.5">
      <c r="C21" s="152"/>
      <c r="D21" s="199"/>
      <c r="E21" s="202"/>
      <c r="F21" s="199"/>
      <c r="G21" s="199"/>
      <c r="H21" s="201" t="e">
        <f>H20+H15+H12+H11+H10+H9+H16+H17+H18</f>
        <v>#REF!</v>
      </c>
      <c r="I21" s="200" t="e">
        <f>I20+I15+I12+I11+I10+I9+I16+I17+I18</f>
        <v>#REF!</v>
      </c>
      <c r="J21" s="153"/>
      <c r="L21" s="147"/>
    </row>
    <row r="22" spans="3:12" ht="14.25" thickBot="1">
      <c r="C22" s="154"/>
      <c r="D22" s="42"/>
      <c r="E22" s="164"/>
      <c r="F22" s="42"/>
      <c r="G22" s="42"/>
      <c r="H22" s="167"/>
      <c r="I22" s="167"/>
      <c r="J22" s="155"/>
    </row>
    <row r="23" spans="3:12" s="156" customFormat="1">
      <c r="D23" s="157"/>
      <c r="E23" s="162"/>
      <c r="F23" s="157"/>
      <c r="G23" s="157"/>
      <c r="H23" s="168"/>
      <c r="I23" s="168"/>
    </row>
    <row r="24" spans="3:12" s="156" customFormat="1">
      <c r="D24" s="157"/>
      <c r="E24" s="162"/>
      <c r="F24" s="157"/>
      <c r="G24" s="157"/>
      <c r="H24" s="168"/>
      <c r="I24" s="168"/>
    </row>
    <row r="25" spans="3:12">
      <c r="H25" s="45"/>
      <c r="I25" s="45"/>
    </row>
    <row r="26" spans="3:12">
      <c r="H26" s="45"/>
      <c r="I26" s="45"/>
    </row>
    <row r="27" spans="3:12">
      <c r="H27" s="45"/>
      <c r="I27" s="45"/>
    </row>
    <row r="28" spans="3:12">
      <c r="H28" s="45"/>
      <c r="I28" s="45"/>
    </row>
    <row r="29" spans="3:12">
      <c r="H29" s="45"/>
      <c r="I29" s="45"/>
    </row>
    <row r="30" spans="3:12">
      <c r="H30" s="45"/>
      <c r="I30" s="45"/>
    </row>
    <row r="31" spans="3:12">
      <c r="H31" s="45"/>
      <c r="I31" s="45"/>
    </row>
    <row r="32" spans="3:12">
      <c r="H32" s="45"/>
      <c r="I32" s="45"/>
    </row>
    <row r="38" s="149" customFormat="1"/>
    <row r="39" s="149" customFormat="1"/>
  </sheetData>
  <mergeCells count="5">
    <mergeCell ref="D4:I4"/>
    <mergeCell ref="D7:I7"/>
    <mergeCell ref="D8:I8"/>
    <mergeCell ref="D14:I14"/>
    <mergeCell ref="D19:I19"/>
  </mergeCells>
  <phoneticPr fontId="19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C95E8-33CA-470F-BEB6-11A42BC544C3}">
  <dimension ref="C1:L36"/>
  <sheetViews>
    <sheetView zoomScale="90" zoomScaleNormal="90" workbookViewId="0">
      <selection activeCell="E15" sqref="E15"/>
    </sheetView>
  </sheetViews>
  <sheetFormatPr baseColWidth="10" defaultColWidth="11.42578125" defaultRowHeight="13.5"/>
  <cols>
    <col min="1" max="1" width="11.42578125" style="149"/>
    <col min="2" max="3" width="2.85546875" style="149" customWidth="1"/>
    <col min="4" max="4" width="8.28515625" style="39" customWidth="1"/>
    <col min="5" max="5" width="64.28515625" style="165" customWidth="1"/>
    <col min="6" max="7" width="12.28515625" style="39" customWidth="1"/>
    <col min="8" max="8" width="16.5703125" style="43" bestFit="1" customWidth="1"/>
    <col min="9" max="9" width="18.7109375" style="43" customWidth="1"/>
    <col min="10" max="10" width="2.85546875" style="149" customWidth="1"/>
    <col min="11" max="11" width="4" style="149" customWidth="1"/>
    <col min="12" max="16384" width="11.42578125" style="149"/>
  </cols>
  <sheetData>
    <row r="1" spans="3:12" s="156" customFormat="1" ht="48" customHeight="1">
      <c r="D1" s="157"/>
      <c r="E1" s="162"/>
      <c r="F1" s="157"/>
      <c r="G1" s="157"/>
      <c r="H1" s="159"/>
      <c r="I1" s="159"/>
    </row>
    <row r="2" spans="3:12" s="156" customFormat="1" ht="14.25" thickBot="1">
      <c r="D2" s="157"/>
      <c r="E2" s="158"/>
      <c r="F2" s="157"/>
      <c r="G2" s="157"/>
      <c r="H2" s="159"/>
      <c r="I2" s="159"/>
    </row>
    <row r="3" spans="3:12">
      <c r="C3" s="150"/>
      <c r="D3" s="40"/>
      <c r="E3" s="160"/>
      <c r="F3" s="40"/>
      <c r="G3" s="40"/>
      <c r="H3" s="44"/>
      <c r="I3" s="44"/>
      <c r="J3" s="151"/>
    </row>
    <row r="4" spans="3:12" ht="36.75" customHeight="1" thickBot="1">
      <c r="C4" s="152"/>
      <c r="D4" s="597" t="s">
        <v>610</v>
      </c>
      <c r="E4" s="598"/>
      <c r="F4" s="598"/>
      <c r="G4" s="598"/>
      <c r="H4" s="598"/>
      <c r="I4" s="599"/>
      <c r="J4" s="153"/>
    </row>
    <row r="5" spans="3:12" ht="6" customHeight="1">
      <c r="C5" s="152"/>
      <c r="E5" s="161"/>
      <c r="H5" s="45"/>
      <c r="I5" s="45"/>
      <c r="J5" s="153"/>
    </row>
    <row r="6" spans="3:12" ht="28.5">
      <c r="C6" s="152"/>
      <c r="D6" s="146" t="s">
        <v>611</v>
      </c>
      <c r="E6" s="146" t="s">
        <v>310</v>
      </c>
      <c r="F6" s="146" t="s">
        <v>612</v>
      </c>
      <c r="G6" s="146" t="s">
        <v>8</v>
      </c>
      <c r="H6" s="46" t="s">
        <v>471</v>
      </c>
      <c r="I6" s="46" t="s">
        <v>613</v>
      </c>
      <c r="J6" s="153"/>
    </row>
    <row r="7" spans="3:12" ht="14.25">
      <c r="C7" s="152"/>
      <c r="D7" s="600" t="s">
        <v>614</v>
      </c>
      <c r="E7" s="601"/>
      <c r="F7" s="601"/>
      <c r="G7" s="601"/>
      <c r="H7" s="601"/>
      <c r="I7" s="602"/>
      <c r="J7" s="153"/>
    </row>
    <row r="8" spans="3:12" ht="14.25">
      <c r="C8" s="152"/>
      <c r="D8" s="603" t="s">
        <v>615</v>
      </c>
      <c r="E8" s="604"/>
      <c r="F8" s="604"/>
      <c r="G8" s="604"/>
      <c r="H8" s="604"/>
      <c r="I8" s="605"/>
      <c r="J8" s="153"/>
    </row>
    <row r="9" spans="3:12" ht="16.5">
      <c r="C9" s="152"/>
      <c r="D9" s="41" t="s">
        <v>616</v>
      </c>
      <c r="E9" s="148"/>
      <c r="F9" s="41" t="s">
        <v>617</v>
      </c>
      <c r="G9" s="41">
        <v>1</v>
      </c>
      <c r="H9" s="166" t="e">
        <f>#REF!</f>
        <v>#REF!</v>
      </c>
      <c r="I9" s="166" t="e">
        <f>H9*G9</f>
        <v>#REF!</v>
      </c>
      <c r="J9" s="153"/>
      <c r="L9" s="147"/>
    </row>
    <row r="10" spans="3:12" ht="16.5">
      <c r="C10" s="152"/>
      <c r="D10" s="41" t="s">
        <v>618</v>
      </c>
      <c r="E10" s="148"/>
      <c r="F10" s="41" t="s">
        <v>617</v>
      </c>
      <c r="G10" s="41">
        <v>1</v>
      </c>
      <c r="H10" s="166" t="e">
        <f>#REF!</f>
        <v>#REF!</v>
      </c>
      <c r="I10" s="166" t="e">
        <f t="shared" ref="I10:I12" si="0">H10*G10</f>
        <v>#REF!</v>
      </c>
      <c r="J10" s="153"/>
      <c r="L10" s="147"/>
    </row>
    <row r="11" spans="3:12" ht="16.5">
      <c r="C11" s="152"/>
      <c r="D11" s="41" t="s">
        <v>619</v>
      </c>
      <c r="E11" s="148"/>
      <c r="F11" s="41" t="s">
        <v>617</v>
      </c>
      <c r="G11" s="41">
        <v>1</v>
      </c>
      <c r="H11" s="166" t="e">
        <f>#REF!</f>
        <v>#REF!</v>
      </c>
      <c r="I11" s="166" t="e">
        <f t="shared" si="0"/>
        <v>#REF!</v>
      </c>
      <c r="J11" s="153"/>
      <c r="L11" s="147"/>
    </row>
    <row r="12" spans="3:12" ht="16.5">
      <c r="C12" s="152"/>
      <c r="D12" s="41" t="s">
        <v>620</v>
      </c>
      <c r="E12" s="148"/>
      <c r="F12" s="41" t="s">
        <v>617</v>
      </c>
      <c r="G12" s="41">
        <v>1</v>
      </c>
      <c r="H12" s="166" t="e">
        <f>#REF!</f>
        <v>#REF!</v>
      </c>
      <c r="I12" s="166" t="e">
        <f t="shared" si="0"/>
        <v>#REF!</v>
      </c>
      <c r="J12" s="153"/>
      <c r="L12" s="147"/>
    </row>
    <row r="13" spans="3:12" ht="16.5">
      <c r="C13" s="152"/>
      <c r="D13" s="197"/>
      <c r="E13" s="205"/>
      <c r="F13" s="198"/>
      <c r="G13" s="198"/>
      <c r="H13" s="206"/>
      <c r="I13" s="207"/>
      <c r="J13" s="153"/>
      <c r="L13" s="147"/>
    </row>
    <row r="14" spans="3:12" ht="14.25">
      <c r="C14" s="152"/>
      <c r="D14" s="603" t="s">
        <v>621</v>
      </c>
      <c r="E14" s="604"/>
      <c r="F14" s="604"/>
      <c r="G14" s="604"/>
      <c r="H14" s="604"/>
      <c r="I14" s="605"/>
      <c r="J14" s="153"/>
    </row>
    <row r="15" spans="3:12" ht="16.5">
      <c r="C15" s="152"/>
      <c r="D15" s="41" t="s">
        <v>622</v>
      </c>
      <c r="E15" s="163"/>
      <c r="F15" s="41" t="s">
        <v>617</v>
      </c>
      <c r="G15" s="41">
        <v>1</v>
      </c>
      <c r="H15" s="166"/>
      <c r="I15" s="166">
        <f>H15*G15</f>
        <v>0</v>
      </c>
      <c r="J15" s="153"/>
      <c r="L15" s="147"/>
    </row>
    <row r="16" spans="3:12" ht="14.25">
      <c r="C16" s="152"/>
      <c r="D16" s="603" t="s">
        <v>624</v>
      </c>
      <c r="E16" s="604"/>
      <c r="F16" s="604"/>
      <c r="G16" s="604"/>
      <c r="H16" s="604"/>
      <c r="I16" s="605"/>
      <c r="J16" s="153"/>
    </row>
    <row r="17" spans="3:12" ht="16.5">
      <c r="C17" s="152"/>
      <c r="D17" s="41" t="s">
        <v>625</v>
      </c>
      <c r="E17" s="163"/>
      <c r="F17" s="41" t="s">
        <v>617</v>
      </c>
      <c r="G17" s="41">
        <v>1</v>
      </c>
      <c r="H17" s="166"/>
      <c r="I17" s="166">
        <f>H17*G17</f>
        <v>0</v>
      </c>
      <c r="J17" s="153"/>
      <c r="L17" s="147"/>
    </row>
    <row r="18" spans="3:12" ht="16.5">
      <c r="C18" s="152"/>
      <c r="D18" s="199"/>
      <c r="E18" s="202"/>
      <c r="F18" s="199"/>
      <c r="G18" s="199"/>
      <c r="H18" s="201" t="e">
        <f>H17+H15+H12+H11+H10+H9</f>
        <v>#REF!</v>
      </c>
      <c r="I18" s="200" t="e">
        <f>I17+I15+I12+I11+I10+I9</f>
        <v>#REF!</v>
      </c>
      <c r="J18" s="153"/>
      <c r="L18" s="147"/>
    </row>
    <row r="19" spans="3:12" ht="14.25" thickBot="1">
      <c r="C19" s="154"/>
      <c r="D19" s="42"/>
      <c r="E19" s="164"/>
      <c r="F19" s="42"/>
      <c r="G19" s="42"/>
      <c r="H19" s="167"/>
      <c r="I19" s="167"/>
      <c r="J19" s="155"/>
    </row>
    <row r="20" spans="3:12" s="156" customFormat="1">
      <c r="D20" s="157"/>
      <c r="E20" s="162"/>
      <c r="F20" s="157"/>
      <c r="G20" s="157"/>
      <c r="H20" s="168"/>
      <c r="I20" s="168"/>
    </row>
    <row r="21" spans="3:12" s="156" customFormat="1">
      <c r="D21" s="157"/>
      <c r="E21" s="162"/>
      <c r="F21" s="157"/>
      <c r="G21" s="157"/>
      <c r="H21" s="168"/>
      <c r="I21" s="168"/>
    </row>
    <row r="22" spans="3:12">
      <c r="H22" s="45"/>
      <c r="I22" s="45"/>
    </row>
    <row r="23" spans="3:12">
      <c r="H23" s="45"/>
      <c r="I23" s="45"/>
    </row>
    <row r="24" spans="3:12">
      <c r="H24" s="45"/>
      <c r="I24" s="45"/>
    </row>
    <row r="25" spans="3:12">
      <c r="H25" s="45"/>
      <c r="I25" s="45"/>
    </row>
    <row r="26" spans="3:12">
      <c r="H26" s="45"/>
      <c r="I26" s="45"/>
    </row>
    <row r="27" spans="3:12">
      <c r="H27" s="45"/>
      <c r="I27" s="45"/>
    </row>
    <row r="28" spans="3:12">
      <c r="H28" s="45"/>
      <c r="I28" s="45"/>
    </row>
    <row r="29" spans="3:12">
      <c r="H29" s="45"/>
      <c r="I29" s="45"/>
    </row>
    <row r="35" s="149" customFormat="1"/>
    <row r="36" s="149" customFormat="1"/>
  </sheetData>
  <mergeCells count="5">
    <mergeCell ref="D4:I4"/>
    <mergeCell ref="D7:I7"/>
    <mergeCell ref="D8:I8"/>
    <mergeCell ref="D14:I14"/>
    <mergeCell ref="D16:I16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C347F-DD6B-4DB7-9524-D9EEE5E4025C}">
  <dimension ref="C1:L35"/>
  <sheetViews>
    <sheetView zoomScale="90" zoomScaleNormal="90" workbookViewId="0">
      <selection activeCell="E17" sqref="E17"/>
    </sheetView>
  </sheetViews>
  <sheetFormatPr baseColWidth="10" defaultColWidth="11.42578125" defaultRowHeight="13.5"/>
  <cols>
    <col min="1" max="1" width="11.42578125" style="149"/>
    <col min="2" max="3" width="2.85546875" style="149" customWidth="1"/>
    <col min="4" max="4" width="8.28515625" style="39" customWidth="1"/>
    <col min="5" max="5" width="64.28515625" style="165" customWidth="1"/>
    <col min="6" max="7" width="12.28515625" style="39" customWidth="1"/>
    <col min="8" max="8" width="16.5703125" style="43" bestFit="1" customWidth="1"/>
    <col min="9" max="9" width="18.7109375" style="43" customWidth="1"/>
    <col min="10" max="10" width="2.85546875" style="149" customWidth="1"/>
    <col min="11" max="11" width="4" style="149" customWidth="1"/>
    <col min="12" max="16384" width="11.42578125" style="149"/>
  </cols>
  <sheetData>
    <row r="1" spans="3:12" s="156" customFormat="1" ht="48" customHeight="1">
      <c r="D1" s="157"/>
      <c r="E1" s="162"/>
      <c r="F1" s="157"/>
      <c r="G1" s="157"/>
      <c r="H1" s="159"/>
      <c r="I1" s="159"/>
    </row>
    <row r="2" spans="3:12" s="156" customFormat="1" ht="14.25" thickBot="1">
      <c r="D2" s="157"/>
      <c r="E2" s="158"/>
      <c r="F2" s="157"/>
      <c r="G2" s="157"/>
      <c r="H2" s="159"/>
      <c r="I2" s="159"/>
    </row>
    <row r="3" spans="3:12">
      <c r="C3" s="150"/>
      <c r="D3" s="40"/>
      <c r="E3" s="160"/>
      <c r="F3" s="40"/>
      <c r="G3" s="40"/>
      <c r="H3" s="44"/>
      <c r="I3" s="44"/>
      <c r="J3" s="151"/>
    </row>
    <row r="4" spans="3:12" ht="36.75" customHeight="1" thickBot="1">
      <c r="C4" s="152"/>
      <c r="D4" s="597" t="s">
        <v>610</v>
      </c>
      <c r="E4" s="598"/>
      <c r="F4" s="598"/>
      <c r="G4" s="598"/>
      <c r="H4" s="598"/>
      <c r="I4" s="599"/>
      <c r="J4" s="153"/>
    </row>
    <row r="5" spans="3:12" ht="6" customHeight="1">
      <c r="C5" s="152"/>
      <c r="E5" s="161"/>
      <c r="H5" s="45"/>
      <c r="I5" s="45"/>
      <c r="J5" s="153"/>
    </row>
    <row r="6" spans="3:12" ht="28.5">
      <c r="C6" s="152"/>
      <c r="D6" s="146" t="s">
        <v>611</v>
      </c>
      <c r="E6" s="146" t="s">
        <v>310</v>
      </c>
      <c r="F6" s="146" t="s">
        <v>612</v>
      </c>
      <c r="G6" s="146" t="s">
        <v>8</v>
      </c>
      <c r="H6" s="46" t="s">
        <v>471</v>
      </c>
      <c r="I6" s="46" t="s">
        <v>613</v>
      </c>
      <c r="J6" s="153"/>
    </row>
    <row r="7" spans="3:12" ht="14.25">
      <c r="C7" s="152"/>
      <c r="D7" s="600" t="s">
        <v>614</v>
      </c>
      <c r="E7" s="601"/>
      <c r="F7" s="601"/>
      <c r="G7" s="601"/>
      <c r="H7" s="601"/>
      <c r="I7" s="602"/>
      <c r="J7" s="153"/>
    </row>
    <row r="8" spans="3:12" ht="14.25">
      <c r="C8" s="152"/>
      <c r="D8" s="603" t="s">
        <v>615</v>
      </c>
      <c r="E8" s="604"/>
      <c r="F8" s="604"/>
      <c r="G8" s="604"/>
      <c r="H8" s="604"/>
      <c r="I8" s="605"/>
      <c r="J8" s="153"/>
    </row>
    <row r="9" spans="3:12" ht="16.5">
      <c r="C9" s="152"/>
      <c r="D9" s="41" t="s">
        <v>616</v>
      </c>
      <c r="E9" s="148"/>
      <c r="F9" s="41" t="s">
        <v>617</v>
      </c>
      <c r="G9" s="41">
        <v>1</v>
      </c>
      <c r="H9" s="166" t="e">
        <f>#REF!</f>
        <v>#REF!</v>
      </c>
      <c r="I9" s="166" t="e">
        <f>H9*G9</f>
        <v>#REF!</v>
      </c>
      <c r="J9" s="153"/>
      <c r="L9" s="147"/>
    </row>
    <row r="10" spans="3:12" ht="16.5">
      <c r="C10" s="152"/>
      <c r="D10" s="41" t="s">
        <v>618</v>
      </c>
      <c r="E10" s="148"/>
      <c r="F10" s="41" t="s">
        <v>617</v>
      </c>
      <c r="G10" s="41">
        <v>1</v>
      </c>
      <c r="H10" s="166" t="e">
        <f>#REF!</f>
        <v>#REF!</v>
      </c>
      <c r="I10" s="166" t="e">
        <f t="shared" ref="I10:I12" si="0">H10*G10</f>
        <v>#REF!</v>
      </c>
      <c r="J10" s="153"/>
      <c r="L10" s="147"/>
    </row>
    <row r="11" spans="3:12" ht="16.5">
      <c r="C11" s="152"/>
      <c r="D11" s="41" t="s">
        <v>619</v>
      </c>
      <c r="E11" s="148"/>
      <c r="F11" s="41" t="s">
        <v>617</v>
      </c>
      <c r="G11" s="41">
        <v>1</v>
      </c>
      <c r="H11" s="166" t="e">
        <f>#REF!</f>
        <v>#REF!</v>
      </c>
      <c r="I11" s="166" t="e">
        <f t="shared" si="0"/>
        <v>#REF!</v>
      </c>
      <c r="J11" s="153"/>
      <c r="L11" s="147"/>
    </row>
    <row r="12" spans="3:12" ht="16.5">
      <c r="C12" s="152"/>
      <c r="D12" s="41" t="s">
        <v>620</v>
      </c>
      <c r="E12" s="148"/>
      <c r="F12" s="41" t="s">
        <v>617</v>
      </c>
      <c r="G12" s="41">
        <v>1</v>
      </c>
      <c r="H12" s="166" t="e">
        <f>#REF!</f>
        <v>#REF!</v>
      </c>
      <c r="I12" s="166" t="e">
        <f t="shared" si="0"/>
        <v>#REF!</v>
      </c>
      <c r="J12" s="153"/>
      <c r="L12" s="147"/>
    </row>
    <row r="13" spans="3:12" ht="14.25">
      <c r="C13" s="152"/>
      <c r="D13" s="603" t="s">
        <v>621</v>
      </c>
      <c r="E13" s="604"/>
      <c r="F13" s="604"/>
      <c r="G13" s="604"/>
      <c r="H13" s="604"/>
      <c r="I13" s="605"/>
      <c r="J13" s="153"/>
    </row>
    <row r="14" spans="3:12" ht="16.5">
      <c r="C14" s="152"/>
      <c r="D14" s="41" t="s">
        <v>622</v>
      </c>
      <c r="E14" s="163"/>
      <c r="F14" s="41" t="s">
        <v>617</v>
      </c>
      <c r="G14" s="41">
        <v>1</v>
      </c>
      <c r="H14" s="166"/>
      <c r="I14" s="166">
        <f>H14*G14</f>
        <v>0</v>
      </c>
      <c r="J14" s="153"/>
      <c r="L14" s="147"/>
    </row>
    <row r="15" spans="3:12" ht="14.25">
      <c r="C15" s="152"/>
      <c r="D15" s="603" t="s">
        <v>624</v>
      </c>
      <c r="E15" s="604"/>
      <c r="F15" s="604"/>
      <c r="G15" s="604"/>
      <c r="H15" s="604"/>
      <c r="I15" s="605"/>
      <c r="J15" s="153"/>
    </row>
    <row r="16" spans="3:12" ht="16.5">
      <c r="C16" s="152"/>
      <c r="D16" s="41" t="s">
        <v>625</v>
      </c>
      <c r="E16" s="163"/>
      <c r="F16" s="41" t="s">
        <v>617</v>
      </c>
      <c r="G16" s="41">
        <v>1</v>
      </c>
      <c r="H16" s="166"/>
      <c r="I16" s="166">
        <f>H16*G16</f>
        <v>0</v>
      </c>
      <c r="J16" s="153"/>
      <c r="L16" s="147"/>
    </row>
    <row r="17" spans="3:12" ht="16.5">
      <c r="C17" s="152"/>
      <c r="D17" s="199"/>
      <c r="E17" s="202"/>
      <c r="F17" s="199"/>
      <c r="G17" s="199"/>
      <c r="H17" s="201" t="e">
        <f>H16+H14+H12+H11+H10+H9</f>
        <v>#REF!</v>
      </c>
      <c r="I17" s="200" t="e">
        <f>I16+I14+I12+I11+I10+I9</f>
        <v>#REF!</v>
      </c>
      <c r="J17" s="153"/>
      <c r="L17" s="147"/>
    </row>
    <row r="18" spans="3:12" ht="14.25" thickBot="1">
      <c r="C18" s="154"/>
      <c r="D18" s="42"/>
      <c r="E18" s="164"/>
      <c r="F18" s="42"/>
      <c r="G18" s="42"/>
      <c r="H18" s="167"/>
      <c r="I18" s="167"/>
      <c r="J18" s="155"/>
    </row>
    <row r="19" spans="3:12" s="156" customFormat="1">
      <c r="D19" s="157"/>
      <c r="E19" s="162"/>
      <c r="F19" s="157"/>
      <c r="G19" s="157"/>
      <c r="H19" s="168"/>
      <c r="I19" s="168"/>
    </row>
    <row r="20" spans="3:12" s="156" customFormat="1">
      <c r="D20" s="157"/>
      <c r="E20" s="162"/>
      <c r="F20" s="157"/>
      <c r="G20" s="157"/>
      <c r="H20" s="168"/>
      <c r="I20" s="168"/>
    </row>
    <row r="21" spans="3:12">
      <c r="H21" s="45"/>
      <c r="I21" s="45"/>
    </row>
    <row r="22" spans="3:12">
      <c r="H22" s="45"/>
      <c r="I22" s="45"/>
    </row>
    <row r="23" spans="3:12">
      <c r="H23" s="45"/>
      <c r="I23" s="45"/>
    </row>
    <row r="24" spans="3:12">
      <c r="H24" s="45"/>
      <c r="I24" s="45"/>
    </row>
    <row r="25" spans="3:12">
      <c r="H25" s="45"/>
      <c r="I25" s="45"/>
    </row>
    <row r="26" spans="3:12">
      <c r="H26" s="45"/>
      <c r="I26" s="45"/>
    </row>
    <row r="27" spans="3:12">
      <c r="H27" s="45"/>
      <c r="I27" s="45"/>
    </row>
    <row r="28" spans="3:12">
      <c r="H28" s="45"/>
      <c r="I28" s="45"/>
    </row>
    <row r="34" s="149" customFormat="1"/>
    <row r="35" s="149" customFormat="1"/>
  </sheetData>
  <mergeCells count="5">
    <mergeCell ref="D4:I4"/>
    <mergeCell ref="D7:I7"/>
    <mergeCell ref="D8:I8"/>
    <mergeCell ref="D13:I13"/>
    <mergeCell ref="D15:I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1</vt:i4>
      </vt:variant>
    </vt:vector>
  </HeadingPairs>
  <TitlesOfParts>
    <vt:vector size="37" baseType="lpstr">
      <vt:lpstr>CCTV DISEÑO</vt:lpstr>
      <vt:lpstr>Evaluacion TIR-VAN</vt:lpstr>
      <vt:lpstr>Resumen por Servicio</vt:lpstr>
      <vt:lpstr>RESUMEN</vt:lpstr>
      <vt:lpstr>Resumen para oferta</vt:lpstr>
      <vt:lpstr>COTIZACIÓN </vt:lpstr>
      <vt:lpstr>Equipos</vt:lpstr>
      <vt:lpstr>Productos 2</vt:lpstr>
      <vt:lpstr>Productos 3</vt:lpstr>
      <vt:lpstr>Productos 4</vt:lpstr>
      <vt:lpstr>Productos 5</vt:lpstr>
      <vt:lpstr>MATERIALES</vt:lpstr>
      <vt:lpstr>PRODUCTO G</vt:lpstr>
      <vt:lpstr>PRODUCTO H</vt:lpstr>
      <vt:lpstr>PRODUCTO I</vt:lpstr>
      <vt:lpstr>PRODUCTO J</vt:lpstr>
      <vt:lpstr>PRODUCTO K</vt:lpstr>
      <vt:lpstr>PRODUCTO L</vt:lpstr>
      <vt:lpstr>PRODUCTO M</vt:lpstr>
      <vt:lpstr>PRODUCTO N</vt:lpstr>
      <vt:lpstr>PRODUCTO O</vt:lpstr>
      <vt:lpstr>RESUMEN (OPEX)</vt:lpstr>
      <vt:lpstr>OPEX GV</vt:lpstr>
      <vt:lpstr>MANO DE OBRA </vt:lpstr>
      <vt:lpstr>Transporte</vt:lpstr>
      <vt:lpstr>OPEX Proyecto</vt:lpstr>
      <vt:lpstr>calc mat</vt:lpstr>
      <vt:lpstr>Camara Antivandalica</vt:lpstr>
      <vt:lpstr>BodyCam</vt:lpstr>
      <vt:lpstr>Face Pro</vt:lpstr>
      <vt:lpstr>LPR Patrullas</vt:lpstr>
      <vt:lpstr>Servicio de Analíticas Avanzada</vt:lpstr>
      <vt:lpstr>Servicio BodyCam</vt:lpstr>
      <vt:lpstr>Servicio de Cámara Antivandalic</vt:lpstr>
      <vt:lpstr>Servicio Patrullas</vt:lpstr>
      <vt:lpstr>Servicio de Face Pro</vt:lpstr>
      <vt:lpstr>'COTIZACIÓN 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wally</dc:creator>
  <cp:keywords/>
  <dc:description/>
  <cp:lastModifiedBy>Alessandro  Lazzarotto Castillo</cp:lastModifiedBy>
  <cp:revision/>
  <cp:lastPrinted>2024-07-04T16:44:40Z</cp:lastPrinted>
  <dcterms:created xsi:type="dcterms:W3CDTF">2005-08-25T18:56:44Z</dcterms:created>
  <dcterms:modified xsi:type="dcterms:W3CDTF">2026-02-04T18:14:12Z</dcterms:modified>
  <cp:category/>
  <cp:contentStatus/>
</cp:coreProperties>
</file>