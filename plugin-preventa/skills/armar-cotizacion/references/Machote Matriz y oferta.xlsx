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FC2E0975-6D8E-4A17-94C6-EE36FA1140E2}" xr6:coauthVersionLast="47" xr6:coauthVersionMax="47" xr10:uidLastSave="{00000000-0000-0000-0000-000000000000}"/>
  <bookViews>
    <workbookView xWindow="-110" yWindow="-110" windowWidth="19420" windowHeight="10300" tabRatio="842" firstSheet="27" activeTab="33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  <sheet name="Guia de skills" sheetId="131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8" l="1"/>
  <c r="K7" i="118"/>
  <c r="K6" i="118"/>
  <c r="C16" i="123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C208" i="121"/>
  <c r="C212" i="121" s="1"/>
  <c r="O191" i="121"/>
  <c r="O195" i="121" s="1"/>
  <c r="C191" i="121"/>
  <c r="C195" i="121" s="1"/>
  <c r="O174" i="121"/>
  <c r="O178" i="121" s="1"/>
  <c r="C174" i="121"/>
  <c r="C178" i="121" s="1"/>
  <c r="U157" i="121"/>
  <c r="U161" i="121" s="1"/>
  <c r="O157" i="121"/>
  <c r="O161" i="121" s="1"/>
  <c r="I157" i="121"/>
  <c r="I161" i="121" s="1"/>
  <c r="C157" i="121"/>
  <c r="C161" i="121" s="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C72" i="121"/>
  <c r="C76" i="121" s="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C8" i="121" s="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A117" i="122" s="1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14" i="121"/>
  <c r="C197" i="121"/>
  <c r="C180" i="121"/>
  <c r="C163" i="121"/>
  <c r="C146" i="121"/>
  <c r="C129" i="121"/>
  <c r="C112" i="121"/>
  <c r="C95" i="121"/>
  <c r="C78" i="121"/>
  <c r="C61" i="121"/>
  <c r="C44" i="121"/>
  <c r="C27" i="121"/>
  <c r="C10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J57" i="124" l="1"/>
  <c r="J45" i="124"/>
  <c r="J33" i="124"/>
  <c r="O216" i="121"/>
  <c r="O97" i="121"/>
  <c r="O101" i="121" s="1"/>
  <c r="O103" i="121" s="1"/>
  <c r="U131" i="121"/>
  <c r="O505" i="121"/>
  <c r="J69" i="124"/>
  <c r="J25" i="124"/>
  <c r="J37" i="124"/>
  <c r="J49" i="124"/>
  <c r="J61" i="124"/>
  <c r="C80" i="121"/>
  <c r="C84" i="121" s="1"/>
  <c r="C86" i="121" s="1"/>
  <c r="C199" i="121"/>
  <c r="C203" i="121" s="1"/>
  <c r="C205" i="121" s="1"/>
  <c r="C403" i="121"/>
  <c r="C407" i="121" s="1"/>
  <c r="C409" i="121" s="1"/>
  <c r="K34" i="1"/>
  <c r="L34" i="1" s="1"/>
  <c r="M34" i="1" s="1"/>
  <c r="O199" i="121"/>
  <c r="Q199" i="121" s="1"/>
  <c r="O301" i="121"/>
  <c r="O305" i="121" s="1"/>
  <c r="O307" i="121" s="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C182" i="12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Q488" i="121" s="1"/>
  <c r="A60" i="122"/>
  <c r="B60" i="122" s="1"/>
  <c r="A96" i="122"/>
  <c r="J96" i="122" s="1"/>
  <c r="A59" i="122"/>
  <c r="B59" i="122" s="1"/>
  <c r="A61" i="122"/>
  <c r="E61" i="122" s="1"/>
  <c r="O420" i="121"/>
  <c r="O424" i="121" s="1"/>
  <c r="O426" i="121" s="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B24" i="122" s="1"/>
  <c r="A26" i="122"/>
  <c r="B26" i="122" s="1"/>
  <c r="A111" i="122"/>
  <c r="J111" i="122" s="1"/>
  <c r="A35" i="122"/>
  <c r="B35" i="122" s="1"/>
  <c r="A57" i="122"/>
  <c r="A115" i="122"/>
  <c r="J115" i="122" s="1"/>
  <c r="A97" i="122"/>
  <c r="I97" i="122" s="1"/>
  <c r="A28" i="122"/>
  <c r="B28" i="122" s="1"/>
  <c r="A102" i="122"/>
  <c r="H102" i="122" s="1"/>
  <c r="A42" i="122"/>
  <c r="A71" i="122"/>
  <c r="A105" i="122"/>
  <c r="U80" i="121"/>
  <c r="W80" i="121" s="1"/>
  <c r="A66" i="122"/>
  <c r="E66" i="122" s="1"/>
  <c r="A19" i="122"/>
  <c r="A29" i="122"/>
  <c r="A43" i="122"/>
  <c r="B43" i="122" s="1"/>
  <c r="A107" i="122"/>
  <c r="C107" i="122" s="1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E37" i="122" s="1"/>
  <c r="J5" i="122"/>
  <c r="D61" i="122" s="1"/>
  <c r="A69" i="122"/>
  <c r="H69" i="122" s="1"/>
  <c r="A51" i="122"/>
  <c r="A84" i="122"/>
  <c r="A27" i="122"/>
  <c r="A22" i="122"/>
  <c r="B22" i="122" s="1"/>
  <c r="A31" i="122"/>
  <c r="E31" i="122" s="1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O352" i="121"/>
  <c r="O356" i="121" s="1"/>
  <c r="O358" i="121" s="1"/>
  <c r="I165" i="121"/>
  <c r="K165" i="121" s="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Q216" i="121"/>
  <c r="O220" i="121"/>
  <c r="O222" i="121" s="1"/>
  <c r="I80" i="121"/>
  <c r="O403" i="121"/>
  <c r="I148" i="121"/>
  <c r="O607" i="121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I131" i="121"/>
  <c r="O250" i="121"/>
  <c r="I96" i="122"/>
  <c r="E96" i="122"/>
  <c r="C96" i="122"/>
  <c r="B96" i="122"/>
  <c r="H96" i="122"/>
  <c r="O203" i="121"/>
  <c r="O205" i="121" s="1"/>
  <c r="Q97" i="121"/>
  <c r="O437" i="121"/>
  <c r="O641" i="121"/>
  <c r="O369" i="121"/>
  <c r="I114" i="121"/>
  <c r="O114" i="121"/>
  <c r="O454" i="121"/>
  <c r="Q301" i="121"/>
  <c r="O148" i="121"/>
  <c r="F35" i="120"/>
  <c r="U148" i="121"/>
  <c r="U152" i="121" s="1"/>
  <c r="U154" i="121" s="1"/>
  <c r="J117" i="122"/>
  <c r="O63" i="121"/>
  <c r="O590" i="121"/>
  <c r="H95" i="122"/>
  <c r="F95" i="122"/>
  <c r="D95" i="122"/>
  <c r="I95" i="122"/>
  <c r="E95" i="122"/>
  <c r="O267" i="121"/>
  <c r="I36" i="1"/>
  <c r="K36" i="1" s="1"/>
  <c r="L36" i="1" s="1"/>
  <c r="N36" i="1" s="1"/>
  <c r="O36" i="1" s="1"/>
  <c r="O573" i="121"/>
  <c r="B111" i="122"/>
  <c r="H113" i="122"/>
  <c r="F113" i="122"/>
  <c r="I113" i="122"/>
  <c r="I29" i="121"/>
  <c r="H48" i="1"/>
  <c r="I48" i="1" s="1"/>
  <c r="C93" i="122"/>
  <c r="I93" i="122"/>
  <c r="O386" i="121"/>
  <c r="O165" i="121"/>
  <c r="E59" i="122"/>
  <c r="H33" i="1"/>
  <c r="I33" i="1" s="1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B42" i="122" l="1"/>
  <c r="E42" i="122"/>
  <c r="C105" i="122"/>
  <c r="G105" i="122"/>
  <c r="H105" i="122"/>
  <c r="E84" i="122"/>
  <c r="F84" i="122"/>
  <c r="D57" i="122"/>
  <c r="O509" i="121"/>
  <c r="O511" i="121" s="1"/>
  <c r="Q505" i="121"/>
  <c r="K46" i="121"/>
  <c r="I50" i="121"/>
  <c r="I52" i="121" s="1"/>
  <c r="E182" i="121"/>
  <c r="C186" i="121"/>
  <c r="C188" i="121" s="1"/>
  <c r="U135" i="121"/>
  <c r="U137" i="121" s="1"/>
  <c r="W131" i="121"/>
  <c r="U118" i="121"/>
  <c r="U120" i="121" s="1"/>
  <c r="W114" i="121"/>
  <c r="E199" i="121"/>
  <c r="G75" i="122"/>
  <c r="I75" i="122"/>
  <c r="E60" i="122"/>
  <c r="E80" i="121"/>
  <c r="H93" i="122"/>
  <c r="W97" i="121"/>
  <c r="F93" i="122"/>
  <c r="E93" i="122"/>
  <c r="B20" i="122"/>
  <c r="J75" i="122"/>
  <c r="G93" i="122"/>
  <c r="W165" i="121"/>
  <c r="B61" i="122"/>
  <c r="W29" i="121"/>
  <c r="U84" i="121"/>
  <c r="U86" i="121" s="1"/>
  <c r="F96" i="122"/>
  <c r="D42" i="122"/>
  <c r="F42" i="122" s="1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D107" i="122"/>
  <c r="C87" i="122"/>
  <c r="E79" i="122"/>
  <c r="Q131" i="121"/>
  <c r="F107" i="122"/>
  <c r="C113" i="122"/>
  <c r="B34" i="122"/>
  <c r="G95" i="122"/>
  <c r="Q539" i="121"/>
  <c r="F115" i="122"/>
  <c r="D60" i="122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F34" i="122" s="1"/>
  <c r="D75" i="122"/>
  <c r="E25" i="122"/>
  <c r="B55" i="122"/>
  <c r="D27" i="122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L51" i="1" s="1"/>
  <c r="M51" i="1" s="1"/>
  <c r="E165" i="121"/>
  <c r="E63" i="121"/>
  <c r="K44" i="1"/>
  <c r="L44" i="1" s="1"/>
  <c r="N44" i="1" s="1"/>
  <c r="O44" i="1" s="1"/>
  <c r="F87" i="122"/>
  <c r="Q471" i="121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24" i="122" l="1"/>
  <c r="F60" i="122"/>
  <c r="F57" i="122"/>
  <c r="F39" i="122"/>
  <c r="F49" i="122"/>
  <c r="F43" i="122"/>
  <c r="F26" i="122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D37" i="118"/>
  <c r="D6" i="118"/>
  <c r="N54" i="1" l="1"/>
  <c r="O54" i="1" s="1"/>
  <c r="M54" i="1"/>
  <c r="P27" i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P39" i="1" l="1"/>
  <c r="I55" i="119"/>
  <c r="J55" i="119" s="1"/>
  <c r="N24" i="118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 l="1"/>
  <c r="H27" i="122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l="1"/>
  <c r="H32" i="122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J40" i="122" l="1"/>
  <c r="H41" i="122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G14" i="101" s="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G15" i="104" s="1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G15" i="105" s="1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G9" i="107" s="1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G7" i="108" s="1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G17" i="109" s="1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G15" i="111" s="1"/>
  <c r="H15" i="111" s="1"/>
  <c r="F16" i="111"/>
  <c r="G16" i="111" s="1"/>
  <c r="F17" i="111"/>
  <c r="G17" i="111" s="1"/>
  <c r="H17" i="111" s="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G11" i="113" s="1"/>
  <c r="H11" i="113" s="1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E17" i="111"/>
  <c r="E16" i="11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E9" i="107"/>
  <c r="E8" i="107"/>
  <c r="E7" i="107"/>
  <c r="F6" i="107"/>
  <c r="H6" i="107" s="1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M15" i="111" l="1"/>
  <c r="N15" i="111" s="1"/>
  <c r="O15" i="111" s="1"/>
  <c r="K15" i="111"/>
  <c r="J50" i="122"/>
  <c r="K14" i="109"/>
  <c r="J26" i="103"/>
  <c r="K26" i="103" s="1"/>
  <c r="L26" i="103" s="1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J8" i="100" s="1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B5" i="15"/>
  <c r="J19" i="101" l="1"/>
  <c r="J51" i="122"/>
  <c r="J9" i="101"/>
  <c r="L27" i="103"/>
  <c r="J32" i="103"/>
  <c r="K32" i="103" s="1"/>
  <c r="L32" i="103" s="1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N13" i="103" s="1"/>
  <c r="O13" i="103" s="1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N16" i="103" s="1"/>
  <c r="O16" i="103" s="1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N14" i="103" s="1"/>
  <c r="O14" i="103" s="1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F11" i="120" l="1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K19" i="103" s="1"/>
  <c r="M19" i="103" s="1"/>
  <c r="J17" i="103"/>
  <c r="K17" i="103" s="1"/>
  <c r="K22" i="103"/>
  <c r="M22" i="103" s="1"/>
  <c r="K21" i="103"/>
  <c r="L21" i="103"/>
  <c r="M21" i="103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M8" i="103"/>
  <c r="C9" i="120" l="1"/>
  <c r="C9" i="15"/>
  <c r="F9" i="15" s="1"/>
  <c r="N8" i="103"/>
  <c r="O8" i="103" s="1"/>
  <c r="O46" i="103" s="1"/>
  <c r="G23" i="59"/>
  <c r="C12" i="15"/>
  <c r="F9" i="120" l="1"/>
  <c r="C12" i="120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F12" i="120" l="1"/>
  <c r="G9" i="120"/>
  <c r="G12" i="120" s="1"/>
  <c r="D8" i="120"/>
  <c r="D7" i="120"/>
  <c r="D6" i="120"/>
  <c r="D4" i="120"/>
  <c r="D5" i="120"/>
  <c r="D11" i="120"/>
  <c r="C16" i="120"/>
  <c r="D10" i="120"/>
  <c r="D9" i="120"/>
  <c r="K30" i="117"/>
  <c r="K31" i="117" s="1"/>
  <c r="K39" i="117" s="1"/>
  <c r="C15" i="15"/>
  <c r="C20" i="15" s="1"/>
  <c r="D12" i="15"/>
  <c r="J9" i="59"/>
  <c r="I22" i="59"/>
  <c r="I23" i="59" s="1"/>
  <c r="B33" i="83"/>
  <c r="K3" i="15"/>
  <c r="I15" i="120" l="1"/>
  <c r="I17" i="120" s="1"/>
  <c r="I23" i="120" s="1"/>
  <c r="C15" i="120"/>
  <c r="D12" i="120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17" i="120" l="1"/>
  <c r="C20" i="120"/>
  <c r="C29" i="15"/>
  <c r="D29" i="15" s="1"/>
  <c r="D26" i="15"/>
  <c r="H16" i="59"/>
  <c r="H18" i="59" s="1"/>
  <c r="H29" i="59" s="1"/>
  <c r="H36" i="59" s="1"/>
  <c r="I6" i="59"/>
  <c r="C21" i="120" l="1"/>
  <c r="C24" i="120" s="1"/>
  <c r="D25" i="120" s="1"/>
  <c r="C25" i="120" s="1"/>
  <c r="C26" i="120" s="1"/>
  <c r="J6" i="59"/>
  <c r="I16" i="59"/>
  <c r="I18" i="59" s="1"/>
  <c r="I29" i="59" s="1"/>
  <c r="I36" i="59" s="1"/>
  <c r="G18" i="59"/>
  <c r="G29" i="59" s="1"/>
  <c r="G36" i="59" s="1"/>
  <c r="H43" i="59"/>
  <c r="H46" i="59" s="1"/>
  <c r="C29" i="120" l="1"/>
  <c r="D29" i="120" s="1"/>
  <c r="D26" i="120"/>
  <c r="I43" i="59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<sst xmlns="http://schemas.openxmlformats.org/spreadsheetml/2006/main" count="3756" uniqueCount="923">
  <si>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</si>
  <si>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</si>
  <si>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</si>
  <si>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</si>
  <si>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</si>
  <si>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</si>
  <si>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</si>
  <si>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</si>
  <si>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</si>
  <si>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</si>
  <si>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</si>
  <si>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</si>
  <si>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</si>
  <si>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</si>
  <si>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</si>
  <si>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</si>
  <si>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</si>
  <si>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</si>
  <si>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</si>
  <si>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</si>
  <si>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</si>
  <si>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</si>
  <si>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</si>
  <si>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</si>
  <si>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</si>
  <si>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</si>
  <si>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</si>
  <si>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</si>
  <si>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</si>
  <si>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</si>
  <si>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</si>
  <si>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</si>
  <si>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</si>
  <si>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</si>
  <si>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</si>
  <si>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</si>
  <si>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</si>
  <si>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</si>
  <si>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</si>
  <si>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</si>
  <si>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</si>
  <si>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</si>
  <si>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</si>
  <si>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</si>
  <si>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</si>
  <si>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</si>
  <si>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</si>
  <si>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</si>
  <si>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</si>
  <si>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</si>
  <si>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</si>
  <si>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</si>
  <si>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</si>
  <si>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</si>
  <si>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</si>
  <si>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</si>
  <si>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</si>
  <si>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</si>
  <si>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</si>
  <si>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</si>
  <si>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</si>
  <si>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</si>
  <si>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</si>
  <si>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</si>
  <si>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</si>
  <si>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</si>
  <si>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</si>
  <si>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</si>
  <si>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</si>
  <si>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</si>
  <si>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</si>
  <si>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</si>
  <si>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</si>
  <si>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</si>
  <si>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</si>
  <si>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</si>
  <si>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</si>
  <si>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</si>
  <si>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</si>
  <si>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</si>
  <si>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</si>
  <si>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</si>
  <si>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</si>
  <si>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</si>
  <si>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</si>
  <si>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</si>
  <si>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</si>
  <si>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</si>
  <si>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</si>
  <si>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</si>
  <si>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</si>
  <si>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</si>
  <si>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</si>
  <si>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</si>
  <si>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</si>
  <si>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</si>
  <si>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</si>
  <si>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</si>
  <si>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</si>
  <si>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</si>
  <si>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</si>
  <si>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</si>
  <si>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</si>
  <si>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</si>
  <si>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</si>
  <si>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</si>
  <si>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</si>
  <si>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</si>
  <si>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</si>
  <si>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</si>
  <si>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</si>
  <si>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</si>
  <si>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</si>
  <si>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</si>
  <si>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</si>
  <si>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</si>
  <si>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</si>
  <si>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</si>
  <si>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</si>
  <si>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</si>
  <si>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</si>
  <si>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</si>
  <si>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</si>
  <si>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</si>
  <si>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</si>
  <si>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</si>
  <si>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</si>
  <si>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</si>
  <si>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</si>
  <si>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</si>
  <si>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</si>
  <si>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</si>
  <si>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</si>
  <si>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</si>
  <si>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</si>
  <si>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</si>
  <si>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</si>
  <si>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</si>
  <si>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</si>
  <si>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</si>
  <si>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</si>
  <si>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</si>
  <si>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</si>
  <si>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</si>
  <si>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</si>
  <si>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</si>
  <si>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</si>
  <si>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</si>
  <si>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</si>
  <si>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</si>
  <si>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</si>
  <si>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</si>
  <si>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</si>
  <si>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</si>
  <si>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</si>
  <si>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</si>
  <si>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</si>
  <si>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</si>
  <si>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</si>
  <si>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</si>
  <si>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</si>
  <si>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</si>
  <si>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</si>
  <si>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</si>
  <si>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</si>
  <si>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</si>
  <si>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</si>
  <si>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</si>
  <si>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</si>
  <si>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</si>
  <si>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</si>
  <si>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</si>
  <si>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</si>
  <si>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</si>
  <si>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</si>
  <si>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</si>
  <si>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</si>
  <si>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</si>
  <si>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</si>
  <si>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</si>
  <si>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</si>
  <si>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</si>
  <si>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</si>
  <si>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</si>
  <si>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</si>
  <si>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</si>
  <si>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</si>
  <si>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</si>
  <si>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</si>
  <si>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</si>
  <si>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</si>
  <si>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</si>
  <si>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</si>
  <si>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</si>
  <si>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</si>
  <si>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</si>
  <si>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</si>
  <si>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</si>
  <si>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</si>
  <si>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</si>
  <si>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</si>
  <si>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</si>
  <si>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</si>
  <si>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</si>
  <si>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</si>
  <si>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</si>
  <si>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</si>
  <si>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</si>
  <si>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</si>
  <si>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</si>
  <si>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</si>
  <si>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</si>
  <si>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</si>
  <si>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</si>
  <si>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</si>
  <si>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</si>
  <si>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</si>
  <si>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</si>
  <si>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</si>
  <si>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</si>
  <si>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</si>
  <si>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</si>
  <si>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</si>
  <si>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</si>
  <si>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</si>
  <si>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</si>
  <si>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</si>
  <si>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</si>
  <si>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</si>
  <si>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</si>
  <si>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</si>
  <si>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</si>
  <si>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</si>
  <si>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</si>
  <si>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</si>
  <si>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</si>
  <si>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</si>
  <si>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</si>
  <si>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</si>
  <si>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</si>
  <si>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</si>
  <si>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</si>
  <si>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</si>
  <si>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</si>
  <si>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</si>
  <si>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</si>
  <si>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</si>
  <si>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</si>
  <si>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</si>
  <si>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</si>
  <si>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</si>
  <si>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</si>
  <si>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</si>
  <si>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</si>
  <si>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</si>
  <si>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</si>
  <si>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</si>
  <si>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</si>
  <si>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</si>
  <si>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</si>
  <si>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</si>
  <si>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</si>
  <si>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</si>
  <si>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</si>
  <si>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</si>
  <si>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</si>
  <si>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</si>
  <si>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</si>
  <si>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</si>
  <si>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</si>
  <si>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</si>
  <si>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</si>
  <si>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</si>
  <si>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</si>
  <si>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</si>
  <si>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</si>
  <si>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</si>
  <si>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</si>
  <si>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</si>
  <si>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</si>
  <si>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</si>
  <si>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</si>
  <si>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</si>
  <si>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</si>
  <si>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</si>
  <si>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</si>
  <si>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</si>
  <si>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</si>
  <si>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</si>
  <si>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</si>
  <si>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</si>
  <si>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</si>
  <si>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</si>
  <si>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</si>
  <si>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</si>
  <si>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</si>
  <si>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</si>
  <si>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</si>
  <si>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</si>
  <si>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</si>
  <si>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</si>
  <si>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</si>
  <si>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</si>
  <si>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</si>
  <si>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</si>
  <si>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</si>
  <si>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</si>
  <si>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</si>
  <si>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</si>
  <si>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</si>
  <si>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</si>
  <si>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</si>
  <si>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</si>
  <si>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</si>
  <si>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</si>
  <si>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</si>
  <si>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</si>
  <si>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</si>
  <si>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</si>
  <si>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</si>
  <si>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</si>
  <si>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</si>
  <si>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</si>
  <si>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</si>
  <si>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</si>
  <si>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</si>
  <si>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</si>
  <si>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</si>
  <si>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</si>
  <si>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</si>
  <si>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</si>
  <si>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</si>
  <si>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</si>
  <si>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</si>
  <si>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</si>
  <si>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</si>
  <si>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</si>
  <si>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</si>
  <si>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</si>
  <si>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</si>
  <si>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</si>
  <si>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</si>
  <si>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</si>
  <si>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</si>
  <si>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</si>
  <si>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</si>
  <si>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</si>
  <si>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</si>
  <si>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</si>
  <si>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</si>
  <si>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</si>
  <si>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</si>
  <si>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</si>
  <si>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</si>
  <si>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</si>
  <si>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</si>
  <si>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</si>
  <si>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</si>
  <si>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</si>
  <si>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</si>
  <si>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</si>
  <si>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</si>
  <si>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</si>
  <si>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</si>
  <si>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</si>
  <si>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</si>
  <si>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</si>
  <si>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</si>
  <si>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</si>
  <si>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</si>
  <si>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</si>
  <si>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</si>
  <si>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</si>
  <si>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</si>
  <si>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</si>
  <si>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</si>
  <si>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</si>
  <si>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</si>
  <si>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</si>
  <si>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</si>
  <si>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</si>
  <si>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</si>
  <si>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</si>
  <si>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</si>
  <si>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</si>
  <si>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</si>
  <si>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</si>
  <si>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</si>
  <si>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</si>
  <si>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</si>
  <si>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</si>
  <si>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</si>
  <si>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</si>
  <si>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</si>
  <si>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</si>
  <si>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</si>
  <si>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</si>
  <si>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</si>
  <si>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</si>
  <si>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</si>
  <si>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</si>
  <si>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</si>
  <si>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</si>
  <si>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</si>
  <si>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</si>
  <si>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</si>
  <si>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</si>
  <si>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</si>
  <si>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</si>
  <si>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</si>
  <si>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</si>
  <si>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</si>
  <si>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</si>
  <si>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</si>
  <si>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</si>
  <si>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</si>
  <si>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</si>
  <si>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</si>
  <si>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</si>
  <si>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</si>
  <si>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</si>
  <si>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</si>
  <si>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</si>
  <si>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</si>
  <si>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</si>
  <si>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</si>
  <si>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</si>
  <si>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</si>
  <si>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</si>
  <si>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</si>
  <si>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</si>
  <si>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</si>
  <si>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</si>
  <si>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</si>
  <si>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</si>
  <si>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</si>
  <si>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</si>
  <si>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</si>
  <si>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</si>
  <si>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</si>
  <si>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</si>
  <si>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</si>
  <si>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</si>
  <si>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</si>
  <si>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</si>
  <si>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</si>
  <si>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</si>
  <si>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</si>
  <si>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</si>
  <si>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</si>
  <si>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</si>
  <si>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</si>
  <si>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</si>
  <si>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</si>
  <si>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</si>
  <si>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</si>
  <si>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</si>
  <si>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</si>
  <si>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</si>
  <si>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</si>
  <si>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</si>
  <si>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</si>
  <si>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</si>
  <si>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</si>
  <si>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</si>
  <si>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</si>
  <si>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</si>
  <si>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</si>
  <si>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</si>
  <si>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</si>
  <si>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</si>
  <si>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</si>
  <si>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</si>
  <si>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</si>
  <si>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</si>
  <si>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</si>
  <si>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</si>
  <si>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</si>
  <si>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</si>
  <si>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</si>
  <si>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</si>
  <si>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</si>
  <si>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</si>
  <si>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</si>
  <si>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</si>
  <si>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</si>
  <si>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</si>
  <si>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</si>
  <si>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</si>
  <si>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</si>
  <si>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</si>
  <si>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</si>
  <si>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</si>
  <si>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</si>
  <si>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</si>
  <si>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</si>
  <si>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</si>
  <si>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</si>
  <si>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</si>
  <si>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</si>
  <si>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</si>
  <si>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</si>
  <si>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</si>
  <si>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</si>
  <si>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</si>
  <si>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</si>
  <si>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</si>
  <si>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</si>
  <si>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</si>
  <si>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</si>
  <si>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</si>
  <si>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</si>
  <si>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</si>
  <si>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</si>
  <si>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</si>
  <si>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</si>
  <si>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</si>
  <si>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</si>
  <si>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</si>
  <si>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</si>
  <si>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</si>
  <si>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</si>
  <si>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</si>
  <si>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</si>
  <si>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</si>
  <si>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</si>
  <si>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</si>
  <si>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</si>
  <si>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</si>
  <si>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</si>
  <si>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</si>
  <si>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</si>
  <si>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</si>
  <si>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</si>
  <si>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</si>
  <si>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</si>
  <si>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</si>
  <si>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</si>
  <si>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</si>
  <si>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</si>
  <si>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</si>
  <si>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</si>
  <si>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</si>
  <si>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</si>
  <si>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</si>
  <si>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</si>
  <si>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</si>
  <si>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</si>
  <si>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</si>
  <si>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</si>
  <si>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</si>
  <si>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</si>
  <si>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</si>
  <si>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</si>
  <si>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</si>
  <si>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</si>
  <si>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</si>
  <si>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</si>
  <si>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</si>
  <si>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</si>
  <si>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</si>
  <si>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</si>
  <si>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</si>
  <si>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</si>
  <si>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</si>
  <si>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</si>
  <si>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</si>
  <si>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</si>
  <si>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</si>
  <si>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</si>
  <si>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</si>
  <si>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</si>
  <si>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</si>
  <si>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</si>
  <si>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</si>
  <si>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</si>
  <si>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</si>
  <si>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</si>
  <si>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</si>
  <si>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</si>
  <si>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</si>
  <si>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</si>
  <si>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</si>
  <si>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</si>
  <si>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</si>
  <si>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</si>
  <si>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</si>
  <si>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</si>
  <si>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</si>
  <si>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</si>
  <si>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</si>
  <si>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</si>
  <si>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</si>
  <si>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</si>
  <si>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</si>
  <si>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</si>
  <si>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</si>
  <si>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</si>
  <si>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</si>
  <si>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</si>
  <si>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</si>
  <si>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</si>
  <si>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</si>
  <si>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</si>
  <si>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</si>
  <si>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</si>
  <si>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</si>
  <si>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</si>
  <si>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</si>
  <si>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</si>
  <si>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</si>
  <si>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</si>
  <si>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</si>
  <si>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</si>
  <si>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</si>
  <si>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</si>
  <si>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</si>
  <si>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</si>
  <si>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</si>
  <si>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</si>
  <si>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</si>
  <si>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</si>
  <si>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</si>
  <si>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</si>
  <si>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</si>
  <si>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</si>
  <si>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</si>
  <si>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</si>
  <si>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</si>
  <si>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</si>
  <si>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</si>
  <si>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</si>
  <si>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</si>
  <si>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</si>
  <si>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</si>
  <si>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</si>
  <si>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</si>
  <si>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</si>
  <si>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</si>
  <si>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</si>
  <si>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</si>
  <si>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</si>
  <si>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</si>
  <si>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</si>
  <si>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</si>
  <si>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</si>
  <si>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</si>
  <si>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</si>
  <si>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</si>
  <si>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</si>
  <si>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</si>
  <si>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</si>
  <si>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</si>
  <si>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</si>
  <si>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</si>
  <si>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</si>
  <si>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</si>
  <si>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</si>
  <si>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</si>
  <si>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</si>
  <si>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</si>
  <si>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</si>
  <si>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</si>
  <si>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</si>
  <si>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</si>
  <si>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</si>
  <si>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</si>
  <si>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</si>
  <si>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</si>
  <si>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</si>
  <si>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</si>
  <si>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</si>
  <si>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</si>
  <si>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</si>
  <si>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</si>
  <si>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</si>
  <si>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</si>
  <si>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</si>
  <si>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</si>
  <si>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</si>
  <si>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</si>
  <si>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</si>
  <si>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</si>
  <si>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</si>
  <si>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</si>
  <si>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</si>
  <si>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</si>
  <si>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</si>
  <si>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</si>
  <si>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</si>
  <si>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</si>
  <si>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</si>
  <si>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</si>
  <si>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</si>
  <si>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</si>
  <si>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</si>
  <si>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</si>
  <si>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</si>
  <si>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</si>
  <si>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</si>
  <si>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</si>
  <si>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</si>
  <si>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</si>
  <si>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</si>
  <si>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</si>
  <si>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</si>
  <si>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</si>
  <si>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</si>
  <si>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</si>
  <si>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</si>
  <si>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</si>
  <si>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</si>
  <si>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</si>
  <si>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</si>
  <si>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</si>
  <si>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</si>
  <si>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</si>
  <si>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</si>
  <si>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</si>
  <si>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</si>
  <si>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</si>
  <si>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</si>
  <si>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</si>
  <si>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</si>
  <si>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</si>
  <si>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</si>
  <si>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</si>
  <si>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</si>
  <si>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</si>
  <si>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</si>
  <si>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</si>
  <si>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</si>
  <si>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</si>
  <si>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</si>
  <si>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</si>
  <si>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</si>
  <si>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</si>
  <si>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</si>
  <si>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</si>
  <si>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</si>
  <si>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</si>
  <si>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</si>
  <si>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</si>
  <si>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</si>
  <si>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</si>
  <si>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</si>
  <si>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</si>
  <si>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</si>
  <si>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</si>
  <si>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</si>
  <si>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</si>
  <si>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</si>
  <si>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</si>
  <si>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</si>
  <si>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</si>
  <si>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</si>
  <si>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</si>
  <si>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</si>
  <si>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</si>
  <si>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</si>
  <si>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</si>
  <si>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</si>
  <si>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</si>
  <si>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</si>
  <si>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</si>
  <si>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</si>
  <si>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</si>
  <si>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</si>
  <si>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</si>
  <si>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</si>
  <si>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</si>
  <si>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</si>
  <si>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</si>
  <si>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</si>
  <si>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</si>
  <si>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</si>
  <si>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</si>
  <si>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</si>
  <si>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</si>
  <si>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</si>
  <si>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</si>
  <si>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</si>
  <si>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</si>
  <si>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</si>
  <si>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</si>
  <si>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</si>
  <si>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</si>
  <si>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</si>
  <si>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</si>
  <si>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</si>
  <si>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</si>
  <si>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</si>
  <si>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</si>
  <si>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</si>
  <si>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</si>
  <si>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</si>
  <si>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</si>
  <si>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</si>
  <si>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Cuantas unidades pide el proyecto. Si no la sabes, preguntala. No la estimes.</t>
  </si>
  <si>
    <t>Medido: sobre 10 unidades de 100 dolares, la diferencia entre 'si' y 'no' es de 387,24 dolares, un 26,5%. Excel no muestra ningun error.</t>
  </si>
  <si>
    <t xml:space="preserve">  LAS OTRAS TRES GUIAS, AL FINAL DEL LIBRO</t>
  </si>
  <si>
    <t>Que hace cada pestana de trabajo, que se escribe a mano y que sale solo.</t>
  </si>
  <si>
    <t>Guia de skills</t>
  </si>
  <si>
    <t>Como pedirle a la IA que haga cada parte del trabajo, y para que sirve cada skill.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</si>
  <si>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</si>
  <si>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</si>
  <si>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</si>
  <si>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</si>
  <si>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</si>
  <si>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</si>
  <si>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</si>
  <si>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</si>
  <si>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</si>
  <si>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</si>
  <si>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</si>
  <si>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</si>
  <si>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</si>
  <si>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</si>
  <si>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</si>
  <si>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</si>
  <si>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</si>
  <si>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</si>
  <si>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</si>
  <si>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</si>
  <si>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</si>
  <si>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</si>
  <si>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</si>
  <si>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</si>
  <si>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</si>
  <si>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</si>
  <si>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</si>
  <si>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</si>
  <si>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</si>
  <si>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</si>
  <si>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</si>
  <si>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</si>
  <si>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</si>
  <si>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</si>
  <si>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</si>
  <si>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</si>
  <si>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</si>
  <si>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</si>
  <si>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</si>
  <si>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</si>
  <si>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</si>
  <si>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</si>
  <si>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</si>
  <si>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</si>
  <si>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</si>
  <si>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</si>
  <si>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</si>
  <si>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</si>
  <si>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</si>
  <si>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</si>
  <si>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</si>
  <si>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</si>
  <si>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</si>
  <si>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</si>
  <si>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GUIA DE SKILLS</t>
  </si>
  <si>
    <t>Como pedirle a la IA que haga cada parte del trabajo. No hay botones: se le escribe en espanol, como a una persona.</t>
  </si>
  <si>
    <t xml:space="preserve">  COMO SE USA ESTO</t>
  </si>
  <si>
    <t>Los skills son instrucciones que la IA ya tiene cargadas. No se 'abren' ni se eligen de una lista: la IA reconoce sola cual le toca por lo que vos le pedis. Escribile en espanol normal.</t>
  </si>
  <si>
    <t>Si solo vas a pedir una cosa, el que casi siempre queres es 'nueva-cotizacion': el pide lo que falte y llama a los demas en el orden correcto.</t>
  </si>
  <si>
    <t>Podes nombrar un skill explicitamente si queres solo ese paso, por ejemplo: 'usa buscar-equipo y mostrame camaras de 4MP exteriores'.</t>
  </si>
  <si>
    <t xml:space="preserve">  LOS SKILLS, UNO POR UNO</t>
  </si>
  <si>
    <t>Skill</t>
  </si>
  <si>
    <t>Ejemplo de lo que le escribis</t>
  </si>
  <si>
    <t>Estado</t>
  </si>
  <si>
    <t>nueva-cotizacion</t>
  </si>
  <si>
    <t>Necesito cotizarle a la Municipalidad X unas 20 camaras exteriores de 4MP con IR para el parque central. Es un estudio de mercado.</t>
  </si>
  <si>
    <t>Funcional</t>
  </si>
  <si>
    <t>buscar-equipo</t>
  </si>
  <si>
    <t>Buscame camaras que cumplan: minimo 4MP, IP67, NDAA, lente varifocal 2.8-12mm.</t>
  </si>
  <si>
    <t>armar-cotizacion</t>
  </si>
  <si>
    <t>Arma la carpeta de esta cotizacion y cargale el equipo que acabamos de elegir.</t>
  </si>
  <si>
    <t>actualizar-catalogo</t>
  </si>
  <si>
    <t>Llego la lista de precios nueva de este proveedor, actualizame el catalogo.</t>
  </si>
  <si>
    <t>verificar-entorno</t>
  </si>
  <si>
    <t>Revisa que accesos estan listos: la carpeta compartida, el catalogo, los dos Excels de control, Bitrix. Entrega un checklist de lo que falta. Tambien explica la instalacion completa para alguien que entra nuevo.</t>
  </si>
  <si>
    <t>Revisa si tengo todo lo que necesito para trabajar.</t>
  </si>
  <si>
    <t>seguimiento-correo</t>
  </si>
  <si>
    <t>Redacta el borrador de un correo de seguimiento al cliente sobre una cotizacion. NUNCA lo envia: solo escribe el texto para que vos lo revises, adjuntes el PDF y lo mandes a mano.</t>
  </si>
  <si>
    <t>Escribime un correo de seguimiento para esta cotizacion, que ya lleva dos semanas enviada.</t>
  </si>
  <si>
    <t>generar-pdf-cotizacion</t>
  </si>
  <si>
    <t>La cotizacion ya quedo lista, generame el PDF.</t>
  </si>
  <si>
    <t>sync-bitrix</t>
  </si>
  <si>
    <t>Actualiza la tarjeta de la cotizacion en el tablero de Bitrix24 al cerrarla.</t>
  </si>
  <si>
    <t>Subi esta cotizacion cerrada a Bitrix.</t>
  </si>
  <si>
    <t>En espera del acceso a Bitrix</t>
  </si>
  <si>
    <t xml:space="preserve">  LO QUE LA IA NUNCA HACE SOLA</t>
  </si>
  <si>
    <t>-   No inventa una cantidad, un costo ni una caracteristica. Si le falta un dato, pregunta. Si preferis que asuma algo, se lo tenes que decir vos.</t>
  </si>
  <si>
    <t>-   No escribe en la carpeta de clientes ni en los Excels de control sin mostrarte antes exactamente que va a escribir y esperar que lo confirmes.</t>
  </si>
  <si>
    <t>-   No manda correos. Los redacta y te los deja para que vos los revises y los envies.</t>
  </si>
  <si>
    <t>-   No elige por vos entre varios equipos que cumplen: te muestra todos con sus diferencias.</t>
  </si>
  <si>
    <t>-   No cambia una formula del machote. Solo escribe las cuatro columnas de entrada.</t>
  </si>
  <si>
    <t xml:space="preserve">  SI ALGO SALE MAL</t>
  </si>
  <si>
    <t>-   Si dice que no encuentra una carpeta o un archivo, pedile: 'corre verificar-entorno'. Te dice que acceso falta.</t>
  </si>
  <si>
    <t>-   Si te propone un equipo que no cumple, decile en que no cumple: aprende dentro de esa conversacion y vuelve a buscar.</t>
  </si>
  <si>
    <t>-   Si escribio algo mal en el Excel, decile que lo corrija indicando la celda. No lo arregles a mano sin avisarle, porque despues sigue trabajando sobre lo que el cree que quedo.</t>
  </si>
  <si>
    <t>OJO: el hospedaje (col. J) se multiplica solo por dias, no por personas. Si dos tecnicos duermen fuera se esta cobrando una sola habitacion. Pendiente de confirmar con preventa.</t>
  </si>
  <si>
    <t>TARIFAS DE REFERENCIA (medidas sobre 649 cotizaciones reales, 2025-2026)</t>
  </si>
  <si>
    <t>Hora hombre ,90  -  se uso en el 99% de las cotizaciones</t>
  </si>
  <si>
    <t>Precio por dia   -  confirmado por preventa</t>
  </si>
  <si>
    <t>Alimentacion  por dia y persona  -  el 88% de los casos</t>
  </si>
  <si>
    <t>Costo por kilometro ,60  -  el 99% de los casos (va en la pestana Transporte)</t>
  </si>
  <si>
    <t>Hospedaje: se deja en CERO. Solo el 12% de las cotizaciones lo cobra, porque la mayoria de los trabajos no requieren quedarse.</t>
  </si>
  <si>
    <t xml:space="preserve">   Cuando SI aplica, la tarifa mas usada es  por noche (37 de 58 casos). Se escribe a mano en la columna J.</t>
  </si>
  <si>
    <t>Todos estos son valores por defecto, no fijos: se cambian aca mismo si el proyecto lo amerita.</t>
  </si>
  <si>
    <t>si / no, segun si Grupo Vision compra ese articulo fuera del pais. NO es donde se fabrica: una camara coreana comprada a un proveedor tico es 'no'. Una linea de flete va siempre como 'no': si va 'si', se le cobra transporte al transporte.</t>
  </si>
  <si>
    <t xml:space="preserve">  LOS CUATRO ERRORES QUE MAS CARO SALEN</t>
  </si>
  <si>
    <t>1.  Poner el MSRP como costo</t>
  </si>
  <si>
    <t>La cotizacion sale cerca del DOBLE. El MSRP es donde suele terminar el precio al cliente, no de donde arranca el calculo. Medido: en 57.607 lineas de 1.119 cotizaciones reales, nadie lo hizo nunca.</t>
  </si>
  <si>
    <t>2.  Poner mal IMPORTADO</t>
  </si>
  <si>
    <t>3.  Confundir los dos IVA</t>
  </si>
  <si>
    <t>4.  Cambiar el margen en Equipos</t>
  </si>
  <si>
    <t>EL PUNTO DE ENTRADA. Atiende un pedido de punta a punta: entiende lo que ya le dijiste, pregunta SOLO lo que falta y encadena los demas skills en orden. Siempre pregunta el impuesto del cliente, si va la marca exacta o se acepta un equivalente, si hay financiamiento y el tipo de cambio.</t>
  </si>
  <si>
    <t>Encuentra marca y modelo real que cumpla una especificacion, contra el catalogo. El costo es el precio DEALER, lo que paga Grupo Vision; si una linea no tiene costo cargado, te avisa. Muestra todos los candidatos con la brecha de cada uno y la edad del precio. Sugiere los accesorios que suelen hacer falta, con su porcentaje, y pregunta: nunca los agrega solo.</t>
  </si>
  <si>
    <t>Crea la carpeta de la cotizacion con sus subcarpetas, copia este machote adentro, propone el numero de Cotizacion y el de oferta, llena la pestana Equipos con lo confirmado (IMPORTADO segun a quien se le compra; un flete va como 'no') y registra la oferta en los dos Excels de control.</t>
  </si>
  <si>
    <t>Exporta a PDF SOLO la pestana COTIZACION (o la financiada), que es lo unico que ve el cliente: la matriz nunca sale de la empresa. Antes revisa errores, impuesto y total, y te confirma el nombre y la ruta del archivo.</t>
  </si>
  <si>
    <t>Funcional; falta usarlo en una cotizacion real</t>
  </si>
  <si>
    <t>Lo que Grupo Vision PAGA por una unidad, en dolares: la columna Precio de compra GV del catalogo (el precio dealer). Si la fila no tiene costo, se usa el precio de lista y se avisa, porque ahi el margen real queda mayor que el que muestra la matriz. NUNCA el MSRP como costo.</t>
  </si>
  <si>
    <t>Precio de compra GV del catalogo (dealer) / costo de una cotizacion real / precio de lista, solo si no hay precio de compra</t>
  </si>
  <si>
    <t>Mantiene al dia el catalogo. Lee las listas de precios que el equipo deja en la carpeta de catalogos, o datos que le pegues en el chat, y pone cada precio en su columna: lo que paga Grupo Vision en Precio de compra GV, el publico en Precio de lista.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</si>
</sst>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9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1"/>
      <color rgb="FF7030A0"/>
      <name val="Calibri"/>
      <family val="2"/>
    </font>
    <font>
      <i/>
      <sz val="11"/>
      <color rgb="FF6E6E6E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</fills>
  <borders count="7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78" fontId="67" fillId="8" borderId="8" xfId="123" applyNumberFormat="1" applyFont="1" applyFill="1" applyBorder="1" applyAlignment="1">
      <alignment vertical="center"/>
    </xf>
    <xf numFmtId="1" fontId="66" fillId="8" borderId="8" xfId="121" applyNumberFormat="1" applyFont="1" applyFill="1" applyBorder="1" applyAlignment="1">
      <alignment horizontal="center"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8" fillId="0" borderId="0" xfId="0" applyFont="1"/>
    <xf numFmtId="0" fontId="70" fillId="31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71" fillId="0" borderId="0" xfId="0" applyFont="1"/>
    <xf numFmtId="186" fontId="0" fillId="0" borderId="0" xfId="0" applyNumberFormat="1"/>
    <xf numFmtId="0" fontId="72" fillId="0" borderId="0" xfId="0" applyFont="1"/>
    <xf numFmtId="0" fontId="73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4" fillId="0" borderId="0" xfId="0" applyFont="1"/>
    <xf numFmtId="169" fontId="75" fillId="0" borderId="0" xfId="72" applyFont="1"/>
    <xf numFmtId="0" fontId="76" fillId="47" borderId="0" xfId="0" applyFont="1" applyFill="1"/>
    <xf numFmtId="0" fontId="77" fillId="47" borderId="0" xfId="0" applyFont="1" applyFill="1"/>
    <xf numFmtId="0" fontId="78" fillId="47" borderId="0" xfId="0" applyFont="1" applyFill="1"/>
    <xf numFmtId="0" fontId="76" fillId="47" borderId="0" xfId="0" applyFont="1" applyFill="1" applyAlignment="1">
      <alignment vertical="top" wrapText="1"/>
    </xf>
    <xf numFmtId="0" fontId="79" fillId="47" borderId="0" xfId="0" applyFont="1" applyFill="1" applyAlignment="1">
      <alignment vertical="top"/>
    </xf>
    <xf numFmtId="0" fontId="82" fillId="46" borderId="0" xfId="0" applyFont="1" applyFill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indent="1"/>
    </xf>
    <xf numFmtId="0" fontId="76" fillId="47" borderId="78" xfId="0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indent="1"/>
    </xf>
    <xf numFmtId="0" fontId="76" fillId="49" borderId="78" xfId="0" applyFont="1" applyFill="1" applyBorder="1" applyAlignment="1">
      <alignment horizontal="left" vertical="top" wrapText="1" indent="1"/>
    </xf>
    <xf numFmtId="0" fontId="83" fillId="50" borderId="0" xfId="0" applyFont="1" applyFill="1" applyAlignment="1">
      <alignment horizontal="left" vertical="top" indent="1"/>
    </xf>
    <xf numFmtId="0" fontId="76" fillId="50" borderId="0" xfId="0" applyFont="1" applyFill="1" applyAlignment="1">
      <alignment horizontal="left" vertical="top" wrapText="1" indent="1"/>
    </xf>
    <xf numFmtId="0" fontId="84" fillId="47" borderId="0" xfId="0" applyFont="1" applyFill="1" applyAlignment="1">
      <alignment horizontal="left" vertical="top" indent="1"/>
    </xf>
    <xf numFmtId="0" fontId="82" fillId="46" borderId="78" xfId="0" applyFont="1" applyFill="1" applyBorder="1" applyAlignment="1">
      <alignment horizontal="left" vertical="center" indent="1"/>
    </xf>
    <xf numFmtId="0" fontId="85" fillId="47" borderId="78" xfId="0" applyFont="1" applyFill="1" applyBorder="1" applyAlignment="1">
      <alignment horizontal="left" vertical="top" wrapText="1" indent="1"/>
    </xf>
    <xf numFmtId="0" fontId="85" fillId="49" borderId="78" xfId="0" applyFont="1" applyFill="1" applyBorder="1" applyAlignment="1">
      <alignment horizontal="left" vertical="top" wrapText="1" indent="1"/>
    </xf>
    <xf numFmtId="49" fontId="76" fillId="47" borderId="0" xfId="0" applyNumberFormat="1" applyFont="1" applyFill="1"/>
    <xf numFmtId="49" fontId="82" fillId="46" borderId="78" xfId="0" applyNumberFormat="1" applyFont="1" applyFill="1" applyBorder="1" applyAlignment="1">
      <alignment horizontal="left" vertical="center" indent="1"/>
    </xf>
    <xf numFmtId="0" fontId="79" fillId="47" borderId="78" xfId="0" applyFont="1" applyFill="1" applyBorder="1" applyAlignment="1">
      <alignment horizontal="left" vertical="top" wrapText="1" indent="1"/>
    </xf>
    <xf numFmtId="49" fontId="86" fillId="47" borderId="78" xfId="0" applyNumberFormat="1" applyFont="1" applyFill="1" applyBorder="1" applyAlignment="1">
      <alignment horizontal="left" vertical="top" wrapText="1" indent="1"/>
    </xf>
    <xf numFmtId="0" fontId="79" fillId="49" borderId="78" xfId="0" applyFont="1" applyFill="1" applyBorder="1" applyAlignment="1">
      <alignment horizontal="left" vertical="top" wrapText="1" indent="1"/>
    </xf>
    <xf numFmtId="49" fontId="86" fillId="49" borderId="78" xfId="0" applyNumberFormat="1" applyFont="1" applyFill="1" applyBorder="1" applyAlignment="1">
      <alignment horizontal="left" vertical="top" wrapText="1" indent="1"/>
    </xf>
    <xf numFmtId="0" fontId="83" fillId="50" borderId="78" xfId="0" applyFont="1" applyFill="1" applyBorder="1" applyAlignment="1">
      <alignment horizontal="left" vertical="top" indent="1"/>
    </xf>
    <xf numFmtId="0" fontId="88" fillId="47" borderId="78" xfId="0" applyFont="1" applyFill="1" applyBorder="1" applyAlignment="1">
      <alignment horizontal="left" vertical="top" wrapText="1" indent="1"/>
    </xf>
    <xf numFmtId="0" fontId="89" fillId="47" borderId="78" xfId="0" applyFont="1" applyFill="1" applyBorder="1" applyAlignment="1">
      <alignment horizontal="left" vertical="top" wrapText="1" indent="1"/>
    </xf>
    <xf numFmtId="0" fontId="88" fillId="49" borderId="78" xfId="0" applyFont="1" applyFill="1" applyBorder="1" applyAlignment="1">
      <alignment horizontal="left" vertical="top" wrapText="1" indent="1"/>
    </xf>
    <xf numFmtId="0" fontId="89" fillId="49" borderId="78" xfId="0" applyFont="1" applyFill="1" applyBorder="1" applyAlignment="1">
      <alignment horizontal="left" vertical="top" wrapText="1" indent="1"/>
    </xf>
    <xf numFmtId="0" fontId="83" fillId="47" borderId="78" xfId="0" applyFont="1" applyFill="1" applyBorder="1" applyAlignment="1">
      <alignment horizontal="left" vertical="top" wrapText="1" indent="1"/>
    </xf>
    <xf numFmtId="0" fontId="83" fillId="49" borderId="78" xfId="0" applyFont="1" applyFill="1" applyBorder="1" applyAlignment="1">
      <alignment horizontal="left" vertical="top" wrapText="1" indent="1"/>
    </xf>
    <xf numFmtId="0" fontId="73" fillId="0" borderId="0" xfId="119" applyFont="1"/>
    <xf numFmtId="0" fontId="8" fillId="0" borderId="0" xfId="119" applyFont="1"/>
    <xf numFmtId="0" fontId="80" fillId="48" borderId="0" xfId="0" applyFont="1" applyFill="1" applyAlignment="1">
      <alignment vertical="center"/>
    </xf>
    <xf numFmtId="0" fontId="76" fillId="48" borderId="0" xfId="0" applyFont="1" applyFill="1" applyAlignment="1">
      <alignment vertical="center"/>
    </xf>
    <xf numFmtId="0" fontId="76" fillId="47" borderId="0" xfId="0" applyFont="1" applyFill="1" applyAlignment="1">
      <alignment vertical="top" wrapText="1"/>
    </xf>
    <xf numFmtId="0" fontId="81" fillId="47" borderId="0" xfId="0" applyFont="1" applyFill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4" fontId="9" fillId="0" borderId="8" xfId="118" applyNumberFormat="1" applyFont="1" applyBorder="1" applyAlignment="1">
      <alignment horizontal="center" vertical="center"/>
    </xf>
    <xf numFmtId="169" fontId="2" fillId="0" borderId="26" xfId="118" applyFont="1" applyBorder="1" applyAlignment="1">
      <alignment horizontal="center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49" fontId="47" fillId="0" borderId="8" xfId="118" applyNumberFormat="1" applyFont="1" applyBorder="1" applyAlignment="1">
      <alignment horizontal="left" vertical="center" wrapText="1"/>
    </xf>
    <xf numFmtId="49" fontId="67" fillId="8" borderId="9" xfId="123" applyNumberFormat="1" applyFont="1" applyFill="1" applyBorder="1" applyAlignment="1">
      <alignment horizontal="center" vertical="center" wrapText="1"/>
    </xf>
    <xf numFmtId="49" fontId="67" fillId="8" borderId="10" xfId="123" applyNumberFormat="1" applyFont="1" applyFill="1" applyBorder="1" applyAlignment="1">
      <alignment horizontal="center" vertical="center" wrapText="1"/>
    </xf>
    <xf numFmtId="49" fontId="67" fillId="8" borderId="11" xfId="123" applyNumberFormat="1" applyFont="1" applyFill="1" applyBorder="1" applyAlignment="1">
      <alignment horizontal="center" vertical="center" wrapText="1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49" fontId="8" fillId="8" borderId="76" xfId="121" applyNumberFormat="1" applyFont="1" applyFill="1" applyBorder="1" applyProtection="1">
      <protection locked="0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70" fillId="14" borderId="0" xfId="0" applyFont="1" applyFill="1"/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56" fillId="0" borderId="61" xfId="119" applyFont="1" applyBorder="1" applyAlignment="1">
      <alignment horizontal="center"/>
    </xf>
    <xf numFmtId="0" fontId="80" fillId="48" borderId="78" xfId="0" applyFont="1" applyFill="1" applyBorder="1" applyAlignment="1">
      <alignment vertical="center"/>
    </xf>
    <xf numFmtId="0" fontId="76" fillId="48" borderId="78" xfId="0" applyFont="1" applyFill="1" applyBorder="1" applyAlignment="1">
      <alignment vertical="center"/>
    </xf>
    <xf numFmtId="49" fontId="87" fillId="50" borderId="78" xfId="0" applyNumberFormat="1" applyFont="1" applyFill="1" applyBorder="1" applyAlignment="1">
      <alignment horizontal="left" vertical="top" wrapText="1" indent="1"/>
    </xf>
    <xf numFmtId="49" fontId="76" fillId="50" borderId="78" xfId="0" applyNumberFormat="1" applyFont="1" applyFill="1" applyBorder="1" applyAlignment="1">
      <alignment horizontal="left" vertical="top" wrapText="1" indent="1"/>
    </xf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5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8.xml"/><Relationship Id="rId47" Type="http://schemas.openxmlformats.org/officeDocument/2006/relationships/externalLink" Target="externalLinks/externalLink13.xml"/><Relationship Id="rId50" Type="http://schemas.openxmlformats.org/officeDocument/2006/relationships/externalLink" Target="externalLinks/externalLink16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3.xml"/><Relationship Id="rId40" Type="http://schemas.openxmlformats.org/officeDocument/2006/relationships/externalLink" Target="externalLinks/externalLink6.xml"/><Relationship Id="rId45" Type="http://schemas.openxmlformats.org/officeDocument/2006/relationships/externalLink" Target="externalLinks/externalLink11.xml"/><Relationship Id="rId53" Type="http://schemas.openxmlformats.org/officeDocument/2006/relationships/externalLink" Target="externalLinks/externalLink19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externalLink" Target="externalLinks/externalLink9.xml"/><Relationship Id="rId48" Type="http://schemas.openxmlformats.org/officeDocument/2006/relationships/externalLink" Target="externalLinks/externalLink14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4.xml"/><Relationship Id="rId46" Type="http://schemas.openxmlformats.org/officeDocument/2006/relationships/externalLink" Target="externalLinks/externalLink12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7.xml"/><Relationship Id="rId54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2.xml"/><Relationship Id="rId49" Type="http://schemas.openxmlformats.org/officeDocument/2006/relationships/externalLink" Target="externalLinks/externalLink15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0.xml"/><Relationship Id="rId52" Type="http://schemas.openxmlformats.org/officeDocument/2006/relationships/externalLink" Target="externalLinks/externalLink1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458" customWidth="1"/>
    <col min="2" max="2" width="34.6328125" style="458" customWidth="1"/>
    <col min="3" max="3" width="98.6328125" style="458" customWidth="1"/>
    <col min="4" max="16384" width="8.7265625" style="458"/>
  </cols>
  <sheetData>
    <row r="1" spans="2:3" ht="32" customHeight="1">
      <c r="B1" s="459" t="s">
        <v>775</v>
      </c>
    </row>
    <row r="2" spans="2:3" ht="16" customHeight="1">
      <c r="B2" s="460" t="s">
        <v>776</v>
      </c>
    </row>
    <row r="3" spans="2:3" ht="8" customHeight="1"/>
    <row r="4" spans="2:3" ht="15.5">
      <c r="B4" s="489" t="s">
        <v>777</v>
      </c>
      <c r="C4" s="490"/>
    </row>
    <row r="5" spans="2:3">
      <c r="B5" s="491" t="s">
        <v>778</v>
      </c>
      <c r="C5" s="491"/>
    </row>
    <row r="6" spans="2:3">
      <c r="B6" s="491" t="s">
        <v>779</v>
      </c>
      <c r="C6" s="491"/>
    </row>
    <row r="8" spans="2:3" ht="15.5">
      <c r="B8" s="489" t="s">
        <v>780</v>
      </c>
      <c r="C8" s="490"/>
    </row>
    <row r="9" spans="2:3" ht="16.5">
      <c r="B9" s="492" t="s">
        <v>781</v>
      </c>
      <c r="C9" s="492"/>
    </row>
    <row r="10" spans="2:3">
      <c r="B10" s="491" t="s">
        <v>645</v>
      </c>
      <c r="C10" s="491"/>
    </row>
    <row r="11" spans="2:3">
      <c r="B11" s="491" t="s">
        <v>646</v>
      </c>
      <c r="C11" s="491"/>
    </row>
    <row r="13" spans="2:3" ht="15.5">
      <c r="B13" s="489" t="s">
        <v>782</v>
      </c>
      <c r="C13" s="490"/>
    </row>
    <row r="14" spans="2:3">
      <c r="B14" s="462" t="s">
        <v>783</v>
      </c>
      <c r="C14" s="461" t="s">
        <v>784</v>
      </c>
    </row>
    <row r="15" spans="2:3">
      <c r="B15" s="462" t="s">
        <v>785</v>
      </c>
      <c r="C15" s="461" t="s">
        <v>786</v>
      </c>
    </row>
    <row r="16" spans="2:3">
      <c r="B16" s="462" t="s">
        <v>787</v>
      </c>
      <c r="C16" s="461" t="s">
        <v>788</v>
      </c>
    </row>
    <row r="17" spans="2:3">
      <c r="B17" s="462" t="s">
        <v>789</v>
      </c>
      <c r="C17" s="461" t="s">
        <v>790</v>
      </c>
    </row>
    <row r="18" spans="2:3">
      <c r="B18" s="462" t="s">
        <v>791</v>
      </c>
      <c r="C18" s="461" t="s">
        <v>792</v>
      </c>
    </row>
    <row r="19" spans="2:3">
      <c r="B19" s="462" t="s">
        <v>793</v>
      </c>
      <c r="C19" s="461" t="s">
        <v>794</v>
      </c>
    </row>
    <row r="21" spans="2:3" ht="15.5">
      <c r="B21" s="489" t="s">
        <v>795</v>
      </c>
      <c r="C21" s="490"/>
    </row>
    <row r="22" spans="2:3">
      <c r="B22" s="463" t="s">
        <v>647</v>
      </c>
      <c r="C22" s="463" t="s">
        <v>796</v>
      </c>
    </row>
    <row r="23" spans="2:3" ht="29">
      <c r="B23" s="464" t="s">
        <v>648</v>
      </c>
      <c r="C23" s="465" t="s">
        <v>797</v>
      </c>
    </row>
    <row r="24" spans="2:3" ht="43.5">
      <c r="B24" s="466" t="s">
        <v>363</v>
      </c>
      <c r="C24" s="467" t="s">
        <v>908</v>
      </c>
    </row>
    <row r="25" spans="2:3">
      <c r="B25" s="464" t="s">
        <v>1</v>
      </c>
      <c r="C25" s="465" t="s">
        <v>798</v>
      </c>
    </row>
    <row r="26" spans="2:3" ht="43.5">
      <c r="B26" s="466" t="s">
        <v>364</v>
      </c>
      <c r="C26" s="467" t="s">
        <v>920</v>
      </c>
    </row>
    <row r="28" spans="2:3" ht="15.5">
      <c r="B28" s="489" t="s">
        <v>909</v>
      </c>
      <c r="C28" s="490"/>
    </row>
    <row r="29" spans="2:3" ht="29">
      <c r="B29" s="468" t="s">
        <v>910</v>
      </c>
      <c r="C29" s="469" t="s">
        <v>911</v>
      </c>
    </row>
    <row r="30" spans="2:3" ht="29">
      <c r="B30" s="468" t="s">
        <v>912</v>
      </c>
      <c r="C30" s="469" t="s">
        <v>799</v>
      </c>
    </row>
    <row r="31" spans="2:3" ht="29">
      <c r="B31" s="468" t="s">
        <v>913</v>
      </c>
      <c r="C31" s="469" t="s">
        <v>649</v>
      </c>
    </row>
    <row r="32" spans="2:3" ht="29">
      <c r="B32" s="468" t="s">
        <v>914</v>
      </c>
      <c r="C32" s="469" t="s">
        <v>650</v>
      </c>
    </row>
    <row r="33" spans="2:3" ht="15.5">
      <c r="B33" s="489" t="s">
        <v>800</v>
      </c>
      <c r="C33" s="490"/>
    </row>
    <row r="34" spans="2:3">
      <c r="B34" s="470" t="s">
        <v>651</v>
      </c>
      <c r="C34" s="461" t="s">
        <v>801</v>
      </c>
    </row>
    <row r="35" spans="2:3">
      <c r="B35" s="470" t="s">
        <v>652</v>
      </c>
      <c r="C35" s="461" t="s">
        <v>653</v>
      </c>
    </row>
    <row r="36" spans="2:3">
      <c r="B36" s="470" t="s">
        <v>802</v>
      </c>
      <c r="C36" s="461" t="s">
        <v>803</v>
      </c>
    </row>
  </sheetData>
  <mergeCells count="11">
    <mergeCell ref="B11:C11"/>
    <mergeCell ref="B13:C13"/>
    <mergeCell ref="B21:C21"/>
    <mergeCell ref="B28:C28"/>
    <mergeCell ref="B33:C33"/>
    <mergeCell ref="B10:C10"/>
    <mergeCell ref="B4:C4"/>
    <mergeCell ref="B5:C5"/>
    <mergeCell ref="B6:C6"/>
    <mergeCell ref="B8:C8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493" t="s">
        <v>2</v>
      </c>
      <c r="K1" s="494"/>
      <c r="L1" s="494"/>
      <c r="M1" s="494"/>
      <c r="N1" s="494"/>
      <c r="O1" s="494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3" t="s">
        <v>16</v>
      </c>
      <c r="C3" s="384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3" t="s">
        <v>24</v>
      </c>
      <c r="C4" s="384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5" t="s">
        <v>31</v>
      </c>
      <c r="C5" s="384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5" t="s">
        <v>37</v>
      </c>
      <c r="C6" s="384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5" t="s">
        <v>45</v>
      </c>
      <c r="C7" s="384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5" t="s">
        <v>53</v>
      </c>
      <c r="C8" s="384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5" t="s">
        <v>61</v>
      </c>
      <c r="C9" s="384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4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5" t="s">
        <v>82</v>
      </c>
      <c r="C12" s="384">
        <v>242</v>
      </c>
      <c r="E12"/>
      <c r="F12"/>
      <c r="G12"/>
      <c r="J12"/>
      <c r="K12"/>
      <c r="L12"/>
      <c r="M12"/>
      <c r="N12"/>
      <c r="O12"/>
    </row>
    <row r="13" spans="2:16" ht="25">
      <c r="B13" s="385" t="s">
        <v>83</v>
      </c>
      <c r="C13" s="384">
        <v>55</v>
      </c>
    </row>
    <row r="14" spans="2:16" ht="25">
      <c r="B14" s="378" t="s">
        <v>84</v>
      </c>
      <c r="C14" s="384">
        <v>7</v>
      </c>
      <c r="F14" s="36" t="s">
        <v>85</v>
      </c>
    </row>
    <row r="15" spans="2:16" ht="25">
      <c r="B15" s="378" t="s">
        <v>86</v>
      </c>
      <c r="C15" s="384">
        <v>2</v>
      </c>
      <c r="G15" s="17" t="s">
        <v>87</v>
      </c>
    </row>
    <row r="16" spans="2:16" ht="25">
      <c r="B16" s="378" t="s">
        <v>88</v>
      </c>
      <c r="C16" s="384">
        <v>21</v>
      </c>
    </row>
    <row r="17" spans="2:15" ht="25.5" thickBot="1">
      <c r="B17" s="378" t="s">
        <v>89</v>
      </c>
      <c r="C17" s="384">
        <v>7</v>
      </c>
    </row>
    <row r="18" spans="2:15" ht="25">
      <c r="B18" s="385" t="s">
        <v>90</v>
      </c>
      <c r="C18" s="384">
        <v>2</v>
      </c>
      <c r="F18" s="500" t="s">
        <v>91</v>
      </c>
      <c r="G18" s="501"/>
      <c r="H18" s="501"/>
      <c r="I18" s="501"/>
      <c r="J18" s="501"/>
      <c r="K18" s="501"/>
      <c r="L18" s="501"/>
      <c r="M18" s="501"/>
      <c r="N18" s="502"/>
      <c r="O18"/>
    </row>
    <row r="19" spans="2:15" ht="25">
      <c r="B19" s="385" t="s">
        <v>92</v>
      </c>
      <c r="C19" s="384">
        <v>6</v>
      </c>
      <c r="F19" s="495" t="s">
        <v>91</v>
      </c>
      <c r="G19" s="496"/>
      <c r="H19" s="496"/>
      <c r="J19" s="496" t="s">
        <v>93</v>
      </c>
      <c r="K19" s="496"/>
      <c r="L19" s="496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6">
        <v>95</v>
      </c>
      <c r="N21" s="387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6">
        <v>9</v>
      </c>
      <c r="N22" s="387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6">
        <v>15</v>
      </c>
      <c r="N23" s="387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6">
        <v>10</v>
      </c>
      <c r="N24" s="387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6">
        <v>10</v>
      </c>
      <c r="N25" s="387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6">
        <v>10</v>
      </c>
      <c r="N26" s="387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6">
        <v>95</v>
      </c>
      <c r="N27" s="387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6">
        <v>9</v>
      </c>
      <c r="N28" s="387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6">
        <v>15</v>
      </c>
      <c r="N29" s="387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6">
        <v>10</v>
      </c>
      <c r="N30" s="387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6">
        <v>10</v>
      </c>
      <c r="N31" s="387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6">
        <v>10</v>
      </c>
      <c r="N32" s="387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6">
        <v>95</v>
      </c>
      <c r="N33" s="387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6">
        <v>9</v>
      </c>
      <c r="N34" s="387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6">
        <v>15</v>
      </c>
      <c r="N35" s="388" t="s">
        <v>104</v>
      </c>
      <c r="O35"/>
    </row>
    <row r="36" spans="6:15" ht="25">
      <c r="F36" s="95"/>
      <c r="G36" s="90" t="s">
        <v>99</v>
      </c>
      <c r="H36" s="88"/>
      <c r="K36"/>
      <c r="M36" s="386">
        <v>12</v>
      </c>
      <c r="N36" s="389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6">
        <v>10</v>
      </c>
      <c r="N37" s="388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6">
        <v>11</v>
      </c>
      <c r="N38" s="389" t="s">
        <v>105</v>
      </c>
      <c r="O38"/>
    </row>
    <row r="39" spans="6:15" ht="25">
      <c r="F39" s="95"/>
      <c r="G39" s="90" t="s">
        <v>99</v>
      </c>
      <c r="H39" s="88"/>
      <c r="K39"/>
      <c r="M39" s="386">
        <v>50</v>
      </c>
      <c r="N39" s="390" t="s">
        <v>96</v>
      </c>
      <c r="O39"/>
    </row>
    <row r="40" spans="6:15" ht="25">
      <c r="F40" s="95"/>
      <c r="G40" s="89" t="s">
        <v>104</v>
      </c>
      <c r="H40" s="88"/>
      <c r="K40"/>
      <c r="M40" s="386">
        <v>53</v>
      </c>
      <c r="N40" s="389" t="s">
        <v>96</v>
      </c>
      <c r="O40"/>
    </row>
    <row r="41" spans="6:15" ht="25">
      <c r="F41" s="95"/>
      <c r="G41" s="89" t="s">
        <v>101</v>
      </c>
      <c r="H41" s="88"/>
      <c r="K41"/>
      <c r="M41" s="386">
        <v>95</v>
      </c>
      <c r="N41" s="388" t="s">
        <v>96</v>
      </c>
      <c r="O41"/>
    </row>
    <row r="42" spans="6:15" ht="25">
      <c r="F42" s="95"/>
      <c r="G42" s="89" t="s">
        <v>103</v>
      </c>
      <c r="H42" s="88"/>
      <c r="K42"/>
      <c r="M42" s="386">
        <v>177</v>
      </c>
      <c r="N42" s="389" t="s">
        <v>96</v>
      </c>
      <c r="O42"/>
    </row>
    <row r="43" spans="6:15" ht="25">
      <c r="F43" s="95"/>
      <c r="G43" s="91" t="s">
        <v>107</v>
      </c>
      <c r="H43" s="88"/>
      <c r="K43"/>
      <c r="M43" s="386">
        <v>53</v>
      </c>
      <c r="N43" s="389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6">
        <v>177</v>
      </c>
      <c r="N44" s="389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6">
        <v>12</v>
      </c>
      <c r="N45" s="389" t="s">
        <v>103</v>
      </c>
      <c r="O45"/>
    </row>
    <row r="46" spans="6:15" ht="25">
      <c r="F46" s="95"/>
      <c r="G46" s="89" t="s">
        <v>101</v>
      </c>
      <c r="H46" s="88"/>
      <c r="K46"/>
      <c r="M46" s="386">
        <v>13</v>
      </c>
      <c r="N46" s="389" t="s">
        <v>103</v>
      </c>
      <c r="O46"/>
    </row>
    <row r="47" spans="6:15" ht="25">
      <c r="F47" s="95"/>
      <c r="G47" s="89" t="s">
        <v>103</v>
      </c>
      <c r="H47" s="88"/>
      <c r="K47"/>
      <c r="M47" s="386">
        <v>9</v>
      </c>
      <c r="N47" s="389" t="s">
        <v>103</v>
      </c>
      <c r="O47"/>
    </row>
    <row r="48" spans="6:15" ht="25">
      <c r="F48" s="95"/>
      <c r="G48" s="91" t="s">
        <v>106</v>
      </c>
      <c r="H48" s="88"/>
      <c r="K48"/>
      <c r="M48" s="386">
        <v>2</v>
      </c>
      <c r="N48" s="389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6">
        <v>11</v>
      </c>
      <c r="N49" s="389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6">
        <v>92</v>
      </c>
      <c r="N50" s="391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6">
        <v>108</v>
      </c>
      <c r="N51" s="391" t="s">
        <v>107</v>
      </c>
      <c r="O51"/>
    </row>
    <row r="52" spans="6:15" ht="25">
      <c r="F52" s="95"/>
      <c r="G52" s="89" t="s">
        <v>103</v>
      </c>
      <c r="H52" s="88"/>
      <c r="K52"/>
      <c r="M52" s="386">
        <v>50</v>
      </c>
      <c r="N52" s="390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6">
        <v>10</v>
      </c>
      <c r="N53" s="390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6">
        <v>2</v>
      </c>
      <c r="N54" s="390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6">
        <v>27</v>
      </c>
      <c r="N55" s="390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6">
        <v>53</v>
      </c>
      <c r="N56" s="389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6">
        <v>177</v>
      </c>
      <c r="N57" s="389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6">
        <v>12</v>
      </c>
      <c r="N58" s="389" t="s">
        <v>101</v>
      </c>
      <c r="O58"/>
    </row>
    <row r="59" spans="6:15" ht="25">
      <c r="F59" s="95"/>
      <c r="G59" s="90" t="s">
        <v>99</v>
      </c>
      <c r="H59" s="88"/>
      <c r="K59"/>
      <c r="M59" s="386">
        <v>13</v>
      </c>
      <c r="N59" s="389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6">
        <v>9</v>
      </c>
      <c r="N60" s="389" t="s">
        <v>101</v>
      </c>
      <c r="O60"/>
    </row>
    <row r="61" spans="6:15" ht="25">
      <c r="F61" s="95"/>
      <c r="G61" s="89" t="s">
        <v>101</v>
      </c>
      <c r="H61" s="88"/>
      <c r="K61"/>
      <c r="M61" s="386">
        <v>2</v>
      </c>
      <c r="N61" s="389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2" t="s">
        <v>101</v>
      </c>
      <c r="O62"/>
    </row>
    <row r="64" spans="6:15" ht="13" thickBot="1"/>
    <row r="65" spans="2:14" ht="13">
      <c r="F65" s="500" t="s">
        <v>110</v>
      </c>
      <c r="G65" s="501"/>
      <c r="H65" s="501"/>
      <c r="I65" s="501"/>
      <c r="J65" s="501"/>
      <c r="K65" s="501"/>
      <c r="L65" s="501"/>
      <c r="M65" s="501"/>
      <c r="N65" s="502"/>
    </row>
    <row r="66" spans="2:14" ht="14.5">
      <c r="B66" s="27" t="s">
        <v>0</v>
      </c>
      <c r="C66" s="27" t="s">
        <v>1</v>
      </c>
      <c r="F66" s="497" t="s">
        <v>111</v>
      </c>
      <c r="G66" s="497"/>
      <c r="H66" s="497"/>
      <c r="I66" s="497"/>
      <c r="K66" s="497" t="s">
        <v>112</v>
      </c>
      <c r="L66" s="497"/>
      <c r="M66" s="497"/>
      <c r="N66" s="497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3" t="s">
        <v>16</v>
      </c>
      <c r="C68" s="384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3" t="s">
        <v>24</v>
      </c>
      <c r="C69" s="384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5" t="s">
        <v>31</v>
      </c>
      <c r="C70" s="384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5" t="s">
        <v>37</v>
      </c>
      <c r="C71" s="384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5" t="s">
        <v>45</v>
      </c>
      <c r="C72" s="384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5" t="s">
        <v>53</v>
      </c>
      <c r="C73" s="384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5" t="s">
        <v>61</v>
      </c>
      <c r="C74" s="384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4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5" t="s">
        <v>82</v>
      </c>
      <c r="C77" s="384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5" t="s">
        <v>83</v>
      </c>
      <c r="C78" s="384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4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4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4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4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5" t="s">
        <v>90</v>
      </c>
      <c r="C83" s="384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498" t="s">
        <v>208</v>
      </c>
      <c r="H160" s="499"/>
      <c r="I160" s="127"/>
      <c r="K160" s="126"/>
      <c r="L160" s="498" t="s">
        <v>208</v>
      </c>
      <c r="M160" s="499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503" t="s">
        <v>243</v>
      </c>
      <c r="C2" s="503"/>
      <c r="D2" s="503"/>
      <c r="E2" s="503"/>
      <c r="F2" s="503"/>
      <c r="G2" s="503"/>
      <c r="H2" s="503"/>
      <c r="I2" s="503"/>
      <c r="J2" s="503"/>
      <c r="K2" s="503"/>
      <c r="L2" s="503"/>
      <c r="M2" s="503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510" t="s">
        <v>243</v>
      </c>
      <c r="C2" s="510"/>
      <c r="D2" s="510"/>
      <c r="E2" s="510"/>
      <c r="F2" s="510"/>
      <c r="G2" s="510"/>
      <c r="H2" s="239"/>
      <c r="I2" s="240"/>
      <c r="J2" s="507" t="s">
        <v>287</v>
      </c>
      <c r="K2" s="508"/>
      <c r="L2" s="508"/>
      <c r="M2" s="509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511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512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Tabla2[[#This Row],[Costo]]/(1-Tabla2[[#This Row],[% de venta]])</f>
        <v>0</v>
      </c>
      <c r="G5" s="398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512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Tabla2[[#This Row],[Costo]]/(1-Tabla2[[#This Row],[% de venta]])</f>
        <v>0</v>
      </c>
      <c r="G6" s="398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512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Tabla2[[#This Row],[Costo]]/(1-Tabla2[[#This Row],[% de venta]])</f>
        <v>0</v>
      </c>
      <c r="G7" s="398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13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400" t="str">
        <f>+'OPEX GV'!A3</f>
        <v>OPEX GV</v>
      </c>
      <c r="C10" s="401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504" t="s">
        <v>304</v>
      </c>
      <c r="C32" s="505"/>
      <c r="D32" s="506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17" t="s">
        <v>324</v>
      </c>
      <c r="I15" s="518"/>
      <c r="J15" s="286" t="s">
        <v>246</v>
      </c>
      <c r="K15" s="287" t="s">
        <v>318</v>
      </c>
    </row>
    <row r="16" spans="2:11" ht="21" customHeight="1">
      <c r="B16" s="519"/>
      <c r="C16" s="520"/>
      <c r="D16" s="520"/>
      <c r="E16" s="520"/>
      <c r="F16" s="520"/>
      <c r="G16" s="520"/>
      <c r="H16" s="520"/>
      <c r="I16" s="520"/>
      <c r="J16" s="520"/>
      <c r="K16" s="521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24"/>
      <c r="I17" s="525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24">
        <f>+Equipos!B6</f>
        <v>0</v>
      </c>
      <c r="I18" s="525"/>
      <c r="J18" s="292">
        <f>+Equipos!O6</f>
        <v>0</v>
      </c>
      <c r="K18" s="292">
        <f t="shared" si="0"/>
        <v>0</v>
      </c>
      <c r="L18" s="523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24">
        <f>+Equipos!B7</f>
        <v>0</v>
      </c>
      <c r="I19" s="525"/>
      <c r="J19" s="292">
        <f>+Equipos!O7</f>
        <v>0</v>
      </c>
      <c r="K19" s="292">
        <f t="shared" si="0"/>
        <v>0</v>
      </c>
      <c r="L19" s="523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24"/>
      <c r="I20" s="525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24"/>
      <c r="I21" s="525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24"/>
      <c r="I22" s="525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26"/>
      <c r="I23" s="526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26"/>
      <c r="I24" s="526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26"/>
      <c r="I25" s="526"/>
      <c r="J25" s="292">
        <f>+'Productos 5'!N11</f>
        <v>0</v>
      </c>
      <c r="K25" s="292">
        <f t="shared" si="1"/>
        <v>0</v>
      </c>
    </row>
    <row r="26" spans="2:12" ht="15.75" hidden="1" customHeight="1">
      <c r="B26" s="514" t="s">
        <v>325</v>
      </c>
      <c r="C26" s="515"/>
      <c r="D26" s="515"/>
      <c r="E26" s="515"/>
      <c r="F26" s="515"/>
      <c r="G26" s="515"/>
      <c r="H26" s="515"/>
      <c r="I26" s="515"/>
      <c r="J26" s="515"/>
      <c r="K26" s="516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17" t="s">
        <v>324</v>
      </c>
      <c r="I44" s="518"/>
      <c r="J44" s="286" t="s">
        <v>246</v>
      </c>
      <c r="K44" s="287" t="s">
        <v>318</v>
      </c>
    </row>
    <row r="45" spans="2:11" ht="18">
      <c r="B45" s="519" t="s">
        <v>332</v>
      </c>
      <c r="C45" s="520"/>
      <c r="D45" s="520"/>
      <c r="E45" s="520"/>
      <c r="F45" s="520"/>
      <c r="G45" s="520"/>
      <c r="H45" s="520"/>
      <c r="I45" s="520"/>
      <c r="J45" s="520"/>
      <c r="K45" s="521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22">
        <f>'Productos 2'!A6</f>
        <v>0</v>
      </c>
      <c r="I46" s="522"/>
      <c r="J46" s="292">
        <f>'Productos 2'!N6</f>
        <v>0</v>
      </c>
      <c r="K46" s="292">
        <f>+J46*C46</f>
        <v>0</v>
      </c>
    </row>
    <row r="47" spans="2:11">
      <c r="B47" s="514" t="s">
        <v>325</v>
      </c>
      <c r="C47" s="515"/>
      <c r="D47" s="515"/>
      <c r="E47" s="515"/>
      <c r="F47" s="515"/>
      <c r="G47" s="515"/>
      <c r="H47" s="515"/>
      <c r="I47" s="515"/>
      <c r="J47" s="515"/>
      <c r="K47" s="516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H25:I25"/>
    <mergeCell ref="H17:I17"/>
    <mergeCell ref="H18:I18"/>
    <mergeCell ref="H19:I19"/>
    <mergeCell ref="H24:I24"/>
    <mergeCell ref="H23:I23"/>
    <mergeCell ref="H22:I22"/>
    <mergeCell ref="L18:L19"/>
    <mergeCell ref="H20:I20"/>
    <mergeCell ref="H21:I21"/>
    <mergeCell ref="H15:I15"/>
    <mergeCell ref="B16:K16"/>
    <mergeCell ref="B47:K47"/>
    <mergeCell ref="H44:I44"/>
    <mergeCell ref="B45:K45"/>
    <mergeCell ref="H46:I46"/>
    <mergeCell ref="B26:K26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36" t="s">
        <v>335</v>
      </c>
      <c r="C5" s="536"/>
      <c r="F5" s="344"/>
      <c r="I5" s="347" t="s">
        <v>336</v>
      </c>
    </row>
    <row r="6" spans="2:10" ht="15" customHeight="1">
      <c r="B6" s="537" t="s">
        <v>337</v>
      </c>
      <c r="C6" s="537"/>
      <c r="D6" s="537"/>
      <c r="E6" s="537"/>
      <c r="F6" s="537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8"/>
      <c r="D12" s="538"/>
      <c r="E12" s="538"/>
      <c r="F12" s="538"/>
      <c r="G12" s="538"/>
      <c r="I12" s="341" t="s">
        <v>341</v>
      </c>
      <c r="J12" s="354">
        <f ca="1">TODAY()</f>
        <v>46293</v>
      </c>
    </row>
    <row r="13" spans="2:10">
      <c r="B13" s="432" t="s">
        <v>522</v>
      </c>
      <c r="C13" s="539"/>
      <c r="D13" s="540"/>
      <c r="E13" s="540"/>
      <c r="F13" s="540"/>
      <c r="G13" s="540"/>
      <c r="I13" s="341" t="s">
        <v>342</v>
      </c>
      <c r="J13" s="355" t="s">
        <v>527</v>
      </c>
    </row>
    <row r="14" spans="2:10">
      <c r="B14" s="432" t="s">
        <v>523</v>
      </c>
      <c r="C14" s="535"/>
      <c r="D14" s="535"/>
      <c r="E14" s="535"/>
      <c r="F14" s="535"/>
      <c r="G14" s="535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35"/>
      <c r="D18" s="535"/>
      <c r="E18" s="535"/>
      <c r="F18" s="535"/>
      <c r="G18" s="535"/>
      <c r="J18" s="357"/>
    </row>
    <row r="19" spans="2:14" ht="18" customHeight="1"/>
    <row r="20" spans="2:14" ht="15.5">
      <c r="B20" s="358" t="s">
        <v>8</v>
      </c>
      <c r="C20" s="541" t="s">
        <v>310</v>
      </c>
      <c r="D20" s="542"/>
      <c r="E20" s="542"/>
      <c r="F20" s="542"/>
      <c r="G20" s="542"/>
      <c r="H20" s="543"/>
      <c r="I20" s="359" t="s">
        <v>346</v>
      </c>
      <c r="J20" s="360" t="s">
        <v>347</v>
      </c>
    </row>
    <row r="21" spans="2:14" ht="15.5">
      <c r="B21" s="433"/>
      <c r="C21" s="544" t="s">
        <v>516</v>
      </c>
      <c r="D21" s="545"/>
      <c r="E21" s="545"/>
      <c r="F21" s="545"/>
      <c r="G21" s="545"/>
      <c r="H21" s="546"/>
      <c r="I21" s="434"/>
      <c r="J21" s="435"/>
    </row>
    <row r="22" spans="2:14" ht="42" customHeight="1">
      <c r="B22" s="381">
        <f>Equipos!D6</f>
        <v>0</v>
      </c>
      <c r="C22" s="527">
        <f>Equipos!B6</f>
        <v>0</v>
      </c>
      <c r="D22" s="528"/>
      <c r="E22" s="528"/>
      <c r="F22" s="528"/>
      <c r="G22" s="528"/>
      <c r="H22" s="529"/>
      <c r="I22" s="380">
        <f>Equipos!O6</f>
        <v>0</v>
      </c>
      <c r="J22" s="380">
        <f t="shared" ref="J22:J25" si="0">I22*B22</f>
        <v>0</v>
      </c>
    </row>
    <row r="23" spans="2:14" s="342" customFormat="1" ht="52.5" customHeight="1">
      <c r="B23" s="381">
        <f>Equipos!D7</f>
        <v>0</v>
      </c>
      <c r="C23" s="527">
        <f>Equipos!B7</f>
        <v>0</v>
      </c>
      <c r="D23" s="528"/>
      <c r="E23" s="528"/>
      <c r="F23" s="528"/>
      <c r="G23" s="528"/>
      <c r="H23" s="529"/>
      <c r="I23" s="380">
        <f>Equipos!O7</f>
        <v>0</v>
      </c>
      <c r="J23" s="380">
        <f t="shared" si="0"/>
        <v>0</v>
      </c>
      <c r="N23" s="361"/>
    </row>
    <row r="24" spans="2:14" s="342" customFormat="1" ht="57.75" customHeight="1">
      <c r="B24" s="381">
        <f>Equipos!D8</f>
        <v>0</v>
      </c>
      <c r="C24" s="527">
        <f>Equipos!B8</f>
        <v>0</v>
      </c>
      <c r="D24" s="528"/>
      <c r="E24" s="528"/>
      <c r="F24" s="528"/>
      <c r="G24" s="528"/>
      <c r="H24" s="529"/>
      <c r="I24" s="380">
        <f>Equipos!O8</f>
        <v>0</v>
      </c>
      <c r="J24" s="380">
        <f t="shared" si="0"/>
        <v>0</v>
      </c>
      <c r="N24" s="361"/>
    </row>
    <row r="25" spans="2:14" s="342" customFormat="1" ht="53.25" customHeight="1">
      <c r="B25" s="381">
        <f>Equipos!D9</f>
        <v>0</v>
      </c>
      <c r="C25" s="527">
        <f>Equipos!B9</f>
        <v>0</v>
      </c>
      <c r="D25" s="528"/>
      <c r="E25" s="528"/>
      <c r="F25" s="528"/>
      <c r="G25" s="528"/>
      <c r="H25" s="529"/>
      <c r="I25" s="380">
        <f>Equipos!O9</f>
        <v>0</v>
      </c>
      <c r="J25" s="380">
        <f t="shared" si="0"/>
        <v>0</v>
      </c>
      <c r="N25" s="361"/>
    </row>
    <row r="26" spans="2:14" s="342" customFormat="1" ht="53.25" customHeight="1">
      <c r="B26" s="381">
        <f>Equipos!D10</f>
        <v>0</v>
      </c>
      <c r="C26" s="527">
        <f>Equipos!B10</f>
        <v>0</v>
      </c>
      <c r="D26" s="528"/>
      <c r="E26" s="528"/>
      <c r="F26" s="528"/>
      <c r="G26" s="528"/>
      <c r="H26" s="529"/>
      <c r="I26" s="380">
        <f>Equipos!O10</f>
        <v>0</v>
      </c>
      <c r="J26" s="380">
        <f t="shared" ref="J26:J71" si="1">I26*B26</f>
        <v>0</v>
      </c>
      <c r="N26" s="361"/>
    </row>
    <row r="27" spans="2:14" s="342" customFormat="1" ht="53.25" customHeight="1">
      <c r="B27" s="381">
        <f>Equipos!D11</f>
        <v>0</v>
      </c>
      <c r="C27" s="527">
        <f>Equipos!B11</f>
        <v>0</v>
      </c>
      <c r="D27" s="528"/>
      <c r="E27" s="528"/>
      <c r="F27" s="528"/>
      <c r="G27" s="528"/>
      <c r="H27" s="529"/>
      <c r="I27" s="380">
        <f>Equipos!O11</f>
        <v>0</v>
      </c>
      <c r="J27" s="380">
        <f t="shared" si="1"/>
        <v>0</v>
      </c>
      <c r="N27" s="361"/>
    </row>
    <row r="28" spans="2:14" s="342" customFormat="1" ht="53.25" customHeight="1">
      <c r="B28" s="381">
        <f>Equipos!D12</f>
        <v>0</v>
      </c>
      <c r="C28" s="527">
        <f>Equipos!B12</f>
        <v>0</v>
      </c>
      <c r="D28" s="528"/>
      <c r="E28" s="528"/>
      <c r="F28" s="528"/>
      <c r="G28" s="528"/>
      <c r="H28" s="529"/>
      <c r="I28" s="380">
        <f>Equipos!O12</f>
        <v>0</v>
      </c>
      <c r="J28" s="380">
        <f t="shared" si="1"/>
        <v>0</v>
      </c>
      <c r="N28" s="361"/>
    </row>
    <row r="29" spans="2:14" s="342" customFormat="1" ht="53.25" customHeight="1">
      <c r="B29" s="381">
        <f>Equipos!D13</f>
        <v>0</v>
      </c>
      <c r="C29" s="527">
        <f>Equipos!B13</f>
        <v>0</v>
      </c>
      <c r="D29" s="528"/>
      <c r="E29" s="528"/>
      <c r="F29" s="528"/>
      <c r="G29" s="528"/>
      <c r="H29" s="529"/>
      <c r="I29" s="380">
        <f>Equipos!O13</f>
        <v>0</v>
      </c>
      <c r="J29" s="380">
        <f t="shared" si="1"/>
        <v>0</v>
      </c>
      <c r="N29" s="361"/>
    </row>
    <row r="30" spans="2:14" s="342" customFormat="1" ht="53.25" customHeight="1">
      <c r="B30" s="381">
        <f>Equipos!D14</f>
        <v>0</v>
      </c>
      <c r="C30" s="527">
        <f>Equipos!B14</f>
        <v>0</v>
      </c>
      <c r="D30" s="528"/>
      <c r="E30" s="528"/>
      <c r="F30" s="528"/>
      <c r="G30" s="528"/>
      <c r="H30" s="529"/>
      <c r="I30" s="380">
        <f>Equipos!O14</f>
        <v>0</v>
      </c>
      <c r="J30" s="380">
        <f t="shared" si="1"/>
        <v>0</v>
      </c>
      <c r="N30" s="361"/>
    </row>
    <row r="31" spans="2:14" s="342" customFormat="1" ht="53.25" customHeight="1">
      <c r="B31" s="381">
        <f>Equipos!D15</f>
        <v>0</v>
      </c>
      <c r="C31" s="527">
        <f>Equipos!B15</f>
        <v>0</v>
      </c>
      <c r="D31" s="528"/>
      <c r="E31" s="528"/>
      <c r="F31" s="528"/>
      <c r="G31" s="528"/>
      <c r="H31" s="529"/>
      <c r="I31" s="380">
        <f>Equipos!O15</f>
        <v>0</v>
      </c>
      <c r="J31" s="380">
        <f t="shared" si="1"/>
        <v>0</v>
      </c>
      <c r="N31" s="361"/>
    </row>
    <row r="32" spans="2:14" s="342" customFormat="1" ht="53.25" customHeight="1">
      <c r="B32" s="381">
        <f>Equipos!D16</f>
        <v>0</v>
      </c>
      <c r="C32" s="527">
        <f>Equipos!B16</f>
        <v>0</v>
      </c>
      <c r="D32" s="528"/>
      <c r="E32" s="528"/>
      <c r="F32" s="528"/>
      <c r="G32" s="528"/>
      <c r="H32" s="529"/>
      <c r="I32" s="380">
        <f>Equipos!O16</f>
        <v>0</v>
      </c>
      <c r="J32" s="380">
        <f t="shared" si="1"/>
        <v>0</v>
      </c>
      <c r="N32" s="361"/>
    </row>
    <row r="33" spans="2:14" s="342" customFormat="1" ht="53.25" customHeight="1">
      <c r="B33" s="381">
        <f>Equipos!D17</f>
        <v>0</v>
      </c>
      <c r="C33" s="527">
        <f>Equipos!B17</f>
        <v>0</v>
      </c>
      <c r="D33" s="528"/>
      <c r="E33" s="528"/>
      <c r="F33" s="528"/>
      <c r="G33" s="528"/>
      <c r="H33" s="529"/>
      <c r="I33" s="380">
        <f>Equipos!O17</f>
        <v>0</v>
      </c>
      <c r="J33" s="380">
        <f t="shared" si="1"/>
        <v>0</v>
      </c>
      <c r="N33" s="361"/>
    </row>
    <row r="34" spans="2:14" s="342" customFormat="1" ht="53.25" customHeight="1">
      <c r="B34" s="381">
        <f>Equipos!D18</f>
        <v>0</v>
      </c>
      <c r="C34" s="527">
        <f>Equipos!B18</f>
        <v>0</v>
      </c>
      <c r="D34" s="528"/>
      <c r="E34" s="528"/>
      <c r="F34" s="528"/>
      <c r="G34" s="528"/>
      <c r="H34" s="529"/>
      <c r="I34" s="380">
        <f>Equipos!O18</f>
        <v>0</v>
      </c>
      <c r="J34" s="380">
        <f t="shared" si="1"/>
        <v>0</v>
      </c>
      <c r="N34" s="361"/>
    </row>
    <row r="35" spans="2:14" s="342" customFormat="1" ht="53.25" customHeight="1">
      <c r="B35" s="381">
        <f>Equipos!D19</f>
        <v>0</v>
      </c>
      <c r="C35" s="527">
        <f>Equipos!B19</f>
        <v>0</v>
      </c>
      <c r="D35" s="528"/>
      <c r="E35" s="528"/>
      <c r="F35" s="528"/>
      <c r="G35" s="528"/>
      <c r="H35" s="529"/>
      <c r="I35" s="380">
        <f>Equipos!O19</f>
        <v>0</v>
      </c>
      <c r="J35" s="380">
        <f t="shared" si="1"/>
        <v>0</v>
      </c>
      <c r="N35" s="361"/>
    </row>
    <row r="36" spans="2:14" s="342" customFormat="1" ht="53.25" customHeight="1">
      <c r="B36" s="381">
        <f>Equipos!D20</f>
        <v>0</v>
      </c>
      <c r="C36" s="527">
        <f>Equipos!B20</f>
        <v>0</v>
      </c>
      <c r="D36" s="528"/>
      <c r="E36" s="528"/>
      <c r="F36" s="528"/>
      <c r="G36" s="528"/>
      <c r="H36" s="529"/>
      <c r="I36" s="380">
        <f>Equipos!O20</f>
        <v>0</v>
      </c>
      <c r="J36" s="380">
        <f t="shared" si="1"/>
        <v>0</v>
      </c>
      <c r="N36" s="361"/>
    </row>
    <row r="37" spans="2:14" s="342" customFormat="1" ht="53.25" customHeight="1">
      <c r="B37" s="381">
        <f>Equipos!D21</f>
        <v>0</v>
      </c>
      <c r="C37" s="527">
        <f>Equipos!B21</f>
        <v>0</v>
      </c>
      <c r="D37" s="528"/>
      <c r="E37" s="528"/>
      <c r="F37" s="528"/>
      <c r="G37" s="528"/>
      <c r="H37" s="529"/>
      <c r="I37" s="380">
        <f>Equipos!O21</f>
        <v>0</v>
      </c>
      <c r="J37" s="380">
        <f t="shared" si="1"/>
        <v>0</v>
      </c>
      <c r="N37" s="361"/>
    </row>
    <row r="38" spans="2:14" s="342" customFormat="1" ht="53.25" customHeight="1">
      <c r="B38" s="381">
        <f>Equipos!D22</f>
        <v>0</v>
      </c>
      <c r="C38" s="527">
        <f>Equipos!B22</f>
        <v>0</v>
      </c>
      <c r="D38" s="528"/>
      <c r="E38" s="528"/>
      <c r="F38" s="528"/>
      <c r="G38" s="528"/>
      <c r="H38" s="529"/>
      <c r="I38" s="380">
        <f>Equipos!O22</f>
        <v>0</v>
      </c>
      <c r="J38" s="380">
        <f t="shared" si="1"/>
        <v>0</v>
      </c>
      <c r="N38" s="361"/>
    </row>
    <row r="39" spans="2:14" s="342" customFormat="1" ht="53.25" customHeight="1">
      <c r="B39" s="381">
        <f>Equipos!D23</f>
        <v>0</v>
      </c>
      <c r="C39" s="527">
        <f>Equipos!B23</f>
        <v>0</v>
      </c>
      <c r="D39" s="528"/>
      <c r="E39" s="528"/>
      <c r="F39" s="528"/>
      <c r="G39" s="528"/>
      <c r="H39" s="529"/>
      <c r="I39" s="380">
        <f>Equipos!O23</f>
        <v>0</v>
      </c>
      <c r="J39" s="380">
        <f t="shared" si="1"/>
        <v>0</v>
      </c>
      <c r="N39" s="361"/>
    </row>
    <row r="40" spans="2:14" s="342" customFormat="1" ht="53.25" customHeight="1">
      <c r="B40" s="381">
        <f>Equipos!D24</f>
        <v>0</v>
      </c>
      <c r="C40" s="527">
        <f>Equipos!B24</f>
        <v>0</v>
      </c>
      <c r="D40" s="528"/>
      <c r="E40" s="528"/>
      <c r="F40" s="528"/>
      <c r="G40" s="528"/>
      <c r="H40" s="529"/>
      <c r="I40" s="380">
        <f>Equipos!O24</f>
        <v>0</v>
      </c>
      <c r="J40" s="380">
        <f t="shared" si="1"/>
        <v>0</v>
      </c>
      <c r="N40" s="361"/>
    </row>
    <row r="41" spans="2:14" s="342" customFormat="1" ht="53.25" customHeight="1">
      <c r="B41" s="381">
        <f>Equipos!D25</f>
        <v>0</v>
      </c>
      <c r="C41" s="527">
        <f>Equipos!B25</f>
        <v>0</v>
      </c>
      <c r="D41" s="528"/>
      <c r="E41" s="528"/>
      <c r="F41" s="528"/>
      <c r="G41" s="528"/>
      <c r="H41" s="529"/>
      <c r="I41" s="380">
        <f>Equipos!O25</f>
        <v>0</v>
      </c>
      <c r="J41" s="380">
        <f t="shared" si="1"/>
        <v>0</v>
      </c>
      <c r="N41" s="361"/>
    </row>
    <row r="42" spans="2:14" s="342" customFormat="1" ht="53.25" customHeight="1">
      <c r="B42" s="381">
        <f>Equipos!D26</f>
        <v>0</v>
      </c>
      <c r="C42" s="527">
        <f>Equipos!B26</f>
        <v>0</v>
      </c>
      <c r="D42" s="528"/>
      <c r="E42" s="528"/>
      <c r="F42" s="528"/>
      <c r="G42" s="528"/>
      <c r="H42" s="529"/>
      <c r="I42" s="380">
        <f>Equipos!O26</f>
        <v>0</v>
      </c>
      <c r="J42" s="380">
        <f t="shared" si="1"/>
        <v>0</v>
      </c>
      <c r="N42" s="361"/>
    </row>
    <row r="43" spans="2:14" s="342" customFormat="1" ht="53.25" customHeight="1">
      <c r="B43" s="381">
        <f>Equipos!D27</f>
        <v>0</v>
      </c>
      <c r="C43" s="527">
        <f>Equipos!B27</f>
        <v>0</v>
      </c>
      <c r="D43" s="528"/>
      <c r="E43" s="528"/>
      <c r="F43" s="528"/>
      <c r="G43" s="528"/>
      <c r="H43" s="529"/>
      <c r="I43" s="380">
        <f>Equipos!O27</f>
        <v>0</v>
      </c>
      <c r="J43" s="380">
        <f t="shared" si="1"/>
        <v>0</v>
      </c>
      <c r="N43" s="361"/>
    </row>
    <row r="44" spans="2:14" s="342" customFormat="1" ht="53.25" customHeight="1">
      <c r="B44" s="381">
        <f>Equipos!D28</f>
        <v>0</v>
      </c>
      <c r="C44" s="527">
        <f>Equipos!B28</f>
        <v>0</v>
      </c>
      <c r="D44" s="528"/>
      <c r="E44" s="528"/>
      <c r="F44" s="528"/>
      <c r="G44" s="528"/>
      <c r="H44" s="529"/>
      <c r="I44" s="380">
        <f>Equipos!O28</f>
        <v>0</v>
      </c>
      <c r="J44" s="380">
        <f t="shared" si="1"/>
        <v>0</v>
      </c>
      <c r="N44" s="361"/>
    </row>
    <row r="45" spans="2:14" s="342" customFormat="1" ht="53.25" customHeight="1">
      <c r="B45" s="381">
        <f>Equipos!D29</f>
        <v>0</v>
      </c>
      <c r="C45" s="527">
        <f>Equipos!B29</f>
        <v>0</v>
      </c>
      <c r="D45" s="528"/>
      <c r="E45" s="528"/>
      <c r="F45" s="528"/>
      <c r="G45" s="528"/>
      <c r="H45" s="529"/>
      <c r="I45" s="380">
        <f>Equipos!O29</f>
        <v>0</v>
      </c>
      <c r="J45" s="380">
        <f t="shared" si="1"/>
        <v>0</v>
      </c>
      <c r="N45" s="361"/>
    </row>
    <row r="46" spans="2:14" s="342" customFormat="1" ht="53.25" customHeight="1">
      <c r="B46" s="381">
        <f>Equipos!D30</f>
        <v>0</v>
      </c>
      <c r="C46" s="527">
        <f>Equipos!B30</f>
        <v>0</v>
      </c>
      <c r="D46" s="528"/>
      <c r="E46" s="528"/>
      <c r="F46" s="528"/>
      <c r="G46" s="528"/>
      <c r="H46" s="529"/>
      <c r="I46" s="380">
        <f>Equipos!O30</f>
        <v>0</v>
      </c>
      <c r="J46" s="380">
        <f t="shared" si="1"/>
        <v>0</v>
      </c>
      <c r="N46" s="361"/>
    </row>
    <row r="47" spans="2:14" s="342" customFormat="1" ht="53.25" customHeight="1">
      <c r="B47" s="381">
        <f>Equipos!D31</f>
        <v>0</v>
      </c>
      <c r="C47" s="527">
        <f>Equipos!B31</f>
        <v>0</v>
      </c>
      <c r="D47" s="528"/>
      <c r="E47" s="528"/>
      <c r="F47" s="528"/>
      <c r="G47" s="528"/>
      <c r="H47" s="529"/>
      <c r="I47" s="380">
        <f>Equipos!O31</f>
        <v>0</v>
      </c>
      <c r="J47" s="380">
        <f t="shared" si="1"/>
        <v>0</v>
      </c>
      <c r="N47" s="361"/>
    </row>
    <row r="48" spans="2:14" s="342" customFormat="1" ht="53.25" customHeight="1">
      <c r="B48" s="381">
        <f>Equipos!D32</f>
        <v>0</v>
      </c>
      <c r="C48" s="527">
        <f>Equipos!B32</f>
        <v>0</v>
      </c>
      <c r="D48" s="528"/>
      <c r="E48" s="528"/>
      <c r="F48" s="528"/>
      <c r="G48" s="528"/>
      <c r="H48" s="529"/>
      <c r="I48" s="380">
        <f>Equipos!O32</f>
        <v>0</v>
      </c>
      <c r="J48" s="380">
        <f t="shared" si="1"/>
        <v>0</v>
      </c>
      <c r="N48" s="361"/>
    </row>
    <row r="49" spans="2:14" s="342" customFormat="1" ht="53.25" customHeight="1">
      <c r="B49" s="381">
        <f>Equipos!D33</f>
        <v>0</v>
      </c>
      <c r="C49" s="527">
        <f>Equipos!B33</f>
        <v>0</v>
      </c>
      <c r="D49" s="528"/>
      <c r="E49" s="528"/>
      <c r="F49" s="528"/>
      <c r="G49" s="528"/>
      <c r="H49" s="529"/>
      <c r="I49" s="380">
        <f>Equipos!O33</f>
        <v>0</v>
      </c>
      <c r="J49" s="380">
        <f t="shared" si="1"/>
        <v>0</v>
      </c>
      <c r="N49" s="361"/>
    </row>
    <row r="50" spans="2:14" s="342" customFormat="1" ht="53.25" customHeight="1">
      <c r="B50" s="381">
        <f>Equipos!D34</f>
        <v>0</v>
      </c>
      <c r="C50" s="527">
        <f>Equipos!B34</f>
        <v>0</v>
      </c>
      <c r="D50" s="528"/>
      <c r="E50" s="528"/>
      <c r="F50" s="528"/>
      <c r="G50" s="528"/>
      <c r="H50" s="529"/>
      <c r="I50" s="380">
        <f>Equipos!O34</f>
        <v>0</v>
      </c>
      <c r="J50" s="380">
        <f t="shared" si="1"/>
        <v>0</v>
      </c>
      <c r="N50" s="361"/>
    </row>
    <row r="51" spans="2:14" s="342" customFormat="1" ht="53.25" customHeight="1">
      <c r="B51" s="381">
        <f>Equipos!D35</f>
        <v>0</v>
      </c>
      <c r="C51" s="527">
        <f>Equipos!B35</f>
        <v>0</v>
      </c>
      <c r="D51" s="528"/>
      <c r="E51" s="528"/>
      <c r="F51" s="528"/>
      <c r="G51" s="528"/>
      <c r="H51" s="529"/>
      <c r="I51" s="380">
        <f>Equipos!O35</f>
        <v>0</v>
      </c>
      <c r="J51" s="380">
        <f t="shared" si="1"/>
        <v>0</v>
      </c>
      <c r="N51" s="361"/>
    </row>
    <row r="52" spans="2:14" s="342" customFormat="1" ht="53.25" customHeight="1">
      <c r="B52" s="381">
        <f>Equipos!D36</f>
        <v>0</v>
      </c>
      <c r="C52" s="527">
        <f>Equipos!B36</f>
        <v>0</v>
      </c>
      <c r="D52" s="528"/>
      <c r="E52" s="528"/>
      <c r="F52" s="528"/>
      <c r="G52" s="528"/>
      <c r="H52" s="529"/>
      <c r="I52" s="380">
        <f>Equipos!O36</f>
        <v>0</v>
      </c>
      <c r="J52" s="380">
        <f t="shared" si="1"/>
        <v>0</v>
      </c>
      <c r="N52" s="361"/>
    </row>
    <row r="53" spans="2:14" s="342" customFormat="1" ht="53.25" customHeight="1">
      <c r="B53" s="381">
        <f>Equipos!D37</f>
        <v>0</v>
      </c>
      <c r="C53" s="527">
        <f>Equipos!B37</f>
        <v>0</v>
      </c>
      <c r="D53" s="528"/>
      <c r="E53" s="528"/>
      <c r="F53" s="528"/>
      <c r="G53" s="528"/>
      <c r="H53" s="529"/>
      <c r="I53" s="380">
        <f>Equipos!O37</f>
        <v>0</v>
      </c>
      <c r="J53" s="380">
        <f t="shared" si="1"/>
        <v>0</v>
      </c>
      <c r="N53" s="361"/>
    </row>
    <row r="54" spans="2:14" s="342" customFormat="1" ht="53.25" customHeight="1">
      <c r="B54" s="381">
        <f>Equipos!D38</f>
        <v>0</v>
      </c>
      <c r="C54" s="527">
        <f>Equipos!B38</f>
        <v>0</v>
      </c>
      <c r="D54" s="528"/>
      <c r="E54" s="528"/>
      <c r="F54" s="528"/>
      <c r="G54" s="528"/>
      <c r="H54" s="529"/>
      <c r="I54" s="380">
        <f>Equipos!O38</f>
        <v>0</v>
      </c>
      <c r="J54" s="380">
        <f t="shared" si="1"/>
        <v>0</v>
      </c>
      <c r="N54" s="361"/>
    </row>
    <row r="55" spans="2:14" s="342" customFormat="1" ht="53.25" customHeight="1">
      <c r="B55" s="381">
        <f>Equipos!D39</f>
        <v>0</v>
      </c>
      <c r="C55" s="527">
        <f>Equipos!B39</f>
        <v>0</v>
      </c>
      <c r="D55" s="528"/>
      <c r="E55" s="528"/>
      <c r="F55" s="528"/>
      <c r="G55" s="528"/>
      <c r="H55" s="529"/>
      <c r="I55" s="380">
        <f>Equipos!O39</f>
        <v>0</v>
      </c>
      <c r="J55" s="380">
        <f t="shared" si="1"/>
        <v>0</v>
      </c>
      <c r="N55" s="361"/>
    </row>
    <row r="56" spans="2:14" s="342" customFormat="1" ht="53.25" customHeight="1">
      <c r="B56" s="381">
        <f>Equipos!D40</f>
        <v>0</v>
      </c>
      <c r="C56" s="527">
        <f>Equipos!B40</f>
        <v>0</v>
      </c>
      <c r="D56" s="528"/>
      <c r="E56" s="528"/>
      <c r="F56" s="528"/>
      <c r="G56" s="528"/>
      <c r="H56" s="529"/>
      <c r="I56" s="380">
        <f>Equipos!O40</f>
        <v>0</v>
      </c>
      <c r="J56" s="380">
        <f t="shared" si="1"/>
        <v>0</v>
      </c>
      <c r="N56" s="361"/>
    </row>
    <row r="57" spans="2:14" s="342" customFormat="1" ht="53.25" customHeight="1">
      <c r="B57" s="381">
        <f>Equipos!D41</f>
        <v>0</v>
      </c>
      <c r="C57" s="527">
        <f>Equipos!B41</f>
        <v>0</v>
      </c>
      <c r="D57" s="528"/>
      <c r="E57" s="528"/>
      <c r="F57" s="528"/>
      <c r="G57" s="528"/>
      <c r="H57" s="529"/>
      <c r="I57" s="380">
        <f>Equipos!O41</f>
        <v>0</v>
      </c>
      <c r="J57" s="380">
        <f t="shared" si="1"/>
        <v>0</v>
      </c>
      <c r="N57" s="361"/>
    </row>
    <row r="58" spans="2:14" s="342" customFormat="1" ht="53.25" customHeight="1">
      <c r="B58" s="381">
        <f>Equipos!D42</f>
        <v>0</v>
      </c>
      <c r="C58" s="527">
        <f>Equipos!B42</f>
        <v>0</v>
      </c>
      <c r="D58" s="528"/>
      <c r="E58" s="528"/>
      <c r="F58" s="528"/>
      <c r="G58" s="528"/>
      <c r="H58" s="529"/>
      <c r="I58" s="380">
        <f>Equipos!O42</f>
        <v>0</v>
      </c>
      <c r="J58" s="380">
        <f t="shared" si="1"/>
        <v>0</v>
      </c>
      <c r="N58" s="361"/>
    </row>
    <row r="59" spans="2:14" s="342" customFormat="1" ht="53.25" customHeight="1">
      <c r="B59" s="381">
        <f>Equipos!D43</f>
        <v>0</v>
      </c>
      <c r="C59" s="527">
        <f>Equipos!B43</f>
        <v>0</v>
      </c>
      <c r="D59" s="528"/>
      <c r="E59" s="528"/>
      <c r="F59" s="528"/>
      <c r="G59" s="528"/>
      <c r="H59" s="529"/>
      <c r="I59" s="380">
        <f>Equipos!O43</f>
        <v>0</v>
      </c>
      <c r="J59" s="380">
        <f t="shared" si="1"/>
        <v>0</v>
      </c>
      <c r="N59" s="361"/>
    </row>
    <row r="60" spans="2:14" s="342" customFormat="1" ht="53.25" customHeight="1">
      <c r="B60" s="381">
        <f>Equipos!D44</f>
        <v>0</v>
      </c>
      <c r="C60" s="527">
        <f>Equipos!B44</f>
        <v>0</v>
      </c>
      <c r="D60" s="528"/>
      <c r="E60" s="528"/>
      <c r="F60" s="528"/>
      <c r="G60" s="528"/>
      <c r="H60" s="529"/>
      <c r="I60" s="380">
        <f>Equipos!O44</f>
        <v>0</v>
      </c>
      <c r="J60" s="380">
        <f t="shared" si="1"/>
        <v>0</v>
      </c>
      <c r="N60" s="361"/>
    </row>
    <row r="61" spans="2:14" s="342" customFormat="1" ht="53.25" customHeight="1">
      <c r="B61" s="381">
        <f>Equipos!D45</f>
        <v>0</v>
      </c>
      <c r="C61" s="527">
        <f>Equipos!B45</f>
        <v>0</v>
      </c>
      <c r="D61" s="528"/>
      <c r="E61" s="528"/>
      <c r="F61" s="528"/>
      <c r="G61" s="528"/>
      <c r="H61" s="529"/>
      <c r="I61" s="380">
        <f>Equipos!O45</f>
        <v>0</v>
      </c>
      <c r="J61" s="380">
        <f t="shared" si="1"/>
        <v>0</v>
      </c>
      <c r="N61" s="361"/>
    </row>
    <row r="62" spans="2:14" s="342" customFormat="1" ht="53.25" customHeight="1">
      <c r="B62" s="381">
        <f>Equipos!D46</f>
        <v>0</v>
      </c>
      <c r="C62" s="527">
        <f>Equipos!B46</f>
        <v>0</v>
      </c>
      <c r="D62" s="528"/>
      <c r="E62" s="528"/>
      <c r="F62" s="528"/>
      <c r="G62" s="528"/>
      <c r="H62" s="529"/>
      <c r="I62" s="380">
        <f>Equipos!O46</f>
        <v>0</v>
      </c>
      <c r="J62" s="380">
        <f t="shared" si="1"/>
        <v>0</v>
      </c>
      <c r="N62" s="361"/>
    </row>
    <row r="63" spans="2:14" s="342" customFormat="1" ht="53.25" customHeight="1">
      <c r="B63" s="381">
        <f>Equipos!D47</f>
        <v>0</v>
      </c>
      <c r="C63" s="527">
        <f>Equipos!B47</f>
        <v>0</v>
      </c>
      <c r="D63" s="528"/>
      <c r="E63" s="528"/>
      <c r="F63" s="528"/>
      <c r="G63" s="528"/>
      <c r="H63" s="529"/>
      <c r="I63" s="380">
        <f>Equipos!O47</f>
        <v>0</v>
      </c>
      <c r="J63" s="380">
        <f t="shared" si="1"/>
        <v>0</v>
      </c>
      <c r="N63" s="361"/>
    </row>
    <row r="64" spans="2:14" s="342" customFormat="1" ht="53.25" customHeight="1">
      <c r="B64" s="381">
        <f>Equipos!D48</f>
        <v>0</v>
      </c>
      <c r="C64" s="527">
        <f>Equipos!B48</f>
        <v>0</v>
      </c>
      <c r="D64" s="528"/>
      <c r="E64" s="528"/>
      <c r="F64" s="528"/>
      <c r="G64" s="528"/>
      <c r="H64" s="529"/>
      <c r="I64" s="380">
        <f>Equipos!O48</f>
        <v>0</v>
      </c>
      <c r="J64" s="380">
        <f t="shared" si="1"/>
        <v>0</v>
      </c>
      <c r="N64" s="361"/>
    </row>
    <row r="65" spans="2:14" s="342" customFormat="1" ht="53.25" customHeight="1">
      <c r="B65" s="381">
        <f>Equipos!D49</f>
        <v>0</v>
      </c>
      <c r="C65" s="527">
        <f>Equipos!B49</f>
        <v>0</v>
      </c>
      <c r="D65" s="528"/>
      <c r="E65" s="528"/>
      <c r="F65" s="528"/>
      <c r="G65" s="528"/>
      <c r="H65" s="529"/>
      <c r="I65" s="380">
        <f>Equipos!O49</f>
        <v>0</v>
      </c>
      <c r="J65" s="380">
        <f t="shared" si="1"/>
        <v>0</v>
      </c>
      <c r="N65" s="361"/>
    </row>
    <row r="66" spans="2:14" s="342" customFormat="1" ht="53.25" customHeight="1">
      <c r="B66" s="381">
        <f>Equipos!D50</f>
        <v>0</v>
      </c>
      <c r="C66" s="527">
        <f>Equipos!B50</f>
        <v>0</v>
      </c>
      <c r="D66" s="528"/>
      <c r="E66" s="528"/>
      <c r="F66" s="528"/>
      <c r="G66" s="528"/>
      <c r="H66" s="529"/>
      <c r="I66" s="380">
        <f>Equipos!O50</f>
        <v>0</v>
      </c>
      <c r="J66" s="380">
        <f t="shared" si="1"/>
        <v>0</v>
      </c>
      <c r="N66" s="361"/>
    </row>
    <row r="67" spans="2:14" s="342" customFormat="1" ht="53.25" customHeight="1">
      <c r="B67" s="381">
        <f>Equipos!D51</f>
        <v>0</v>
      </c>
      <c r="C67" s="527">
        <f>Equipos!B51</f>
        <v>0</v>
      </c>
      <c r="D67" s="528"/>
      <c r="E67" s="528"/>
      <c r="F67" s="528"/>
      <c r="G67" s="528"/>
      <c r="H67" s="529"/>
      <c r="I67" s="380">
        <f>Equipos!O51</f>
        <v>0</v>
      </c>
      <c r="J67" s="380">
        <f t="shared" si="1"/>
        <v>0</v>
      </c>
      <c r="N67" s="361"/>
    </row>
    <row r="68" spans="2:14" s="342" customFormat="1" ht="53.25" customHeight="1">
      <c r="B68" s="381">
        <f>Equipos!D52</f>
        <v>0</v>
      </c>
      <c r="C68" s="527">
        <f>Equipos!B52</f>
        <v>0</v>
      </c>
      <c r="D68" s="528"/>
      <c r="E68" s="528"/>
      <c r="F68" s="528"/>
      <c r="G68" s="528"/>
      <c r="H68" s="529"/>
      <c r="I68" s="380">
        <f>Equipos!O52</f>
        <v>0</v>
      </c>
      <c r="J68" s="380">
        <f t="shared" si="1"/>
        <v>0</v>
      </c>
      <c r="N68" s="361"/>
    </row>
    <row r="69" spans="2:14" s="342" customFormat="1" ht="53.25" customHeight="1">
      <c r="B69" s="381">
        <f>Equipos!D53</f>
        <v>0</v>
      </c>
      <c r="C69" s="527">
        <f>Equipos!B53</f>
        <v>0</v>
      </c>
      <c r="D69" s="528"/>
      <c r="E69" s="528"/>
      <c r="F69" s="528"/>
      <c r="G69" s="528"/>
      <c r="H69" s="529"/>
      <c r="I69" s="380">
        <f>Equipos!O53</f>
        <v>0</v>
      </c>
      <c r="J69" s="380">
        <f t="shared" si="1"/>
        <v>0</v>
      </c>
      <c r="N69" s="361"/>
    </row>
    <row r="70" spans="2:14" s="342" customFormat="1" ht="53.25" customHeight="1">
      <c r="B70" s="381">
        <f>Equipos!D54</f>
        <v>0</v>
      </c>
      <c r="C70" s="527">
        <f>Equipos!B54</f>
        <v>0</v>
      </c>
      <c r="D70" s="528"/>
      <c r="E70" s="528"/>
      <c r="F70" s="528"/>
      <c r="G70" s="528"/>
      <c r="H70" s="529"/>
      <c r="I70" s="380">
        <f>Equipos!O54</f>
        <v>0</v>
      </c>
      <c r="J70" s="380">
        <f t="shared" si="1"/>
        <v>0</v>
      </c>
      <c r="N70" s="361"/>
    </row>
    <row r="71" spans="2:14" s="342" customFormat="1" ht="39" customHeight="1">
      <c r="B71" s="381">
        <f>Equipos!D55</f>
        <v>0</v>
      </c>
      <c r="C71" s="527">
        <f>Equipos!B55</f>
        <v>0</v>
      </c>
      <c r="D71" s="528"/>
      <c r="E71" s="528"/>
      <c r="F71" s="528"/>
      <c r="G71" s="528"/>
      <c r="H71" s="529"/>
      <c r="I71" s="380">
        <f>Equipos!O55</f>
        <v>0</v>
      </c>
      <c r="J71" s="380">
        <f t="shared" si="1"/>
        <v>0</v>
      </c>
      <c r="N71" s="361"/>
    </row>
    <row r="72" spans="2:14">
      <c r="B72" s="532" t="s">
        <v>348</v>
      </c>
      <c r="C72" s="533"/>
      <c r="D72" s="533"/>
      <c r="E72" s="533"/>
      <c r="F72" s="533"/>
      <c r="G72" s="533"/>
      <c r="H72" s="533"/>
      <c r="I72" s="533"/>
      <c r="J72" s="534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30" t="s">
        <v>353</v>
      </c>
      <c r="C89" s="530"/>
      <c r="D89" s="530"/>
      <c r="E89" s="530"/>
    </row>
    <row r="90" spans="2:10" ht="25.5" customHeight="1">
      <c r="B90" s="531" t="s">
        <v>354</v>
      </c>
      <c r="C90" s="531"/>
      <c r="D90" s="531"/>
      <c r="E90" s="531"/>
    </row>
    <row r="91" spans="2:10">
      <c r="B91" s="530" t="s">
        <v>339</v>
      </c>
      <c r="C91" s="530"/>
      <c r="D91" s="530"/>
      <c r="E91" s="530"/>
    </row>
    <row r="92" spans="2:10">
      <c r="B92" s="530" t="s">
        <v>572</v>
      </c>
      <c r="C92" s="530"/>
      <c r="D92" s="530"/>
      <c r="E92" s="362"/>
    </row>
  </sheetData>
  <mergeCells count="63"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9:H69"/>
    <mergeCell ref="C70:H70"/>
    <mergeCell ref="C64:H64"/>
    <mergeCell ref="C65:H65"/>
    <mergeCell ref="C66:H66"/>
    <mergeCell ref="C67:H67"/>
    <mergeCell ref="C68:H68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36" t="s">
        <v>335</v>
      </c>
      <c r="C5" s="536"/>
      <c r="F5" s="344"/>
      <c r="I5" s="347" t="s">
        <v>336</v>
      </c>
    </row>
    <row r="6" spans="2:10" ht="15" customHeight="1">
      <c r="B6" s="537" t="s">
        <v>337</v>
      </c>
      <c r="C6" s="537"/>
      <c r="D6" s="537"/>
      <c r="E6" s="537"/>
      <c r="F6" s="537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38"/>
      <c r="D12" s="538"/>
      <c r="E12" s="538"/>
      <c r="F12" s="538"/>
      <c r="G12" s="538"/>
      <c r="I12" s="341" t="s">
        <v>341</v>
      </c>
      <c r="J12" s="354">
        <f ca="1">TODAY()</f>
        <v>46293</v>
      </c>
    </row>
    <row r="13" spans="2:10">
      <c r="B13" s="432" t="s">
        <v>522</v>
      </c>
      <c r="C13" s="539"/>
      <c r="D13" s="540"/>
      <c r="E13" s="540"/>
      <c r="F13" s="540"/>
      <c r="G13" s="540"/>
      <c r="I13" s="341" t="s">
        <v>342</v>
      </c>
      <c r="J13" s="355" t="s">
        <v>527</v>
      </c>
    </row>
    <row r="14" spans="2:10">
      <c r="B14" s="432" t="s">
        <v>523</v>
      </c>
      <c r="C14" s="535"/>
      <c r="D14" s="535"/>
      <c r="E14" s="535"/>
      <c r="F14" s="535"/>
      <c r="G14" s="535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35"/>
      <c r="D18" s="535"/>
      <c r="E18" s="535"/>
      <c r="F18" s="535"/>
      <c r="G18" s="535"/>
      <c r="J18" s="357"/>
    </row>
    <row r="19" spans="2:14" ht="18" customHeight="1"/>
    <row r="20" spans="2:14" ht="46.5">
      <c r="B20" s="358" t="s">
        <v>8</v>
      </c>
      <c r="C20" s="541" t="s">
        <v>310</v>
      </c>
      <c r="D20" s="542"/>
      <c r="E20" s="542"/>
      <c r="F20" s="542"/>
      <c r="G20" s="542"/>
      <c r="H20" s="543"/>
      <c r="I20" s="359" t="s">
        <v>642</v>
      </c>
      <c r="J20" s="360" t="s">
        <v>643</v>
      </c>
    </row>
    <row r="21" spans="2:14" ht="15.5">
      <c r="B21" s="433"/>
      <c r="C21" s="544" t="s">
        <v>516</v>
      </c>
      <c r="D21" s="545"/>
      <c r="E21" s="545"/>
      <c r="F21" s="545"/>
      <c r="G21" s="545"/>
      <c r="H21" s="546"/>
      <c r="I21" s="434"/>
      <c r="J21" s="435"/>
    </row>
    <row r="22" spans="2:14" ht="42" customHeight="1">
      <c r="B22" s="381">
        <f>Equipos!D6</f>
        <v>0</v>
      </c>
      <c r="C22" s="527">
        <f>Equipos!B6</f>
        <v>0</v>
      </c>
      <c r="D22" s="528"/>
      <c r="E22" s="528"/>
      <c r="F22" s="528"/>
      <c r="G22" s="528"/>
      <c r="H22" s="529"/>
      <c r="I22" s="380" t="str">
        <f>IFERROR(IF(Equipos!Q6="","",INDEX(Financiamiento!$C:$C,12+(Equipos!Q6-1)*17)),"")</f>
        <v/>
      </c>
      <c r="J22" s="380" t="str">
        <f t="shared" ref="J22:J53" si="0">IFERROR(I22*B22,"")</f>
        <v/>
      </c>
    </row>
    <row r="23" spans="2:14" s="342" customFormat="1" ht="52.5" customHeight="1">
      <c r="B23" s="381">
        <f>Equipos!D7</f>
        <v>0</v>
      </c>
      <c r="C23" s="527">
        <f>Equipos!B7</f>
        <v>0</v>
      </c>
      <c r="D23" s="528"/>
      <c r="E23" s="528"/>
      <c r="F23" s="528"/>
      <c r="G23" s="528"/>
      <c r="H23" s="529"/>
      <c r="I23" s="380" t="str">
        <f>IFERROR(IF(Equipos!Q7="","",INDEX(Financiamiento!$C:$C,12+(Equipos!Q7-1)*17)),"")</f>
        <v/>
      </c>
      <c r="J23" s="380" t="str">
        <f t="shared" si="0"/>
        <v/>
      </c>
      <c r="N23" s="361"/>
    </row>
    <row r="24" spans="2:14" s="342" customFormat="1" ht="57.75" customHeight="1">
      <c r="B24" s="381">
        <f>Equipos!D8</f>
        <v>0</v>
      </c>
      <c r="C24" s="527">
        <f>Equipos!B8</f>
        <v>0</v>
      </c>
      <c r="D24" s="528"/>
      <c r="E24" s="528"/>
      <c r="F24" s="528"/>
      <c r="G24" s="528"/>
      <c r="H24" s="529"/>
      <c r="I24" s="380" t="str">
        <f>IFERROR(IF(Equipos!Q8="","",INDEX(Financiamiento!$C:$C,12+(Equipos!Q8-1)*17)),"")</f>
        <v/>
      </c>
      <c r="J24" s="380" t="str">
        <f t="shared" si="0"/>
        <v/>
      </c>
      <c r="N24" s="361"/>
    </row>
    <row r="25" spans="2:14" s="342" customFormat="1" ht="53.25" customHeight="1">
      <c r="B25" s="381">
        <f>Equipos!D9</f>
        <v>0</v>
      </c>
      <c r="C25" s="527">
        <f>Equipos!B9</f>
        <v>0</v>
      </c>
      <c r="D25" s="528"/>
      <c r="E25" s="528"/>
      <c r="F25" s="528"/>
      <c r="G25" s="528"/>
      <c r="H25" s="529"/>
      <c r="I25" s="380" t="str">
        <f>IFERROR(IF(Equipos!Q9="","",INDEX(Financiamiento!$C:$C,12+(Equipos!Q9-1)*17)),"")</f>
        <v/>
      </c>
      <c r="J25" s="380" t="str">
        <f t="shared" si="0"/>
        <v/>
      </c>
      <c r="N25" s="361"/>
    </row>
    <row r="26" spans="2:14" s="342" customFormat="1" ht="53.25" customHeight="1">
      <c r="B26" s="381">
        <f>Equipos!D10</f>
        <v>0</v>
      </c>
      <c r="C26" s="527">
        <f>Equipos!B10</f>
        <v>0</v>
      </c>
      <c r="D26" s="528"/>
      <c r="E26" s="528"/>
      <c r="F26" s="528"/>
      <c r="G26" s="528"/>
      <c r="H26" s="529"/>
      <c r="I26" s="380" t="str">
        <f>IFERROR(IF(Equipos!Q10="","",INDEX(Financiamiento!$C:$C,12+(Equipos!Q10-1)*17)),"")</f>
        <v/>
      </c>
      <c r="J26" s="380" t="str">
        <f t="shared" si="0"/>
        <v/>
      </c>
      <c r="N26" s="361"/>
    </row>
    <row r="27" spans="2:14" s="342" customFormat="1" ht="53.25" customHeight="1">
      <c r="B27" s="381">
        <f>Equipos!D11</f>
        <v>0</v>
      </c>
      <c r="C27" s="527">
        <f>Equipos!B11</f>
        <v>0</v>
      </c>
      <c r="D27" s="528"/>
      <c r="E27" s="528"/>
      <c r="F27" s="528"/>
      <c r="G27" s="528"/>
      <c r="H27" s="529"/>
      <c r="I27" s="380" t="str">
        <f>IFERROR(IF(Equipos!Q11="","",INDEX(Financiamiento!$C:$C,12+(Equipos!Q11-1)*17)),"")</f>
        <v/>
      </c>
      <c r="J27" s="380" t="str">
        <f t="shared" si="0"/>
        <v/>
      </c>
      <c r="N27" s="361"/>
    </row>
    <row r="28" spans="2:14" s="342" customFormat="1" ht="53.25" customHeight="1">
      <c r="B28" s="381">
        <f>Equipos!D12</f>
        <v>0</v>
      </c>
      <c r="C28" s="527">
        <f>Equipos!B12</f>
        <v>0</v>
      </c>
      <c r="D28" s="528"/>
      <c r="E28" s="528"/>
      <c r="F28" s="528"/>
      <c r="G28" s="528"/>
      <c r="H28" s="529"/>
      <c r="I28" s="380" t="str">
        <f>IFERROR(IF(Equipos!Q12="","",INDEX(Financiamiento!$C:$C,12+(Equipos!Q12-1)*17)),"")</f>
        <v/>
      </c>
      <c r="J28" s="380" t="str">
        <f t="shared" si="0"/>
        <v/>
      </c>
      <c r="N28" s="361"/>
    </row>
    <row r="29" spans="2:14" s="342" customFormat="1" ht="53.25" customHeight="1">
      <c r="B29" s="381">
        <f>Equipos!D13</f>
        <v>0</v>
      </c>
      <c r="C29" s="527">
        <f>Equipos!B13</f>
        <v>0</v>
      </c>
      <c r="D29" s="528"/>
      <c r="E29" s="528"/>
      <c r="F29" s="528"/>
      <c r="G29" s="528"/>
      <c r="H29" s="529"/>
      <c r="I29" s="380" t="str">
        <f>IFERROR(IF(Equipos!Q13="","",INDEX(Financiamiento!$C:$C,12+(Equipos!Q13-1)*17)),"")</f>
        <v/>
      </c>
      <c r="J29" s="380" t="str">
        <f t="shared" si="0"/>
        <v/>
      </c>
      <c r="N29" s="361"/>
    </row>
    <row r="30" spans="2:14" s="342" customFormat="1" ht="53.25" customHeight="1">
      <c r="B30" s="381">
        <f>Equipos!D14</f>
        <v>0</v>
      </c>
      <c r="C30" s="527">
        <f>Equipos!B14</f>
        <v>0</v>
      </c>
      <c r="D30" s="528"/>
      <c r="E30" s="528"/>
      <c r="F30" s="528"/>
      <c r="G30" s="528"/>
      <c r="H30" s="529"/>
      <c r="I30" s="380" t="str">
        <f>IFERROR(IF(Equipos!Q14="","",INDEX(Financiamiento!$C:$C,12+(Equipos!Q14-1)*17)),"")</f>
        <v/>
      </c>
      <c r="J30" s="380" t="str">
        <f t="shared" si="0"/>
        <v/>
      </c>
      <c r="N30" s="361"/>
    </row>
    <row r="31" spans="2:14" s="342" customFormat="1" ht="53.25" customHeight="1">
      <c r="B31" s="381">
        <f>Equipos!D15</f>
        <v>0</v>
      </c>
      <c r="C31" s="527">
        <f>Equipos!B15</f>
        <v>0</v>
      </c>
      <c r="D31" s="528"/>
      <c r="E31" s="528"/>
      <c r="F31" s="528"/>
      <c r="G31" s="528"/>
      <c r="H31" s="529"/>
      <c r="I31" s="380" t="str">
        <f>IFERROR(IF(Equipos!Q15="","",INDEX(Financiamiento!$C:$C,12+(Equipos!Q15-1)*17)),"")</f>
        <v/>
      </c>
      <c r="J31" s="380" t="str">
        <f t="shared" si="0"/>
        <v/>
      </c>
      <c r="N31" s="361"/>
    </row>
    <row r="32" spans="2:14" s="342" customFormat="1" ht="53.25" customHeight="1">
      <c r="B32" s="381">
        <f>Equipos!D16</f>
        <v>0</v>
      </c>
      <c r="C32" s="527">
        <f>Equipos!B16</f>
        <v>0</v>
      </c>
      <c r="D32" s="528"/>
      <c r="E32" s="528"/>
      <c r="F32" s="528"/>
      <c r="G32" s="528"/>
      <c r="H32" s="529"/>
      <c r="I32" s="380" t="str">
        <f>IFERROR(IF(Equipos!Q16="","",INDEX(Financiamiento!$C:$C,12+(Equipos!Q16-1)*17)),"")</f>
        <v/>
      </c>
      <c r="J32" s="380" t="str">
        <f t="shared" si="0"/>
        <v/>
      </c>
      <c r="N32" s="361"/>
    </row>
    <row r="33" spans="2:14" s="342" customFormat="1" ht="53.25" customHeight="1">
      <c r="B33" s="381">
        <f>Equipos!D17</f>
        <v>0</v>
      </c>
      <c r="C33" s="527">
        <f>Equipos!B17</f>
        <v>0</v>
      </c>
      <c r="D33" s="528"/>
      <c r="E33" s="528"/>
      <c r="F33" s="528"/>
      <c r="G33" s="528"/>
      <c r="H33" s="529"/>
      <c r="I33" s="380" t="str">
        <f>IFERROR(IF(Equipos!Q17="","",INDEX(Financiamiento!$C:$C,12+(Equipos!Q17-1)*17)),"")</f>
        <v/>
      </c>
      <c r="J33" s="380" t="str">
        <f t="shared" si="0"/>
        <v/>
      </c>
      <c r="N33" s="361"/>
    </row>
    <row r="34" spans="2:14" s="342" customFormat="1" ht="53.25" customHeight="1">
      <c r="B34" s="381">
        <f>Equipos!D18</f>
        <v>0</v>
      </c>
      <c r="C34" s="527">
        <f>Equipos!B18</f>
        <v>0</v>
      </c>
      <c r="D34" s="528"/>
      <c r="E34" s="528"/>
      <c r="F34" s="528"/>
      <c r="G34" s="528"/>
      <c r="H34" s="529"/>
      <c r="I34" s="380" t="str">
        <f>IFERROR(IF(Equipos!Q18="","",INDEX(Financiamiento!$C:$C,12+(Equipos!Q18-1)*17)),"")</f>
        <v/>
      </c>
      <c r="J34" s="380" t="str">
        <f t="shared" si="0"/>
        <v/>
      </c>
      <c r="N34" s="361"/>
    </row>
    <row r="35" spans="2:14" s="342" customFormat="1" ht="53.25" customHeight="1">
      <c r="B35" s="381">
        <f>Equipos!D19</f>
        <v>0</v>
      </c>
      <c r="C35" s="527">
        <f>Equipos!B19</f>
        <v>0</v>
      </c>
      <c r="D35" s="528"/>
      <c r="E35" s="528"/>
      <c r="F35" s="528"/>
      <c r="G35" s="528"/>
      <c r="H35" s="529"/>
      <c r="I35" s="380" t="str">
        <f>IFERROR(IF(Equipos!Q19="","",INDEX(Financiamiento!$C:$C,12+(Equipos!Q19-1)*17)),"")</f>
        <v/>
      </c>
      <c r="J35" s="380" t="str">
        <f t="shared" si="0"/>
        <v/>
      </c>
      <c r="N35" s="361"/>
    </row>
    <row r="36" spans="2:14" s="342" customFormat="1" ht="53.25" customHeight="1">
      <c r="B36" s="381">
        <f>Equipos!D20</f>
        <v>0</v>
      </c>
      <c r="C36" s="527">
        <f>Equipos!B20</f>
        <v>0</v>
      </c>
      <c r="D36" s="528"/>
      <c r="E36" s="528"/>
      <c r="F36" s="528"/>
      <c r="G36" s="528"/>
      <c r="H36" s="529"/>
      <c r="I36" s="380" t="str">
        <f>IFERROR(IF(Equipos!Q20="","",INDEX(Financiamiento!$C:$C,12+(Equipos!Q20-1)*17)),"")</f>
        <v/>
      </c>
      <c r="J36" s="380" t="str">
        <f t="shared" si="0"/>
        <v/>
      </c>
      <c r="N36" s="361"/>
    </row>
    <row r="37" spans="2:14" s="342" customFormat="1" ht="53.25" customHeight="1">
      <c r="B37" s="381">
        <f>Equipos!D21</f>
        <v>0</v>
      </c>
      <c r="C37" s="527">
        <f>Equipos!B21</f>
        <v>0</v>
      </c>
      <c r="D37" s="528"/>
      <c r="E37" s="528"/>
      <c r="F37" s="528"/>
      <c r="G37" s="528"/>
      <c r="H37" s="529"/>
      <c r="I37" s="380" t="str">
        <f>IFERROR(IF(Equipos!Q21="","",INDEX(Financiamiento!$C:$C,12+(Equipos!Q21-1)*17)),"")</f>
        <v/>
      </c>
      <c r="J37" s="380" t="str">
        <f t="shared" si="0"/>
        <v/>
      </c>
      <c r="N37" s="361"/>
    </row>
    <row r="38" spans="2:14" s="342" customFormat="1" ht="53.25" customHeight="1">
      <c r="B38" s="381">
        <f>Equipos!D22</f>
        <v>0</v>
      </c>
      <c r="C38" s="527">
        <f>Equipos!B22</f>
        <v>0</v>
      </c>
      <c r="D38" s="528"/>
      <c r="E38" s="528"/>
      <c r="F38" s="528"/>
      <c r="G38" s="528"/>
      <c r="H38" s="529"/>
      <c r="I38" s="380" t="str">
        <f>IFERROR(IF(Equipos!Q22="","",INDEX(Financiamiento!$C:$C,12+(Equipos!Q22-1)*17)),"")</f>
        <v/>
      </c>
      <c r="J38" s="380" t="str">
        <f t="shared" si="0"/>
        <v/>
      </c>
      <c r="N38" s="361"/>
    </row>
    <row r="39" spans="2:14" s="342" customFormat="1" ht="53.25" customHeight="1">
      <c r="B39" s="381">
        <f>Equipos!D23</f>
        <v>0</v>
      </c>
      <c r="C39" s="527">
        <f>Equipos!B23</f>
        <v>0</v>
      </c>
      <c r="D39" s="528"/>
      <c r="E39" s="528"/>
      <c r="F39" s="528"/>
      <c r="G39" s="528"/>
      <c r="H39" s="529"/>
      <c r="I39" s="380" t="str">
        <f>IFERROR(IF(Equipos!Q23="","",INDEX(Financiamiento!$C:$C,12+(Equipos!Q23-1)*17)),"")</f>
        <v/>
      </c>
      <c r="J39" s="380" t="str">
        <f t="shared" si="0"/>
        <v/>
      </c>
      <c r="N39" s="361"/>
    </row>
    <row r="40" spans="2:14" s="342" customFormat="1" ht="53.25" customHeight="1">
      <c r="B40" s="381">
        <f>Equipos!D24</f>
        <v>0</v>
      </c>
      <c r="C40" s="527">
        <f>Equipos!B24</f>
        <v>0</v>
      </c>
      <c r="D40" s="528"/>
      <c r="E40" s="528"/>
      <c r="F40" s="528"/>
      <c r="G40" s="528"/>
      <c r="H40" s="529"/>
      <c r="I40" s="380" t="str">
        <f>IFERROR(IF(Equipos!Q24="","",INDEX(Financiamiento!$C:$C,12+(Equipos!Q24-1)*17)),"")</f>
        <v/>
      </c>
      <c r="J40" s="380" t="str">
        <f t="shared" si="0"/>
        <v/>
      </c>
      <c r="N40" s="361"/>
    </row>
    <row r="41" spans="2:14" s="342" customFormat="1" ht="53.25" customHeight="1">
      <c r="B41" s="381">
        <f>Equipos!D25</f>
        <v>0</v>
      </c>
      <c r="C41" s="527">
        <f>Equipos!B25</f>
        <v>0</v>
      </c>
      <c r="D41" s="528"/>
      <c r="E41" s="528"/>
      <c r="F41" s="528"/>
      <c r="G41" s="528"/>
      <c r="H41" s="529"/>
      <c r="I41" s="380" t="str">
        <f>IFERROR(IF(Equipos!Q25="","",INDEX(Financiamiento!$C:$C,12+(Equipos!Q25-1)*17)),"")</f>
        <v/>
      </c>
      <c r="J41" s="380" t="str">
        <f t="shared" si="0"/>
        <v/>
      </c>
      <c r="N41" s="361"/>
    </row>
    <row r="42" spans="2:14" s="342" customFormat="1" ht="53.25" customHeight="1">
      <c r="B42" s="381">
        <f>Equipos!D26</f>
        <v>0</v>
      </c>
      <c r="C42" s="527">
        <f>Equipos!B26</f>
        <v>0</v>
      </c>
      <c r="D42" s="528"/>
      <c r="E42" s="528"/>
      <c r="F42" s="528"/>
      <c r="G42" s="528"/>
      <c r="H42" s="529"/>
      <c r="I42" s="380" t="str">
        <f>IFERROR(IF(Equipos!Q26="","",INDEX(Financiamiento!$C:$C,12+(Equipos!Q26-1)*17)),"")</f>
        <v/>
      </c>
      <c r="J42" s="380" t="str">
        <f t="shared" si="0"/>
        <v/>
      </c>
      <c r="N42" s="361"/>
    </row>
    <row r="43" spans="2:14" s="342" customFormat="1" ht="53.25" customHeight="1">
      <c r="B43" s="381">
        <f>Equipos!D27</f>
        <v>0</v>
      </c>
      <c r="C43" s="527">
        <f>Equipos!B27</f>
        <v>0</v>
      </c>
      <c r="D43" s="528"/>
      <c r="E43" s="528"/>
      <c r="F43" s="528"/>
      <c r="G43" s="528"/>
      <c r="H43" s="529"/>
      <c r="I43" s="380" t="str">
        <f>IFERROR(IF(Equipos!Q27="","",INDEX(Financiamiento!$C:$C,12+(Equipos!Q27-1)*17)),"")</f>
        <v/>
      </c>
      <c r="J43" s="380" t="str">
        <f t="shared" si="0"/>
        <v/>
      </c>
      <c r="N43" s="361"/>
    </row>
    <row r="44" spans="2:14" s="342" customFormat="1" ht="53.25" customHeight="1">
      <c r="B44" s="381">
        <f>Equipos!D28</f>
        <v>0</v>
      </c>
      <c r="C44" s="527">
        <f>Equipos!B28</f>
        <v>0</v>
      </c>
      <c r="D44" s="528"/>
      <c r="E44" s="528"/>
      <c r="F44" s="528"/>
      <c r="G44" s="528"/>
      <c r="H44" s="529"/>
      <c r="I44" s="380" t="str">
        <f>IFERROR(IF(Equipos!Q28="","",INDEX(Financiamiento!$C:$C,12+(Equipos!Q28-1)*17)),"")</f>
        <v/>
      </c>
      <c r="J44" s="380" t="str">
        <f t="shared" si="0"/>
        <v/>
      </c>
      <c r="N44" s="361"/>
    </row>
    <row r="45" spans="2:14" s="342" customFormat="1" ht="53.25" customHeight="1">
      <c r="B45" s="381">
        <f>Equipos!D29</f>
        <v>0</v>
      </c>
      <c r="C45" s="527">
        <f>Equipos!B29</f>
        <v>0</v>
      </c>
      <c r="D45" s="528"/>
      <c r="E45" s="528"/>
      <c r="F45" s="528"/>
      <c r="G45" s="528"/>
      <c r="H45" s="529"/>
      <c r="I45" s="380" t="str">
        <f>IFERROR(IF(Equipos!Q29="","",INDEX(Financiamiento!$C:$C,12+(Equipos!Q29-1)*17)),"")</f>
        <v/>
      </c>
      <c r="J45" s="380" t="str">
        <f t="shared" si="0"/>
        <v/>
      </c>
      <c r="N45" s="361"/>
    </row>
    <row r="46" spans="2:14" s="342" customFormat="1" ht="53.25" customHeight="1">
      <c r="B46" s="381">
        <f>Equipos!D30</f>
        <v>0</v>
      </c>
      <c r="C46" s="527">
        <f>Equipos!B30</f>
        <v>0</v>
      </c>
      <c r="D46" s="528"/>
      <c r="E46" s="528"/>
      <c r="F46" s="528"/>
      <c r="G46" s="528"/>
      <c r="H46" s="529"/>
      <c r="I46" s="380" t="str">
        <f>IFERROR(IF(Equipos!Q30="","",INDEX(Financiamiento!$C:$C,12+(Equipos!Q30-1)*17)),"")</f>
        <v/>
      </c>
      <c r="J46" s="380" t="str">
        <f t="shared" si="0"/>
        <v/>
      </c>
      <c r="N46" s="361"/>
    </row>
    <row r="47" spans="2:14" s="342" customFormat="1" ht="53.25" customHeight="1">
      <c r="B47" s="381">
        <f>Equipos!D31</f>
        <v>0</v>
      </c>
      <c r="C47" s="527">
        <f>Equipos!B31</f>
        <v>0</v>
      </c>
      <c r="D47" s="528"/>
      <c r="E47" s="528"/>
      <c r="F47" s="528"/>
      <c r="G47" s="528"/>
      <c r="H47" s="529"/>
      <c r="I47" s="380" t="str">
        <f>IFERROR(IF(Equipos!Q31="","",INDEX(Financiamiento!$C:$C,12+(Equipos!Q31-1)*17)),"")</f>
        <v/>
      </c>
      <c r="J47" s="380" t="str">
        <f t="shared" si="0"/>
        <v/>
      </c>
      <c r="N47" s="361"/>
    </row>
    <row r="48" spans="2:14" s="342" customFormat="1" ht="53.25" customHeight="1">
      <c r="B48" s="381">
        <f>Equipos!D32</f>
        <v>0</v>
      </c>
      <c r="C48" s="527">
        <f>Equipos!B32</f>
        <v>0</v>
      </c>
      <c r="D48" s="528"/>
      <c r="E48" s="528"/>
      <c r="F48" s="528"/>
      <c r="G48" s="528"/>
      <c r="H48" s="529"/>
      <c r="I48" s="380" t="str">
        <f>IFERROR(IF(Equipos!Q32="","",INDEX(Financiamiento!$C:$C,12+(Equipos!Q32-1)*17)),"")</f>
        <v/>
      </c>
      <c r="J48" s="380" t="str">
        <f t="shared" si="0"/>
        <v/>
      </c>
      <c r="N48" s="361"/>
    </row>
    <row r="49" spans="2:14" s="342" customFormat="1" ht="53.25" customHeight="1">
      <c r="B49" s="381">
        <f>Equipos!D33</f>
        <v>0</v>
      </c>
      <c r="C49" s="527">
        <f>Equipos!B33</f>
        <v>0</v>
      </c>
      <c r="D49" s="528"/>
      <c r="E49" s="528"/>
      <c r="F49" s="528"/>
      <c r="G49" s="528"/>
      <c r="H49" s="529"/>
      <c r="I49" s="380" t="str">
        <f>IFERROR(IF(Equipos!Q33="","",INDEX(Financiamiento!$C:$C,12+(Equipos!Q33-1)*17)),"")</f>
        <v/>
      </c>
      <c r="J49" s="380" t="str">
        <f t="shared" si="0"/>
        <v/>
      </c>
      <c r="N49" s="361"/>
    </row>
    <row r="50" spans="2:14" s="342" customFormat="1" ht="53.25" customHeight="1">
      <c r="B50" s="381">
        <f>Equipos!D34</f>
        <v>0</v>
      </c>
      <c r="C50" s="527">
        <f>Equipos!B34</f>
        <v>0</v>
      </c>
      <c r="D50" s="528"/>
      <c r="E50" s="528"/>
      <c r="F50" s="528"/>
      <c r="G50" s="528"/>
      <c r="H50" s="529"/>
      <c r="I50" s="380" t="str">
        <f>IFERROR(IF(Equipos!Q34="","",INDEX(Financiamiento!$C:$C,12+(Equipos!Q34-1)*17)),"")</f>
        <v/>
      </c>
      <c r="J50" s="380" t="str">
        <f t="shared" si="0"/>
        <v/>
      </c>
      <c r="N50" s="361"/>
    </row>
    <row r="51" spans="2:14" s="342" customFormat="1" ht="53.25" customHeight="1">
      <c r="B51" s="381">
        <f>Equipos!D35</f>
        <v>0</v>
      </c>
      <c r="C51" s="527">
        <f>Equipos!B35</f>
        <v>0</v>
      </c>
      <c r="D51" s="528"/>
      <c r="E51" s="528"/>
      <c r="F51" s="528"/>
      <c r="G51" s="528"/>
      <c r="H51" s="529"/>
      <c r="I51" s="380" t="str">
        <f>IFERROR(IF(Equipos!Q35="","",INDEX(Financiamiento!$C:$C,12+(Equipos!Q35-1)*17)),"")</f>
        <v/>
      </c>
      <c r="J51" s="380" t="str">
        <f t="shared" si="0"/>
        <v/>
      </c>
      <c r="N51" s="361"/>
    </row>
    <row r="52" spans="2:14" s="342" customFormat="1" ht="53.25" customHeight="1">
      <c r="B52" s="381">
        <f>Equipos!D36</f>
        <v>0</v>
      </c>
      <c r="C52" s="527">
        <f>Equipos!B36</f>
        <v>0</v>
      </c>
      <c r="D52" s="528"/>
      <c r="E52" s="528"/>
      <c r="F52" s="528"/>
      <c r="G52" s="528"/>
      <c r="H52" s="529"/>
      <c r="I52" s="380" t="str">
        <f>IFERROR(IF(Equipos!Q36="","",INDEX(Financiamiento!$C:$C,12+(Equipos!Q36-1)*17)),"")</f>
        <v/>
      </c>
      <c r="J52" s="380" t="str">
        <f t="shared" si="0"/>
        <v/>
      </c>
      <c r="N52" s="361"/>
    </row>
    <row r="53" spans="2:14" s="342" customFormat="1" ht="53.25" customHeight="1">
      <c r="B53" s="381">
        <f>Equipos!D37</f>
        <v>0</v>
      </c>
      <c r="C53" s="527">
        <f>Equipos!B37</f>
        <v>0</v>
      </c>
      <c r="D53" s="528"/>
      <c r="E53" s="528"/>
      <c r="F53" s="528"/>
      <c r="G53" s="528"/>
      <c r="H53" s="529"/>
      <c r="I53" s="380" t="str">
        <f>IFERROR(IF(Equipos!Q37="","",INDEX(Financiamiento!$C:$C,12+(Equipos!Q37-1)*17)),"")</f>
        <v/>
      </c>
      <c r="J53" s="380" t="str">
        <f t="shared" si="0"/>
        <v/>
      </c>
      <c r="N53" s="361"/>
    </row>
    <row r="54" spans="2:14" s="342" customFormat="1" ht="53.25" customHeight="1">
      <c r="B54" s="381">
        <f>Equipos!D38</f>
        <v>0</v>
      </c>
      <c r="C54" s="527">
        <f>Equipos!B38</f>
        <v>0</v>
      </c>
      <c r="D54" s="528"/>
      <c r="E54" s="528"/>
      <c r="F54" s="528"/>
      <c r="G54" s="528"/>
      <c r="H54" s="529"/>
      <c r="I54" s="380" t="str">
        <f>IFERROR(IF(Equipos!Q38="","",INDEX(Financiamiento!$C:$C,12+(Equipos!Q38-1)*17)),"")</f>
        <v/>
      </c>
      <c r="J54" s="380" t="str">
        <f t="shared" ref="J54:J71" si="1">IFERROR(I54*B54,"")</f>
        <v/>
      </c>
      <c r="N54" s="361"/>
    </row>
    <row r="55" spans="2:14" s="342" customFormat="1" ht="53.25" customHeight="1">
      <c r="B55" s="381">
        <f>Equipos!D39</f>
        <v>0</v>
      </c>
      <c r="C55" s="527">
        <f>Equipos!B39</f>
        <v>0</v>
      </c>
      <c r="D55" s="528"/>
      <c r="E55" s="528"/>
      <c r="F55" s="528"/>
      <c r="G55" s="528"/>
      <c r="H55" s="529"/>
      <c r="I55" s="380" t="str">
        <f>IFERROR(IF(Equipos!Q39="","",INDEX(Financiamiento!$C:$C,12+(Equipos!Q39-1)*17)),"")</f>
        <v/>
      </c>
      <c r="J55" s="380" t="str">
        <f t="shared" si="1"/>
        <v/>
      </c>
      <c r="N55" s="361"/>
    </row>
    <row r="56" spans="2:14" s="342" customFormat="1" ht="53.25" customHeight="1">
      <c r="B56" s="381">
        <f>Equipos!D40</f>
        <v>0</v>
      </c>
      <c r="C56" s="527">
        <f>Equipos!B40</f>
        <v>0</v>
      </c>
      <c r="D56" s="528"/>
      <c r="E56" s="528"/>
      <c r="F56" s="528"/>
      <c r="G56" s="528"/>
      <c r="H56" s="529"/>
      <c r="I56" s="380" t="str">
        <f>IFERROR(IF(Equipos!Q40="","",INDEX(Financiamiento!$C:$C,12+(Equipos!Q40-1)*17)),"")</f>
        <v/>
      </c>
      <c r="J56" s="380" t="str">
        <f t="shared" si="1"/>
        <v/>
      </c>
      <c r="N56" s="361"/>
    </row>
    <row r="57" spans="2:14" s="342" customFormat="1" ht="53.25" customHeight="1">
      <c r="B57" s="381">
        <f>Equipos!D41</f>
        <v>0</v>
      </c>
      <c r="C57" s="527">
        <f>Equipos!B41</f>
        <v>0</v>
      </c>
      <c r="D57" s="528"/>
      <c r="E57" s="528"/>
      <c r="F57" s="528"/>
      <c r="G57" s="528"/>
      <c r="H57" s="529"/>
      <c r="I57" s="380" t="str">
        <f>IFERROR(IF(Equipos!Q41="","",INDEX(Financiamiento!$C:$C,12+(Equipos!Q41-1)*17)),"")</f>
        <v/>
      </c>
      <c r="J57" s="380" t="str">
        <f t="shared" si="1"/>
        <v/>
      </c>
      <c r="N57" s="361"/>
    </row>
    <row r="58" spans="2:14" s="342" customFormat="1" ht="53.25" customHeight="1">
      <c r="B58" s="381">
        <f>Equipos!D42</f>
        <v>0</v>
      </c>
      <c r="C58" s="527">
        <f>Equipos!B42</f>
        <v>0</v>
      </c>
      <c r="D58" s="528"/>
      <c r="E58" s="528"/>
      <c r="F58" s="528"/>
      <c r="G58" s="528"/>
      <c r="H58" s="529"/>
      <c r="I58" s="380" t="str">
        <f>IFERROR(IF(Equipos!Q42="","",INDEX(Financiamiento!$C:$C,12+(Equipos!Q42-1)*17)),"")</f>
        <v/>
      </c>
      <c r="J58" s="380" t="str">
        <f t="shared" si="1"/>
        <v/>
      </c>
      <c r="N58" s="361"/>
    </row>
    <row r="59" spans="2:14" s="342" customFormat="1" ht="53.25" customHeight="1">
      <c r="B59" s="381">
        <f>Equipos!D43</f>
        <v>0</v>
      </c>
      <c r="C59" s="527">
        <f>Equipos!B43</f>
        <v>0</v>
      </c>
      <c r="D59" s="528"/>
      <c r="E59" s="528"/>
      <c r="F59" s="528"/>
      <c r="G59" s="528"/>
      <c r="H59" s="529"/>
      <c r="I59" s="380" t="str">
        <f>IFERROR(IF(Equipos!Q43="","",INDEX(Financiamiento!$C:$C,12+(Equipos!Q43-1)*17)),"")</f>
        <v/>
      </c>
      <c r="J59" s="380" t="str">
        <f t="shared" si="1"/>
        <v/>
      </c>
      <c r="N59" s="361"/>
    </row>
    <row r="60" spans="2:14" s="342" customFormat="1" ht="53.25" customHeight="1">
      <c r="B60" s="381">
        <f>Equipos!D44</f>
        <v>0</v>
      </c>
      <c r="C60" s="527">
        <f>Equipos!B44</f>
        <v>0</v>
      </c>
      <c r="D60" s="528"/>
      <c r="E60" s="528"/>
      <c r="F60" s="528"/>
      <c r="G60" s="528"/>
      <c r="H60" s="529"/>
      <c r="I60" s="380" t="str">
        <f>IFERROR(IF(Equipos!Q44="","",INDEX(Financiamiento!$C:$C,12+(Equipos!Q44-1)*17)),"")</f>
        <v/>
      </c>
      <c r="J60" s="380" t="str">
        <f t="shared" si="1"/>
        <v/>
      </c>
      <c r="N60" s="361"/>
    </row>
    <row r="61" spans="2:14" s="342" customFormat="1" ht="53.25" customHeight="1">
      <c r="B61" s="381">
        <f>Equipos!D45</f>
        <v>0</v>
      </c>
      <c r="C61" s="527">
        <f>Equipos!B45</f>
        <v>0</v>
      </c>
      <c r="D61" s="528"/>
      <c r="E61" s="528"/>
      <c r="F61" s="528"/>
      <c r="G61" s="528"/>
      <c r="H61" s="529"/>
      <c r="I61" s="380" t="str">
        <f>IFERROR(IF(Equipos!Q45="","",INDEX(Financiamiento!$C:$C,12+(Equipos!Q45-1)*17)),"")</f>
        <v/>
      </c>
      <c r="J61" s="380" t="str">
        <f t="shared" si="1"/>
        <v/>
      </c>
      <c r="N61" s="361"/>
    </row>
    <row r="62" spans="2:14" s="342" customFormat="1" ht="53.25" customHeight="1">
      <c r="B62" s="381">
        <f>Equipos!D46</f>
        <v>0</v>
      </c>
      <c r="C62" s="527">
        <f>Equipos!B46</f>
        <v>0</v>
      </c>
      <c r="D62" s="528"/>
      <c r="E62" s="528"/>
      <c r="F62" s="528"/>
      <c r="G62" s="528"/>
      <c r="H62" s="529"/>
      <c r="I62" s="380" t="str">
        <f>IFERROR(IF(Equipos!Q46="","",INDEX(Financiamiento!$C:$C,12+(Equipos!Q46-1)*17)),"")</f>
        <v/>
      </c>
      <c r="J62" s="380" t="str">
        <f t="shared" si="1"/>
        <v/>
      </c>
      <c r="N62" s="361"/>
    </row>
    <row r="63" spans="2:14" s="342" customFormat="1" ht="53.25" customHeight="1">
      <c r="B63" s="381">
        <f>Equipos!D47</f>
        <v>0</v>
      </c>
      <c r="C63" s="527">
        <f>Equipos!B47</f>
        <v>0</v>
      </c>
      <c r="D63" s="528"/>
      <c r="E63" s="528"/>
      <c r="F63" s="528"/>
      <c r="G63" s="528"/>
      <c r="H63" s="529"/>
      <c r="I63" s="380" t="str">
        <f>IFERROR(IF(Equipos!Q47="","",INDEX(Financiamiento!$C:$C,12+(Equipos!Q47-1)*17)),"")</f>
        <v/>
      </c>
      <c r="J63" s="380" t="str">
        <f t="shared" si="1"/>
        <v/>
      </c>
      <c r="N63" s="361"/>
    </row>
    <row r="64" spans="2:14" s="342" customFormat="1" ht="53.25" customHeight="1">
      <c r="B64" s="381">
        <f>Equipos!D48</f>
        <v>0</v>
      </c>
      <c r="C64" s="527">
        <f>Equipos!B48</f>
        <v>0</v>
      </c>
      <c r="D64" s="528"/>
      <c r="E64" s="528"/>
      <c r="F64" s="528"/>
      <c r="G64" s="528"/>
      <c r="H64" s="529"/>
      <c r="I64" s="380" t="str">
        <f>IFERROR(IF(Equipos!Q48="","",INDEX(Financiamiento!$C:$C,12+(Equipos!Q48-1)*17)),"")</f>
        <v/>
      </c>
      <c r="J64" s="380" t="str">
        <f t="shared" si="1"/>
        <v/>
      </c>
      <c r="N64" s="361"/>
    </row>
    <row r="65" spans="2:14" s="342" customFormat="1" ht="53.25" customHeight="1">
      <c r="B65" s="381">
        <f>Equipos!D49</f>
        <v>0</v>
      </c>
      <c r="C65" s="527">
        <f>Equipos!B49</f>
        <v>0</v>
      </c>
      <c r="D65" s="528"/>
      <c r="E65" s="528"/>
      <c r="F65" s="528"/>
      <c r="G65" s="528"/>
      <c r="H65" s="529"/>
      <c r="I65" s="380" t="str">
        <f>IFERROR(IF(Equipos!Q49="","",INDEX(Financiamiento!$C:$C,12+(Equipos!Q49-1)*17)),"")</f>
        <v/>
      </c>
      <c r="J65" s="380" t="str">
        <f t="shared" si="1"/>
        <v/>
      </c>
      <c r="N65" s="361"/>
    </row>
    <row r="66" spans="2:14" s="342" customFormat="1" ht="53.25" customHeight="1">
      <c r="B66" s="381">
        <f>Equipos!D50</f>
        <v>0</v>
      </c>
      <c r="C66" s="527">
        <f>Equipos!B50</f>
        <v>0</v>
      </c>
      <c r="D66" s="528"/>
      <c r="E66" s="528"/>
      <c r="F66" s="528"/>
      <c r="G66" s="528"/>
      <c r="H66" s="529"/>
      <c r="I66" s="380" t="str">
        <f>IFERROR(IF(Equipos!Q50="","",INDEX(Financiamiento!$C:$C,12+(Equipos!Q50-1)*17)),"")</f>
        <v/>
      </c>
      <c r="J66" s="380" t="str">
        <f t="shared" si="1"/>
        <v/>
      </c>
      <c r="N66" s="361"/>
    </row>
    <row r="67" spans="2:14" s="342" customFormat="1" ht="53.25" customHeight="1">
      <c r="B67" s="381">
        <f>Equipos!D51</f>
        <v>0</v>
      </c>
      <c r="C67" s="527">
        <f>Equipos!B51</f>
        <v>0</v>
      </c>
      <c r="D67" s="528"/>
      <c r="E67" s="528"/>
      <c r="F67" s="528"/>
      <c r="G67" s="528"/>
      <c r="H67" s="529"/>
      <c r="I67" s="380" t="str">
        <f>IFERROR(IF(Equipos!Q51="","",INDEX(Financiamiento!$C:$C,12+(Equipos!Q51-1)*17)),"")</f>
        <v/>
      </c>
      <c r="J67" s="380" t="str">
        <f t="shared" si="1"/>
        <v/>
      </c>
      <c r="N67" s="361"/>
    </row>
    <row r="68" spans="2:14" s="342" customFormat="1" ht="53.25" customHeight="1">
      <c r="B68" s="381">
        <f>Equipos!D52</f>
        <v>0</v>
      </c>
      <c r="C68" s="527">
        <f>Equipos!B52</f>
        <v>0</v>
      </c>
      <c r="D68" s="528"/>
      <c r="E68" s="528"/>
      <c r="F68" s="528"/>
      <c r="G68" s="528"/>
      <c r="H68" s="529"/>
      <c r="I68" s="380" t="str">
        <f>IFERROR(IF(Equipos!Q52="","",INDEX(Financiamiento!$C:$C,12+(Equipos!Q52-1)*17)),"")</f>
        <v/>
      </c>
      <c r="J68" s="380" t="str">
        <f t="shared" si="1"/>
        <v/>
      </c>
      <c r="N68" s="361"/>
    </row>
    <row r="69" spans="2:14" s="342" customFormat="1" ht="53.25" customHeight="1">
      <c r="B69" s="381">
        <f>Equipos!D53</f>
        <v>0</v>
      </c>
      <c r="C69" s="527">
        <f>Equipos!B53</f>
        <v>0</v>
      </c>
      <c r="D69" s="528"/>
      <c r="E69" s="528"/>
      <c r="F69" s="528"/>
      <c r="G69" s="528"/>
      <c r="H69" s="529"/>
      <c r="I69" s="380" t="str">
        <f>IFERROR(IF(Equipos!Q53="","",INDEX(Financiamiento!$C:$C,12+(Equipos!Q53-1)*17)),"")</f>
        <v/>
      </c>
      <c r="J69" s="380" t="str">
        <f t="shared" si="1"/>
        <v/>
      </c>
      <c r="N69" s="361"/>
    </row>
    <row r="70" spans="2:14" s="342" customFormat="1" ht="53.25" customHeight="1">
      <c r="B70" s="381">
        <f>Equipos!D54</f>
        <v>0</v>
      </c>
      <c r="C70" s="527">
        <f>Equipos!B54</f>
        <v>0</v>
      </c>
      <c r="D70" s="528"/>
      <c r="E70" s="528"/>
      <c r="F70" s="528"/>
      <c r="G70" s="528"/>
      <c r="H70" s="529"/>
      <c r="I70" s="380" t="str">
        <f>IFERROR(IF(Equipos!Q54="","",INDEX(Financiamiento!$C:$C,12+(Equipos!Q54-1)*17)),"")</f>
        <v/>
      </c>
      <c r="J70" s="380" t="str">
        <f t="shared" si="1"/>
        <v/>
      </c>
      <c r="N70" s="361"/>
    </row>
    <row r="71" spans="2:14" s="342" customFormat="1" ht="39" customHeight="1">
      <c r="B71" s="381">
        <f>Equipos!D55</f>
        <v>0</v>
      </c>
      <c r="C71" s="527">
        <f>Equipos!B55</f>
        <v>0</v>
      </c>
      <c r="D71" s="528"/>
      <c r="E71" s="528"/>
      <c r="F71" s="528"/>
      <c r="G71" s="528"/>
      <c r="H71" s="529"/>
      <c r="I71" s="380" t="str">
        <f>IFERROR(IF(Equipos!Q55="","",INDEX(Financiamiento!$C:$C,12+(Equipos!Q55-1)*17)),"")</f>
        <v/>
      </c>
      <c r="J71" s="380" t="str">
        <f t="shared" si="1"/>
        <v/>
      </c>
      <c r="N71" s="361"/>
    </row>
    <row r="72" spans="2:14">
      <c r="B72" s="532" t="s">
        <v>348</v>
      </c>
      <c r="C72" s="533"/>
      <c r="D72" s="533"/>
      <c r="E72" s="533"/>
      <c r="F72" s="533"/>
      <c r="G72" s="533"/>
      <c r="H72" s="533"/>
      <c r="I72" s="533"/>
      <c r="J72" s="534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644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30" t="s">
        <v>353</v>
      </c>
      <c r="C89" s="530"/>
      <c r="D89" s="530"/>
      <c r="E89" s="530"/>
    </row>
    <row r="90" spans="2:10" ht="25.5" customHeight="1">
      <c r="B90" s="531" t="s">
        <v>354</v>
      </c>
      <c r="C90" s="531"/>
      <c r="D90" s="531"/>
      <c r="E90" s="531"/>
    </row>
    <row r="91" spans="2:10">
      <c r="B91" s="530" t="s">
        <v>339</v>
      </c>
      <c r="C91" s="530"/>
      <c r="D91" s="530"/>
      <c r="E91" s="530"/>
    </row>
    <row r="92" spans="2:10">
      <c r="B92" s="530" t="s">
        <v>572</v>
      </c>
      <c r="C92" s="530"/>
      <c r="D92" s="530"/>
      <c r="E92" s="362"/>
    </row>
  </sheetData>
  <mergeCells count="63"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18:G18"/>
    <mergeCell ref="B5:C5"/>
    <mergeCell ref="B6:F6"/>
    <mergeCell ref="C12:G12"/>
    <mergeCell ref="C13:G13"/>
    <mergeCell ref="C14:G14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47" t="s">
        <v>355</v>
      </c>
      <c r="C1" s="547"/>
      <c r="D1" s="547"/>
      <c r="E1" s="548"/>
      <c r="F1" s="549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50" t="s">
        <v>356</v>
      </c>
      <c r="C3" s="550"/>
      <c r="D3" s="550"/>
      <c r="E3" s="550"/>
      <c r="F3" s="550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41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7"/>
      <c r="B6" s="430"/>
      <c r="C6" s="428" t="s">
        <v>369</v>
      </c>
      <c r="D6" s="429">
        <v>0</v>
      </c>
      <c r="E6" s="403">
        <v>0</v>
      </c>
      <c r="F6" s="404">
        <f>E6*D6</f>
        <v>0</v>
      </c>
      <c r="G6" s="403">
        <f t="shared" ref="G6:G55" si="0">IF(C6="si",E6*$G$4,0)</f>
        <v>0</v>
      </c>
      <c r="H6" s="403">
        <f>(E6+G6)*$H$4</f>
        <v>0</v>
      </c>
      <c r="I6" s="403">
        <f>+(E6+G6+H6)*$I$4</f>
        <v>0</v>
      </c>
      <c r="J6" s="403">
        <f>IF(C6="si",(E6+G6+H6+I6)*$J$4,0)</f>
        <v>0</v>
      </c>
      <c r="K6" s="403">
        <f>E6+G6+H6+I6+J6</f>
        <v>0</v>
      </c>
      <c r="L6" s="403">
        <f>K6*$L$4</f>
        <v>0</v>
      </c>
      <c r="M6" s="405">
        <f>(K6+L6)*D6</f>
        <v>0</v>
      </c>
      <c r="N6" s="403">
        <f>(K6+L6)*$N$4/(1-$N$4)</f>
        <v>0</v>
      </c>
      <c r="O6" s="403">
        <f>N6+K6+L6</f>
        <v>0</v>
      </c>
      <c r="P6" s="403">
        <f>O6*D6</f>
        <v>0</v>
      </c>
    </row>
    <row r="7" spans="1:17">
      <c r="A7" s="427"/>
      <c r="B7" s="427"/>
      <c r="C7" s="428" t="s">
        <v>369</v>
      </c>
      <c r="D7" s="429">
        <v>0</v>
      </c>
      <c r="E7" s="403">
        <v>0</v>
      </c>
      <c r="F7" s="404">
        <f t="shared" ref="F7:F55" si="1">E7*D7</f>
        <v>0</v>
      </c>
      <c r="G7" s="403">
        <f t="shared" si="0"/>
        <v>0</v>
      </c>
      <c r="H7" s="403">
        <f t="shared" ref="H7:H55" si="2">(E7+G7)*$H$4</f>
        <v>0</v>
      </c>
      <c r="I7" s="403">
        <f t="shared" ref="I7:I55" si="3">+(E7+G7+H7)*$I$4</f>
        <v>0</v>
      </c>
      <c r="J7" s="403">
        <f t="shared" ref="J7:J55" si="4">IF(C7="si",(E7+G7+H7+I7)*$J$4,0)</f>
        <v>0</v>
      </c>
      <c r="K7" s="403">
        <f t="shared" ref="K7:K55" si="5">E7+G7+H7+I7+J7</f>
        <v>0</v>
      </c>
      <c r="L7" s="403">
        <f t="shared" ref="L7:L55" si="6">K7*$L$4</f>
        <v>0</v>
      </c>
      <c r="M7" s="405">
        <f t="shared" ref="M7:M55" si="7">(K7+L7)*D7</f>
        <v>0</v>
      </c>
      <c r="N7" s="403">
        <f t="shared" ref="N7:N55" si="8">(K7+L7)*$N$4/(1-$N$4)</f>
        <v>0</v>
      </c>
      <c r="O7" s="403">
        <f t="shared" ref="O7:O55" si="9">N7+K7+L7</f>
        <v>0</v>
      </c>
      <c r="P7" s="403">
        <f t="shared" ref="P7:P55" si="10">O7*D7</f>
        <v>0</v>
      </c>
    </row>
    <row r="8" spans="1:17">
      <c r="A8" s="427"/>
      <c r="B8" s="427"/>
      <c r="C8" s="428" t="s">
        <v>369</v>
      </c>
      <c r="D8" s="429">
        <v>0</v>
      </c>
      <c r="E8" s="403">
        <v>0</v>
      </c>
      <c r="F8" s="404">
        <f t="shared" si="1"/>
        <v>0</v>
      </c>
      <c r="G8" s="403">
        <f t="shared" si="0"/>
        <v>0</v>
      </c>
      <c r="H8" s="403">
        <f t="shared" si="2"/>
        <v>0</v>
      </c>
      <c r="I8" s="403">
        <f t="shared" si="3"/>
        <v>0</v>
      </c>
      <c r="J8" s="403">
        <f t="shared" si="4"/>
        <v>0</v>
      </c>
      <c r="K8" s="403">
        <f t="shared" si="5"/>
        <v>0</v>
      </c>
      <c r="L8" s="403">
        <f t="shared" si="6"/>
        <v>0</v>
      </c>
      <c r="M8" s="405">
        <f t="shared" si="7"/>
        <v>0</v>
      </c>
      <c r="N8" s="403">
        <f t="shared" si="8"/>
        <v>0</v>
      </c>
      <c r="O8" s="403">
        <f t="shared" si="9"/>
        <v>0</v>
      </c>
      <c r="P8" s="403">
        <f t="shared" si="10"/>
        <v>0</v>
      </c>
    </row>
    <row r="9" spans="1:17">
      <c r="A9" s="427"/>
      <c r="B9" s="427"/>
      <c r="C9" s="428" t="s">
        <v>369</v>
      </c>
      <c r="D9" s="429">
        <v>0</v>
      </c>
      <c r="E9" s="403">
        <v>0</v>
      </c>
      <c r="F9" s="404">
        <f t="shared" si="1"/>
        <v>0</v>
      </c>
      <c r="G9" s="403">
        <f t="shared" si="0"/>
        <v>0</v>
      </c>
      <c r="H9" s="403">
        <f t="shared" si="2"/>
        <v>0</v>
      </c>
      <c r="I9" s="403">
        <f t="shared" si="3"/>
        <v>0</v>
      </c>
      <c r="J9" s="403">
        <f t="shared" si="4"/>
        <v>0</v>
      </c>
      <c r="K9" s="403">
        <f t="shared" si="5"/>
        <v>0</v>
      </c>
      <c r="L9" s="403">
        <f t="shared" si="6"/>
        <v>0</v>
      </c>
      <c r="M9" s="405">
        <f t="shared" si="7"/>
        <v>0</v>
      </c>
      <c r="N9" s="403">
        <f t="shared" si="8"/>
        <v>0</v>
      </c>
      <c r="O9" s="403">
        <f t="shared" si="9"/>
        <v>0</v>
      </c>
      <c r="P9" s="403">
        <f t="shared" si="10"/>
        <v>0</v>
      </c>
    </row>
    <row r="10" spans="1:17">
      <c r="A10" s="427"/>
      <c r="B10" s="430"/>
      <c r="C10" s="428" t="s">
        <v>369</v>
      </c>
      <c r="D10" s="429">
        <v>0</v>
      </c>
      <c r="E10" s="403">
        <v>0</v>
      </c>
      <c r="F10" s="404">
        <f t="shared" si="1"/>
        <v>0</v>
      </c>
      <c r="G10" s="403">
        <f t="shared" si="0"/>
        <v>0</v>
      </c>
      <c r="H10" s="403">
        <f t="shared" si="2"/>
        <v>0</v>
      </c>
      <c r="I10" s="403">
        <f t="shared" si="3"/>
        <v>0</v>
      </c>
      <c r="J10" s="403">
        <f t="shared" si="4"/>
        <v>0</v>
      </c>
      <c r="K10" s="403">
        <f t="shared" si="5"/>
        <v>0</v>
      </c>
      <c r="L10" s="403">
        <f t="shared" si="6"/>
        <v>0</v>
      </c>
      <c r="M10" s="405">
        <f t="shared" si="7"/>
        <v>0</v>
      </c>
      <c r="N10" s="403">
        <f t="shared" si="8"/>
        <v>0</v>
      </c>
      <c r="O10" s="403">
        <f t="shared" si="9"/>
        <v>0</v>
      </c>
      <c r="P10" s="403">
        <f t="shared" si="10"/>
        <v>0</v>
      </c>
    </row>
    <row r="11" spans="1:17">
      <c r="A11" s="427"/>
      <c r="B11" s="427"/>
      <c r="C11" s="428" t="s">
        <v>369</v>
      </c>
      <c r="D11" s="429">
        <v>0</v>
      </c>
      <c r="E11" s="403">
        <v>0</v>
      </c>
      <c r="F11" s="404">
        <f t="shared" si="1"/>
        <v>0</v>
      </c>
      <c r="G11" s="403">
        <f t="shared" si="0"/>
        <v>0</v>
      </c>
      <c r="H11" s="403">
        <f t="shared" si="2"/>
        <v>0</v>
      </c>
      <c r="I11" s="403">
        <f t="shared" si="3"/>
        <v>0</v>
      </c>
      <c r="J11" s="403">
        <f t="shared" si="4"/>
        <v>0</v>
      </c>
      <c r="K11" s="403">
        <f t="shared" si="5"/>
        <v>0</v>
      </c>
      <c r="L11" s="403">
        <f t="shared" si="6"/>
        <v>0</v>
      </c>
      <c r="M11" s="405">
        <f t="shared" si="7"/>
        <v>0</v>
      </c>
      <c r="N11" s="403">
        <f t="shared" si="8"/>
        <v>0</v>
      </c>
      <c r="O11" s="403">
        <f t="shared" si="9"/>
        <v>0</v>
      </c>
      <c r="P11" s="403">
        <f t="shared" si="10"/>
        <v>0</v>
      </c>
    </row>
    <row r="12" spans="1:17">
      <c r="A12" s="427"/>
      <c r="B12" s="430"/>
      <c r="C12" s="428" t="s">
        <v>369</v>
      </c>
      <c r="D12" s="429">
        <v>0</v>
      </c>
      <c r="E12" s="403">
        <v>0</v>
      </c>
      <c r="F12" s="404">
        <f t="shared" si="1"/>
        <v>0</v>
      </c>
      <c r="G12" s="403">
        <f t="shared" si="0"/>
        <v>0</v>
      </c>
      <c r="H12" s="403">
        <f t="shared" si="2"/>
        <v>0</v>
      </c>
      <c r="I12" s="403">
        <f t="shared" si="3"/>
        <v>0</v>
      </c>
      <c r="J12" s="403">
        <f t="shared" si="4"/>
        <v>0</v>
      </c>
      <c r="K12" s="403">
        <f t="shared" si="5"/>
        <v>0</v>
      </c>
      <c r="L12" s="403">
        <f t="shared" si="6"/>
        <v>0</v>
      </c>
      <c r="M12" s="405">
        <f t="shared" si="7"/>
        <v>0</v>
      </c>
      <c r="N12" s="403">
        <f t="shared" si="8"/>
        <v>0</v>
      </c>
      <c r="O12" s="403">
        <f t="shared" si="9"/>
        <v>0</v>
      </c>
      <c r="P12" s="403">
        <f t="shared" si="10"/>
        <v>0</v>
      </c>
    </row>
    <row r="13" spans="1:17">
      <c r="A13" s="427"/>
      <c r="B13" s="427"/>
      <c r="C13" s="428" t="s">
        <v>369</v>
      </c>
      <c r="D13" s="429">
        <v>0</v>
      </c>
      <c r="E13" s="403">
        <v>0</v>
      </c>
      <c r="F13" s="404">
        <f t="shared" si="1"/>
        <v>0</v>
      </c>
      <c r="G13" s="403">
        <f t="shared" si="0"/>
        <v>0</v>
      </c>
      <c r="H13" s="403">
        <f t="shared" si="2"/>
        <v>0</v>
      </c>
      <c r="I13" s="403">
        <f t="shared" si="3"/>
        <v>0</v>
      </c>
      <c r="J13" s="403">
        <f t="shared" si="4"/>
        <v>0</v>
      </c>
      <c r="K13" s="403">
        <f t="shared" si="5"/>
        <v>0</v>
      </c>
      <c r="L13" s="403">
        <f t="shared" si="6"/>
        <v>0</v>
      </c>
      <c r="M13" s="405">
        <f t="shared" si="7"/>
        <v>0</v>
      </c>
      <c r="N13" s="403">
        <f t="shared" si="8"/>
        <v>0</v>
      </c>
      <c r="O13" s="403">
        <f t="shared" si="9"/>
        <v>0</v>
      </c>
      <c r="P13" s="403">
        <f t="shared" si="10"/>
        <v>0</v>
      </c>
    </row>
    <row r="14" spans="1:17">
      <c r="A14" s="427"/>
      <c r="B14" s="414"/>
      <c r="C14" s="428" t="s">
        <v>369</v>
      </c>
      <c r="D14" s="429">
        <v>0</v>
      </c>
      <c r="E14" s="403">
        <v>0</v>
      </c>
      <c r="F14" s="404">
        <f t="shared" si="1"/>
        <v>0</v>
      </c>
      <c r="G14" s="403">
        <f t="shared" si="0"/>
        <v>0</v>
      </c>
      <c r="H14" s="403">
        <f t="shared" si="2"/>
        <v>0</v>
      </c>
      <c r="I14" s="403">
        <f t="shared" si="3"/>
        <v>0</v>
      </c>
      <c r="J14" s="403">
        <f t="shared" si="4"/>
        <v>0</v>
      </c>
      <c r="K14" s="403">
        <f t="shared" si="5"/>
        <v>0</v>
      </c>
      <c r="L14" s="403">
        <f t="shared" si="6"/>
        <v>0</v>
      </c>
      <c r="M14" s="405">
        <f t="shared" si="7"/>
        <v>0</v>
      </c>
      <c r="N14" s="403">
        <f t="shared" si="8"/>
        <v>0</v>
      </c>
      <c r="O14" s="403">
        <f t="shared" si="9"/>
        <v>0</v>
      </c>
      <c r="P14" s="403">
        <f t="shared" si="10"/>
        <v>0</v>
      </c>
    </row>
    <row r="15" spans="1:17">
      <c r="A15" s="427"/>
      <c r="B15" s="414"/>
      <c r="C15" s="428" t="s">
        <v>369</v>
      </c>
      <c r="D15" s="429">
        <v>0</v>
      </c>
      <c r="E15" s="403">
        <v>0</v>
      </c>
      <c r="F15" s="404">
        <f t="shared" si="1"/>
        <v>0</v>
      </c>
      <c r="G15" s="403">
        <f t="shared" si="0"/>
        <v>0</v>
      </c>
      <c r="H15" s="403">
        <f t="shared" si="2"/>
        <v>0</v>
      </c>
      <c r="I15" s="403">
        <f t="shared" si="3"/>
        <v>0</v>
      </c>
      <c r="J15" s="403">
        <f t="shared" si="4"/>
        <v>0</v>
      </c>
      <c r="K15" s="403">
        <f t="shared" si="5"/>
        <v>0</v>
      </c>
      <c r="L15" s="403">
        <f t="shared" si="6"/>
        <v>0</v>
      </c>
      <c r="M15" s="405">
        <f t="shared" si="7"/>
        <v>0</v>
      </c>
      <c r="N15" s="403">
        <f t="shared" si="8"/>
        <v>0</v>
      </c>
      <c r="O15" s="403">
        <f t="shared" si="9"/>
        <v>0</v>
      </c>
      <c r="P15" s="403">
        <f t="shared" si="10"/>
        <v>0</v>
      </c>
    </row>
    <row r="16" spans="1:17">
      <c r="A16" s="427"/>
      <c r="B16" s="131"/>
      <c r="C16" s="428" t="s">
        <v>369</v>
      </c>
      <c r="D16" s="429">
        <v>0</v>
      </c>
      <c r="E16" s="403">
        <v>0</v>
      </c>
      <c r="F16" s="404">
        <f t="shared" si="1"/>
        <v>0</v>
      </c>
      <c r="G16" s="403">
        <f t="shared" si="0"/>
        <v>0</v>
      </c>
      <c r="H16" s="403">
        <f t="shared" si="2"/>
        <v>0</v>
      </c>
      <c r="I16" s="403">
        <f t="shared" si="3"/>
        <v>0</v>
      </c>
      <c r="J16" s="403">
        <f t="shared" si="4"/>
        <v>0</v>
      </c>
      <c r="K16" s="403">
        <f t="shared" si="5"/>
        <v>0</v>
      </c>
      <c r="L16" s="403">
        <f t="shared" si="6"/>
        <v>0</v>
      </c>
      <c r="M16" s="405">
        <f t="shared" si="7"/>
        <v>0</v>
      </c>
      <c r="N16" s="403">
        <f t="shared" si="8"/>
        <v>0</v>
      </c>
      <c r="O16" s="403">
        <f t="shared" si="9"/>
        <v>0</v>
      </c>
      <c r="P16" s="403">
        <f t="shared" si="10"/>
        <v>0</v>
      </c>
    </row>
    <row r="17" spans="1:16">
      <c r="A17" s="427"/>
      <c r="B17" s="427"/>
      <c r="C17" s="428" t="s">
        <v>369</v>
      </c>
      <c r="D17" s="429">
        <v>0</v>
      </c>
      <c r="E17" s="403">
        <v>0</v>
      </c>
      <c r="F17" s="404">
        <f t="shared" si="1"/>
        <v>0</v>
      </c>
      <c r="G17" s="403">
        <f t="shared" si="0"/>
        <v>0</v>
      </c>
      <c r="H17" s="403">
        <f t="shared" si="2"/>
        <v>0</v>
      </c>
      <c r="I17" s="403">
        <f t="shared" si="3"/>
        <v>0</v>
      </c>
      <c r="J17" s="403">
        <f t="shared" si="4"/>
        <v>0</v>
      </c>
      <c r="K17" s="403">
        <f t="shared" si="5"/>
        <v>0</v>
      </c>
      <c r="L17" s="403">
        <f t="shared" si="6"/>
        <v>0</v>
      </c>
      <c r="M17" s="405">
        <f t="shared" si="7"/>
        <v>0</v>
      </c>
      <c r="N17" s="403">
        <f t="shared" si="8"/>
        <v>0</v>
      </c>
      <c r="O17" s="403">
        <f t="shared" si="9"/>
        <v>0</v>
      </c>
      <c r="P17" s="403">
        <f t="shared" si="10"/>
        <v>0</v>
      </c>
    </row>
    <row r="18" spans="1:16">
      <c r="A18" s="427"/>
      <c r="B18" s="414"/>
      <c r="C18" s="428" t="s">
        <v>369</v>
      </c>
      <c r="D18" s="429">
        <v>0</v>
      </c>
      <c r="E18" s="403">
        <v>0</v>
      </c>
      <c r="F18" s="404">
        <f t="shared" si="1"/>
        <v>0</v>
      </c>
      <c r="G18" s="403">
        <f t="shared" si="0"/>
        <v>0</v>
      </c>
      <c r="H18" s="403">
        <f t="shared" si="2"/>
        <v>0</v>
      </c>
      <c r="I18" s="403">
        <f t="shared" si="3"/>
        <v>0</v>
      </c>
      <c r="J18" s="403">
        <f t="shared" si="4"/>
        <v>0</v>
      </c>
      <c r="K18" s="403">
        <f t="shared" si="5"/>
        <v>0</v>
      </c>
      <c r="L18" s="403">
        <f t="shared" si="6"/>
        <v>0</v>
      </c>
      <c r="M18" s="405">
        <f t="shared" si="7"/>
        <v>0</v>
      </c>
      <c r="N18" s="403">
        <f t="shared" si="8"/>
        <v>0</v>
      </c>
      <c r="O18" s="403">
        <f t="shared" si="9"/>
        <v>0</v>
      </c>
      <c r="P18" s="403">
        <f t="shared" si="10"/>
        <v>0</v>
      </c>
    </row>
    <row r="19" spans="1:16">
      <c r="A19" s="427"/>
      <c r="B19" s="414"/>
      <c r="C19" s="428" t="s">
        <v>369</v>
      </c>
      <c r="D19" s="429">
        <v>0</v>
      </c>
      <c r="E19" s="403">
        <v>0</v>
      </c>
      <c r="F19" s="404">
        <f t="shared" ref="F19:F54" si="11">E19*D19</f>
        <v>0</v>
      </c>
      <c r="G19" s="403">
        <f t="shared" ref="G19:G54" si="12">IF(C19="si",E19*$G$4,0)</f>
        <v>0</v>
      </c>
      <c r="H19" s="403">
        <f t="shared" ref="H19:H54" si="13">(E19+G19)*$H$4</f>
        <v>0</v>
      </c>
      <c r="I19" s="403">
        <f t="shared" ref="I19:I54" si="14">+(E19+G19+H19)*$I$4</f>
        <v>0</v>
      </c>
      <c r="J19" s="403">
        <f t="shared" ref="J19:J54" si="15">IF(C19="si",(E19+G19+H19+I19)*$J$4,0)</f>
        <v>0</v>
      </c>
      <c r="K19" s="403">
        <f t="shared" ref="K19:K54" si="16">E19+G19+H19+I19+J19</f>
        <v>0</v>
      </c>
      <c r="L19" s="403">
        <f t="shared" ref="L19:L54" si="17">K19*$L$4</f>
        <v>0</v>
      </c>
      <c r="M19" s="405">
        <f t="shared" ref="M19:M54" si="18">(K19+L19)*D19</f>
        <v>0</v>
      </c>
      <c r="N19" s="403">
        <f t="shared" ref="N19:N54" si="19">(K19+L19)*$N$4/(1-$N$4)</f>
        <v>0</v>
      </c>
      <c r="O19" s="403">
        <f t="shared" ref="O19:O54" si="20">N19+K19+L19</f>
        <v>0</v>
      </c>
      <c r="P19" s="403">
        <f t="shared" ref="P19:P54" si="21">O19*D19</f>
        <v>0</v>
      </c>
    </row>
    <row r="20" spans="1:16">
      <c r="A20" s="427"/>
      <c r="B20" s="414"/>
      <c r="C20" s="428" t="s">
        <v>369</v>
      </c>
      <c r="D20" s="429">
        <v>0</v>
      </c>
      <c r="E20" s="403">
        <v>0</v>
      </c>
      <c r="F20" s="404">
        <f t="shared" si="11"/>
        <v>0</v>
      </c>
      <c r="G20" s="403">
        <f t="shared" si="12"/>
        <v>0</v>
      </c>
      <c r="H20" s="403">
        <f t="shared" si="13"/>
        <v>0</v>
      </c>
      <c r="I20" s="403">
        <f t="shared" si="14"/>
        <v>0</v>
      </c>
      <c r="J20" s="403">
        <f t="shared" si="15"/>
        <v>0</v>
      </c>
      <c r="K20" s="403">
        <f t="shared" si="16"/>
        <v>0</v>
      </c>
      <c r="L20" s="403">
        <f t="shared" si="17"/>
        <v>0</v>
      </c>
      <c r="M20" s="405">
        <f t="shared" si="18"/>
        <v>0</v>
      </c>
      <c r="N20" s="403">
        <f t="shared" si="19"/>
        <v>0</v>
      </c>
      <c r="O20" s="403">
        <f t="shared" si="20"/>
        <v>0</v>
      </c>
      <c r="P20" s="403">
        <f t="shared" si="21"/>
        <v>0</v>
      </c>
    </row>
    <row r="21" spans="1:16">
      <c r="A21" s="427"/>
      <c r="B21" s="414"/>
      <c r="C21" s="428" t="s">
        <v>369</v>
      </c>
      <c r="D21" s="429">
        <v>0</v>
      </c>
      <c r="E21" s="403">
        <v>0</v>
      </c>
      <c r="F21" s="404">
        <f t="shared" si="11"/>
        <v>0</v>
      </c>
      <c r="G21" s="403">
        <f t="shared" si="12"/>
        <v>0</v>
      </c>
      <c r="H21" s="403">
        <f t="shared" si="13"/>
        <v>0</v>
      </c>
      <c r="I21" s="403">
        <f t="shared" si="14"/>
        <v>0</v>
      </c>
      <c r="J21" s="403">
        <f t="shared" si="15"/>
        <v>0</v>
      </c>
      <c r="K21" s="403">
        <f t="shared" si="16"/>
        <v>0</v>
      </c>
      <c r="L21" s="403">
        <f t="shared" si="17"/>
        <v>0</v>
      </c>
      <c r="M21" s="405">
        <f t="shared" si="18"/>
        <v>0</v>
      </c>
      <c r="N21" s="403">
        <f t="shared" si="19"/>
        <v>0</v>
      </c>
      <c r="O21" s="403">
        <f t="shared" si="20"/>
        <v>0</v>
      </c>
      <c r="P21" s="403">
        <f t="shared" si="21"/>
        <v>0</v>
      </c>
    </row>
    <row r="22" spans="1:16">
      <c r="A22" s="427"/>
      <c r="B22" s="414"/>
      <c r="C22" s="428" t="s">
        <v>369</v>
      </c>
      <c r="D22" s="429">
        <v>0</v>
      </c>
      <c r="E22" s="403">
        <v>0</v>
      </c>
      <c r="F22" s="404">
        <f t="shared" si="11"/>
        <v>0</v>
      </c>
      <c r="G22" s="403">
        <f t="shared" si="12"/>
        <v>0</v>
      </c>
      <c r="H22" s="403">
        <f t="shared" si="13"/>
        <v>0</v>
      </c>
      <c r="I22" s="403">
        <f t="shared" si="14"/>
        <v>0</v>
      </c>
      <c r="J22" s="403">
        <f t="shared" si="15"/>
        <v>0</v>
      </c>
      <c r="K22" s="403">
        <f t="shared" si="16"/>
        <v>0</v>
      </c>
      <c r="L22" s="403">
        <f t="shared" si="17"/>
        <v>0</v>
      </c>
      <c r="M22" s="405">
        <f t="shared" si="18"/>
        <v>0</v>
      </c>
      <c r="N22" s="403">
        <f t="shared" si="19"/>
        <v>0</v>
      </c>
      <c r="O22" s="403">
        <f t="shared" si="20"/>
        <v>0</v>
      </c>
      <c r="P22" s="403">
        <f t="shared" si="21"/>
        <v>0</v>
      </c>
    </row>
    <row r="23" spans="1:16">
      <c r="A23" s="427"/>
      <c r="B23" s="414"/>
      <c r="C23" s="428" t="s">
        <v>369</v>
      </c>
      <c r="D23" s="429">
        <v>0</v>
      </c>
      <c r="E23" s="403">
        <v>0</v>
      </c>
      <c r="F23" s="404">
        <f t="shared" si="11"/>
        <v>0</v>
      </c>
      <c r="G23" s="403">
        <f t="shared" si="12"/>
        <v>0</v>
      </c>
      <c r="H23" s="403">
        <f t="shared" si="13"/>
        <v>0</v>
      </c>
      <c r="I23" s="403">
        <f t="shared" si="14"/>
        <v>0</v>
      </c>
      <c r="J23" s="403">
        <f t="shared" si="15"/>
        <v>0</v>
      </c>
      <c r="K23" s="403">
        <f t="shared" si="16"/>
        <v>0</v>
      </c>
      <c r="L23" s="403">
        <f t="shared" si="17"/>
        <v>0</v>
      </c>
      <c r="M23" s="405">
        <f t="shared" si="18"/>
        <v>0</v>
      </c>
      <c r="N23" s="403">
        <f t="shared" si="19"/>
        <v>0</v>
      </c>
      <c r="O23" s="403">
        <f t="shared" si="20"/>
        <v>0</v>
      </c>
      <c r="P23" s="403">
        <f t="shared" si="21"/>
        <v>0</v>
      </c>
    </row>
    <row r="24" spans="1:16">
      <c r="A24" s="427"/>
      <c r="B24" s="414"/>
      <c r="C24" s="428" t="s">
        <v>369</v>
      </c>
      <c r="D24" s="429">
        <v>0</v>
      </c>
      <c r="E24" s="403">
        <v>0</v>
      </c>
      <c r="F24" s="404">
        <f t="shared" si="11"/>
        <v>0</v>
      </c>
      <c r="G24" s="403">
        <f t="shared" si="12"/>
        <v>0</v>
      </c>
      <c r="H24" s="403">
        <f t="shared" si="13"/>
        <v>0</v>
      </c>
      <c r="I24" s="403">
        <f t="shared" si="14"/>
        <v>0</v>
      </c>
      <c r="J24" s="403">
        <f t="shared" si="15"/>
        <v>0</v>
      </c>
      <c r="K24" s="403">
        <f t="shared" si="16"/>
        <v>0</v>
      </c>
      <c r="L24" s="403">
        <f t="shared" si="17"/>
        <v>0</v>
      </c>
      <c r="M24" s="405">
        <f t="shared" si="18"/>
        <v>0</v>
      </c>
      <c r="N24" s="403">
        <f t="shared" si="19"/>
        <v>0</v>
      </c>
      <c r="O24" s="403">
        <f t="shared" si="20"/>
        <v>0</v>
      </c>
      <c r="P24" s="403">
        <f t="shared" si="21"/>
        <v>0</v>
      </c>
    </row>
    <row r="25" spans="1:16">
      <c r="A25" s="427"/>
      <c r="B25" s="414"/>
      <c r="C25" s="428" t="s">
        <v>369</v>
      </c>
      <c r="D25" s="429">
        <v>0</v>
      </c>
      <c r="E25" s="403">
        <v>0</v>
      </c>
      <c r="F25" s="404">
        <f t="shared" si="11"/>
        <v>0</v>
      </c>
      <c r="G25" s="403">
        <f t="shared" si="12"/>
        <v>0</v>
      </c>
      <c r="H25" s="403">
        <f t="shared" si="13"/>
        <v>0</v>
      </c>
      <c r="I25" s="403">
        <f t="shared" si="14"/>
        <v>0</v>
      </c>
      <c r="J25" s="403">
        <f t="shared" si="15"/>
        <v>0</v>
      </c>
      <c r="K25" s="403">
        <f t="shared" si="16"/>
        <v>0</v>
      </c>
      <c r="L25" s="403">
        <f t="shared" si="17"/>
        <v>0</v>
      </c>
      <c r="M25" s="405">
        <f t="shared" si="18"/>
        <v>0</v>
      </c>
      <c r="N25" s="403">
        <f t="shared" si="19"/>
        <v>0</v>
      </c>
      <c r="O25" s="403">
        <f t="shared" si="20"/>
        <v>0</v>
      </c>
      <c r="P25" s="403">
        <f t="shared" si="21"/>
        <v>0</v>
      </c>
    </row>
    <row r="26" spans="1:16">
      <c r="A26" s="427"/>
      <c r="B26" s="414"/>
      <c r="C26" s="428" t="s">
        <v>369</v>
      </c>
      <c r="D26" s="429">
        <v>0</v>
      </c>
      <c r="E26" s="403">
        <v>0</v>
      </c>
      <c r="F26" s="404">
        <f t="shared" si="11"/>
        <v>0</v>
      </c>
      <c r="G26" s="403">
        <f t="shared" si="12"/>
        <v>0</v>
      </c>
      <c r="H26" s="403">
        <f t="shared" si="13"/>
        <v>0</v>
      </c>
      <c r="I26" s="403">
        <f t="shared" si="14"/>
        <v>0</v>
      </c>
      <c r="J26" s="403">
        <f t="shared" si="15"/>
        <v>0</v>
      </c>
      <c r="K26" s="403">
        <f t="shared" si="16"/>
        <v>0</v>
      </c>
      <c r="L26" s="403">
        <f t="shared" si="17"/>
        <v>0</v>
      </c>
      <c r="M26" s="405">
        <f t="shared" si="18"/>
        <v>0</v>
      </c>
      <c r="N26" s="403">
        <f t="shared" si="19"/>
        <v>0</v>
      </c>
      <c r="O26" s="403">
        <f t="shared" si="20"/>
        <v>0</v>
      </c>
      <c r="P26" s="403">
        <f t="shared" si="21"/>
        <v>0</v>
      </c>
    </row>
    <row r="27" spans="1:16">
      <c r="A27" s="427"/>
      <c r="B27" s="414"/>
      <c r="C27" s="428" t="s">
        <v>369</v>
      </c>
      <c r="D27" s="429">
        <v>0</v>
      </c>
      <c r="E27" s="403">
        <v>0</v>
      </c>
      <c r="F27" s="404">
        <f t="shared" si="11"/>
        <v>0</v>
      </c>
      <c r="G27" s="403">
        <f t="shared" si="12"/>
        <v>0</v>
      </c>
      <c r="H27" s="403">
        <f t="shared" si="13"/>
        <v>0</v>
      </c>
      <c r="I27" s="403">
        <f t="shared" si="14"/>
        <v>0</v>
      </c>
      <c r="J27" s="403">
        <f t="shared" si="15"/>
        <v>0</v>
      </c>
      <c r="K27" s="403">
        <f t="shared" si="16"/>
        <v>0</v>
      </c>
      <c r="L27" s="403">
        <f t="shared" si="17"/>
        <v>0</v>
      </c>
      <c r="M27" s="405">
        <f t="shared" si="18"/>
        <v>0</v>
      </c>
      <c r="N27" s="403">
        <f t="shared" si="19"/>
        <v>0</v>
      </c>
      <c r="O27" s="403">
        <f t="shared" si="20"/>
        <v>0</v>
      </c>
      <c r="P27" s="403">
        <f t="shared" si="21"/>
        <v>0</v>
      </c>
    </row>
    <row r="28" spans="1:16">
      <c r="A28" s="427"/>
      <c r="B28" s="414"/>
      <c r="C28" s="428" t="s">
        <v>369</v>
      </c>
      <c r="D28" s="429">
        <v>0</v>
      </c>
      <c r="E28" s="403">
        <v>0</v>
      </c>
      <c r="F28" s="404">
        <f t="shared" si="11"/>
        <v>0</v>
      </c>
      <c r="G28" s="403">
        <f t="shared" si="12"/>
        <v>0</v>
      </c>
      <c r="H28" s="403">
        <f t="shared" si="13"/>
        <v>0</v>
      </c>
      <c r="I28" s="403">
        <f t="shared" si="14"/>
        <v>0</v>
      </c>
      <c r="J28" s="403">
        <f t="shared" si="15"/>
        <v>0</v>
      </c>
      <c r="K28" s="403">
        <f t="shared" si="16"/>
        <v>0</v>
      </c>
      <c r="L28" s="403">
        <f t="shared" si="17"/>
        <v>0</v>
      </c>
      <c r="M28" s="405">
        <f t="shared" si="18"/>
        <v>0</v>
      </c>
      <c r="N28" s="403">
        <f t="shared" si="19"/>
        <v>0</v>
      </c>
      <c r="O28" s="403">
        <f t="shared" si="20"/>
        <v>0</v>
      </c>
      <c r="P28" s="403">
        <f t="shared" si="21"/>
        <v>0</v>
      </c>
    </row>
    <row r="29" spans="1:16">
      <c r="A29" s="427"/>
      <c r="B29" s="414"/>
      <c r="C29" s="428" t="s">
        <v>369</v>
      </c>
      <c r="D29" s="429">
        <v>0</v>
      </c>
      <c r="E29" s="403">
        <v>0</v>
      </c>
      <c r="F29" s="404">
        <f t="shared" si="11"/>
        <v>0</v>
      </c>
      <c r="G29" s="403">
        <f t="shared" si="12"/>
        <v>0</v>
      </c>
      <c r="H29" s="403">
        <f t="shared" si="13"/>
        <v>0</v>
      </c>
      <c r="I29" s="403">
        <f t="shared" si="14"/>
        <v>0</v>
      </c>
      <c r="J29" s="403">
        <f t="shared" si="15"/>
        <v>0</v>
      </c>
      <c r="K29" s="403">
        <f t="shared" si="16"/>
        <v>0</v>
      </c>
      <c r="L29" s="403">
        <f t="shared" si="17"/>
        <v>0</v>
      </c>
      <c r="M29" s="405">
        <f t="shared" si="18"/>
        <v>0</v>
      </c>
      <c r="N29" s="403">
        <f t="shared" si="19"/>
        <v>0</v>
      </c>
      <c r="O29" s="403">
        <f t="shared" si="20"/>
        <v>0</v>
      </c>
      <c r="P29" s="403">
        <f t="shared" si="21"/>
        <v>0</v>
      </c>
    </row>
    <row r="30" spans="1:16">
      <c r="A30" s="427"/>
      <c r="B30" s="414"/>
      <c r="C30" s="428" t="s">
        <v>369</v>
      </c>
      <c r="D30" s="429">
        <v>0</v>
      </c>
      <c r="E30" s="403">
        <v>0</v>
      </c>
      <c r="F30" s="404">
        <f t="shared" si="11"/>
        <v>0</v>
      </c>
      <c r="G30" s="403">
        <f t="shared" si="12"/>
        <v>0</v>
      </c>
      <c r="H30" s="403">
        <f t="shared" si="13"/>
        <v>0</v>
      </c>
      <c r="I30" s="403">
        <f t="shared" si="14"/>
        <v>0</v>
      </c>
      <c r="J30" s="403">
        <f t="shared" si="15"/>
        <v>0</v>
      </c>
      <c r="K30" s="403">
        <f t="shared" si="16"/>
        <v>0</v>
      </c>
      <c r="L30" s="403">
        <f t="shared" si="17"/>
        <v>0</v>
      </c>
      <c r="M30" s="405">
        <f t="shared" si="18"/>
        <v>0</v>
      </c>
      <c r="N30" s="403">
        <f t="shared" si="19"/>
        <v>0</v>
      </c>
      <c r="O30" s="403">
        <f t="shared" si="20"/>
        <v>0</v>
      </c>
      <c r="P30" s="403">
        <f t="shared" si="21"/>
        <v>0</v>
      </c>
    </row>
    <row r="31" spans="1:16">
      <c r="A31" s="427"/>
      <c r="B31" s="414"/>
      <c r="C31" s="428" t="s">
        <v>369</v>
      </c>
      <c r="D31" s="429">
        <v>0</v>
      </c>
      <c r="E31" s="403">
        <v>0</v>
      </c>
      <c r="F31" s="404">
        <f t="shared" si="11"/>
        <v>0</v>
      </c>
      <c r="G31" s="403">
        <f t="shared" si="12"/>
        <v>0</v>
      </c>
      <c r="H31" s="403">
        <f t="shared" si="13"/>
        <v>0</v>
      </c>
      <c r="I31" s="403">
        <f t="shared" si="14"/>
        <v>0</v>
      </c>
      <c r="J31" s="403">
        <f t="shared" si="15"/>
        <v>0</v>
      </c>
      <c r="K31" s="403">
        <f t="shared" si="16"/>
        <v>0</v>
      </c>
      <c r="L31" s="403">
        <f t="shared" si="17"/>
        <v>0</v>
      </c>
      <c r="M31" s="405">
        <f t="shared" si="18"/>
        <v>0</v>
      </c>
      <c r="N31" s="403">
        <f t="shared" si="19"/>
        <v>0</v>
      </c>
      <c r="O31" s="403">
        <f t="shared" si="20"/>
        <v>0</v>
      </c>
      <c r="P31" s="403">
        <f t="shared" si="21"/>
        <v>0</v>
      </c>
    </row>
    <row r="32" spans="1:16">
      <c r="A32" s="427"/>
      <c r="B32" s="414"/>
      <c r="C32" s="428" t="s">
        <v>369</v>
      </c>
      <c r="D32" s="429">
        <v>0</v>
      </c>
      <c r="E32" s="403">
        <v>0</v>
      </c>
      <c r="F32" s="404">
        <f t="shared" si="11"/>
        <v>0</v>
      </c>
      <c r="G32" s="403">
        <f t="shared" si="12"/>
        <v>0</v>
      </c>
      <c r="H32" s="403">
        <f t="shared" si="13"/>
        <v>0</v>
      </c>
      <c r="I32" s="403">
        <f t="shared" si="14"/>
        <v>0</v>
      </c>
      <c r="J32" s="403">
        <f t="shared" si="15"/>
        <v>0</v>
      </c>
      <c r="K32" s="403">
        <f t="shared" si="16"/>
        <v>0</v>
      </c>
      <c r="L32" s="403">
        <f t="shared" si="17"/>
        <v>0</v>
      </c>
      <c r="M32" s="405">
        <f t="shared" si="18"/>
        <v>0</v>
      </c>
      <c r="N32" s="403">
        <f t="shared" si="19"/>
        <v>0</v>
      </c>
      <c r="O32" s="403">
        <f t="shared" si="20"/>
        <v>0</v>
      </c>
      <c r="P32" s="403">
        <f t="shared" si="21"/>
        <v>0</v>
      </c>
    </row>
    <row r="33" spans="1:16">
      <c r="A33" s="427"/>
      <c r="B33" s="414"/>
      <c r="C33" s="428" t="s">
        <v>369</v>
      </c>
      <c r="D33" s="429">
        <v>0</v>
      </c>
      <c r="E33" s="403">
        <v>0</v>
      </c>
      <c r="F33" s="404">
        <f t="shared" si="11"/>
        <v>0</v>
      </c>
      <c r="G33" s="403">
        <f t="shared" si="12"/>
        <v>0</v>
      </c>
      <c r="H33" s="403">
        <f t="shared" si="13"/>
        <v>0</v>
      </c>
      <c r="I33" s="403">
        <f t="shared" si="14"/>
        <v>0</v>
      </c>
      <c r="J33" s="403">
        <f t="shared" si="15"/>
        <v>0</v>
      </c>
      <c r="K33" s="403">
        <f t="shared" si="16"/>
        <v>0</v>
      </c>
      <c r="L33" s="403">
        <f t="shared" si="17"/>
        <v>0</v>
      </c>
      <c r="M33" s="405">
        <f t="shared" si="18"/>
        <v>0</v>
      </c>
      <c r="N33" s="403">
        <f t="shared" si="19"/>
        <v>0</v>
      </c>
      <c r="O33" s="403">
        <f t="shared" si="20"/>
        <v>0</v>
      </c>
      <c r="P33" s="403">
        <f t="shared" si="21"/>
        <v>0</v>
      </c>
    </row>
    <row r="34" spans="1:16">
      <c r="A34" s="427"/>
      <c r="B34" s="414"/>
      <c r="C34" s="428" t="s">
        <v>369</v>
      </c>
      <c r="D34" s="429">
        <v>0</v>
      </c>
      <c r="E34" s="403">
        <v>0</v>
      </c>
      <c r="F34" s="404">
        <f t="shared" si="11"/>
        <v>0</v>
      </c>
      <c r="G34" s="403">
        <f t="shared" si="12"/>
        <v>0</v>
      </c>
      <c r="H34" s="403">
        <f t="shared" si="13"/>
        <v>0</v>
      </c>
      <c r="I34" s="403">
        <f t="shared" si="14"/>
        <v>0</v>
      </c>
      <c r="J34" s="403">
        <f t="shared" si="15"/>
        <v>0</v>
      </c>
      <c r="K34" s="403">
        <f t="shared" si="16"/>
        <v>0</v>
      </c>
      <c r="L34" s="403">
        <f t="shared" si="17"/>
        <v>0</v>
      </c>
      <c r="M34" s="405">
        <f t="shared" si="18"/>
        <v>0</v>
      </c>
      <c r="N34" s="403">
        <f t="shared" si="19"/>
        <v>0</v>
      </c>
      <c r="O34" s="403">
        <f t="shared" si="20"/>
        <v>0</v>
      </c>
      <c r="P34" s="403">
        <f t="shared" si="21"/>
        <v>0</v>
      </c>
    </row>
    <row r="35" spans="1:16">
      <c r="A35" s="427"/>
      <c r="B35" s="414"/>
      <c r="C35" s="428" t="s">
        <v>369</v>
      </c>
      <c r="D35" s="429">
        <v>0</v>
      </c>
      <c r="E35" s="403">
        <v>0</v>
      </c>
      <c r="F35" s="404">
        <f t="shared" si="11"/>
        <v>0</v>
      </c>
      <c r="G35" s="403">
        <f t="shared" si="12"/>
        <v>0</v>
      </c>
      <c r="H35" s="403">
        <f t="shared" si="13"/>
        <v>0</v>
      </c>
      <c r="I35" s="403">
        <f t="shared" si="14"/>
        <v>0</v>
      </c>
      <c r="J35" s="403">
        <f t="shared" si="15"/>
        <v>0</v>
      </c>
      <c r="K35" s="403">
        <f t="shared" si="16"/>
        <v>0</v>
      </c>
      <c r="L35" s="403">
        <f t="shared" si="17"/>
        <v>0</v>
      </c>
      <c r="M35" s="405">
        <f t="shared" si="18"/>
        <v>0</v>
      </c>
      <c r="N35" s="403">
        <f t="shared" si="19"/>
        <v>0</v>
      </c>
      <c r="O35" s="403">
        <f t="shared" si="20"/>
        <v>0</v>
      </c>
      <c r="P35" s="403">
        <f t="shared" si="21"/>
        <v>0</v>
      </c>
    </row>
    <row r="36" spans="1:16">
      <c r="A36" s="427"/>
      <c r="B36" s="414"/>
      <c r="C36" s="428" t="s">
        <v>369</v>
      </c>
      <c r="D36" s="429">
        <v>0</v>
      </c>
      <c r="E36" s="403">
        <v>0</v>
      </c>
      <c r="F36" s="404">
        <f t="shared" si="11"/>
        <v>0</v>
      </c>
      <c r="G36" s="403">
        <f t="shared" si="12"/>
        <v>0</v>
      </c>
      <c r="H36" s="403">
        <f t="shared" si="13"/>
        <v>0</v>
      </c>
      <c r="I36" s="403">
        <f t="shared" si="14"/>
        <v>0</v>
      </c>
      <c r="J36" s="403">
        <f t="shared" si="15"/>
        <v>0</v>
      </c>
      <c r="K36" s="403">
        <f t="shared" si="16"/>
        <v>0</v>
      </c>
      <c r="L36" s="403">
        <f t="shared" si="17"/>
        <v>0</v>
      </c>
      <c r="M36" s="405">
        <f t="shared" si="18"/>
        <v>0</v>
      </c>
      <c r="N36" s="403">
        <f t="shared" si="19"/>
        <v>0</v>
      </c>
      <c r="O36" s="403">
        <f t="shared" si="20"/>
        <v>0</v>
      </c>
      <c r="P36" s="403">
        <f t="shared" si="21"/>
        <v>0</v>
      </c>
    </row>
    <row r="37" spans="1:16">
      <c r="A37" s="427"/>
      <c r="B37" s="414"/>
      <c r="C37" s="428" t="s">
        <v>369</v>
      </c>
      <c r="D37" s="429">
        <v>0</v>
      </c>
      <c r="E37" s="403">
        <v>0</v>
      </c>
      <c r="F37" s="404">
        <f t="shared" si="11"/>
        <v>0</v>
      </c>
      <c r="G37" s="403">
        <f t="shared" si="12"/>
        <v>0</v>
      </c>
      <c r="H37" s="403">
        <f t="shared" si="13"/>
        <v>0</v>
      </c>
      <c r="I37" s="403">
        <f t="shared" si="14"/>
        <v>0</v>
      </c>
      <c r="J37" s="403">
        <f t="shared" si="15"/>
        <v>0</v>
      </c>
      <c r="K37" s="403">
        <f t="shared" si="16"/>
        <v>0</v>
      </c>
      <c r="L37" s="403">
        <f t="shared" si="17"/>
        <v>0</v>
      </c>
      <c r="M37" s="405">
        <f t="shared" si="18"/>
        <v>0</v>
      </c>
      <c r="N37" s="403">
        <f t="shared" si="19"/>
        <v>0</v>
      </c>
      <c r="O37" s="403">
        <f t="shared" si="20"/>
        <v>0</v>
      </c>
      <c r="P37" s="403">
        <f t="shared" si="21"/>
        <v>0</v>
      </c>
    </row>
    <row r="38" spans="1:16">
      <c r="A38" s="427"/>
      <c r="B38" s="414"/>
      <c r="C38" s="428" t="s">
        <v>369</v>
      </c>
      <c r="D38" s="429">
        <v>0</v>
      </c>
      <c r="E38" s="403">
        <v>0</v>
      </c>
      <c r="F38" s="404">
        <f t="shared" si="11"/>
        <v>0</v>
      </c>
      <c r="G38" s="403">
        <f t="shared" si="12"/>
        <v>0</v>
      </c>
      <c r="H38" s="403">
        <f t="shared" si="13"/>
        <v>0</v>
      </c>
      <c r="I38" s="403">
        <f t="shared" si="14"/>
        <v>0</v>
      </c>
      <c r="J38" s="403">
        <f t="shared" si="15"/>
        <v>0</v>
      </c>
      <c r="K38" s="403">
        <f t="shared" si="16"/>
        <v>0</v>
      </c>
      <c r="L38" s="403">
        <f t="shared" si="17"/>
        <v>0</v>
      </c>
      <c r="M38" s="405">
        <f t="shared" si="18"/>
        <v>0</v>
      </c>
      <c r="N38" s="403">
        <f t="shared" si="19"/>
        <v>0</v>
      </c>
      <c r="O38" s="403">
        <f t="shared" si="20"/>
        <v>0</v>
      </c>
      <c r="P38" s="403">
        <f t="shared" si="21"/>
        <v>0</v>
      </c>
    </row>
    <row r="39" spans="1:16">
      <c r="A39" s="427"/>
      <c r="B39" s="414"/>
      <c r="C39" s="428" t="s">
        <v>369</v>
      </c>
      <c r="D39" s="429">
        <v>0</v>
      </c>
      <c r="E39" s="403">
        <v>0</v>
      </c>
      <c r="F39" s="404">
        <f t="shared" si="11"/>
        <v>0</v>
      </c>
      <c r="G39" s="403">
        <f t="shared" si="12"/>
        <v>0</v>
      </c>
      <c r="H39" s="403">
        <f t="shared" si="13"/>
        <v>0</v>
      </c>
      <c r="I39" s="403">
        <f t="shared" si="14"/>
        <v>0</v>
      </c>
      <c r="J39" s="403">
        <f t="shared" si="15"/>
        <v>0</v>
      </c>
      <c r="K39" s="403">
        <f t="shared" si="16"/>
        <v>0</v>
      </c>
      <c r="L39" s="403">
        <f t="shared" si="17"/>
        <v>0</v>
      </c>
      <c r="M39" s="405">
        <f t="shared" si="18"/>
        <v>0</v>
      </c>
      <c r="N39" s="403">
        <f t="shared" si="19"/>
        <v>0</v>
      </c>
      <c r="O39" s="403">
        <f t="shared" si="20"/>
        <v>0</v>
      </c>
      <c r="P39" s="403">
        <f t="shared" si="21"/>
        <v>0</v>
      </c>
    </row>
    <row r="40" spans="1:16">
      <c r="A40" s="427"/>
      <c r="B40" s="414"/>
      <c r="C40" s="428" t="s">
        <v>369</v>
      </c>
      <c r="D40" s="429">
        <v>0</v>
      </c>
      <c r="E40" s="403">
        <v>0</v>
      </c>
      <c r="F40" s="404">
        <f t="shared" si="11"/>
        <v>0</v>
      </c>
      <c r="G40" s="403">
        <f t="shared" si="12"/>
        <v>0</v>
      </c>
      <c r="H40" s="403">
        <f t="shared" si="13"/>
        <v>0</v>
      </c>
      <c r="I40" s="403">
        <f t="shared" si="14"/>
        <v>0</v>
      </c>
      <c r="J40" s="403">
        <f t="shared" si="15"/>
        <v>0</v>
      </c>
      <c r="K40" s="403">
        <f t="shared" si="16"/>
        <v>0</v>
      </c>
      <c r="L40" s="403">
        <f t="shared" si="17"/>
        <v>0</v>
      </c>
      <c r="M40" s="405">
        <f t="shared" si="18"/>
        <v>0</v>
      </c>
      <c r="N40" s="403">
        <f t="shared" si="19"/>
        <v>0</v>
      </c>
      <c r="O40" s="403">
        <f t="shared" si="20"/>
        <v>0</v>
      </c>
      <c r="P40" s="403">
        <f t="shared" si="21"/>
        <v>0</v>
      </c>
    </row>
    <row r="41" spans="1:16">
      <c r="A41" s="427"/>
      <c r="B41" s="414"/>
      <c r="C41" s="428" t="s">
        <v>369</v>
      </c>
      <c r="D41" s="429">
        <v>0</v>
      </c>
      <c r="E41" s="403">
        <v>0</v>
      </c>
      <c r="F41" s="404">
        <f t="shared" si="11"/>
        <v>0</v>
      </c>
      <c r="G41" s="403">
        <f t="shared" si="12"/>
        <v>0</v>
      </c>
      <c r="H41" s="403">
        <f t="shared" si="13"/>
        <v>0</v>
      </c>
      <c r="I41" s="403">
        <f t="shared" si="14"/>
        <v>0</v>
      </c>
      <c r="J41" s="403">
        <f t="shared" si="15"/>
        <v>0</v>
      </c>
      <c r="K41" s="403">
        <f t="shared" si="16"/>
        <v>0</v>
      </c>
      <c r="L41" s="403">
        <f t="shared" si="17"/>
        <v>0</v>
      </c>
      <c r="M41" s="405">
        <f t="shared" si="18"/>
        <v>0</v>
      </c>
      <c r="N41" s="403">
        <f t="shared" si="19"/>
        <v>0</v>
      </c>
      <c r="O41" s="403">
        <f t="shared" si="20"/>
        <v>0</v>
      </c>
      <c r="P41" s="403">
        <f t="shared" si="21"/>
        <v>0</v>
      </c>
    </row>
    <row r="42" spans="1:16">
      <c r="A42" s="427"/>
      <c r="B42" s="414"/>
      <c r="C42" s="428" t="s">
        <v>369</v>
      </c>
      <c r="D42" s="429">
        <v>0</v>
      </c>
      <c r="E42" s="403">
        <v>0</v>
      </c>
      <c r="F42" s="404">
        <f t="shared" si="11"/>
        <v>0</v>
      </c>
      <c r="G42" s="403">
        <f t="shared" si="12"/>
        <v>0</v>
      </c>
      <c r="H42" s="403">
        <f t="shared" si="13"/>
        <v>0</v>
      </c>
      <c r="I42" s="403">
        <f t="shared" si="14"/>
        <v>0</v>
      </c>
      <c r="J42" s="403">
        <f t="shared" si="15"/>
        <v>0</v>
      </c>
      <c r="K42" s="403">
        <f t="shared" si="16"/>
        <v>0</v>
      </c>
      <c r="L42" s="403">
        <f t="shared" si="17"/>
        <v>0</v>
      </c>
      <c r="M42" s="405">
        <f t="shared" si="18"/>
        <v>0</v>
      </c>
      <c r="N42" s="403">
        <f t="shared" si="19"/>
        <v>0</v>
      </c>
      <c r="O42" s="403">
        <f t="shared" si="20"/>
        <v>0</v>
      </c>
      <c r="P42" s="403">
        <f t="shared" si="21"/>
        <v>0</v>
      </c>
    </row>
    <row r="43" spans="1:16">
      <c r="A43" s="427"/>
      <c r="B43" s="414"/>
      <c r="C43" s="428" t="s">
        <v>369</v>
      </c>
      <c r="D43" s="429">
        <v>0</v>
      </c>
      <c r="E43" s="403">
        <v>0</v>
      </c>
      <c r="F43" s="404">
        <f t="shared" si="11"/>
        <v>0</v>
      </c>
      <c r="G43" s="403">
        <f t="shared" si="12"/>
        <v>0</v>
      </c>
      <c r="H43" s="403">
        <f t="shared" si="13"/>
        <v>0</v>
      </c>
      <c r="I43" s="403">
        <f t="shared" si="14"/>
        <v>0</v>
      </c>
      <c r="J43" s="403">
        <f t="shared" si="15"/>
        <v>0</v>
      </c>
      <c r="K43" s="403">
        <f t="shared" si="16"/>
        <v>0</v>
      </c>
      <c r="L43" s="403">
        <f t="shared" si="17"/>
        <v>0</v>
      </c>
      <c r="M43" s="405">
        <f t="shared" si="18"/>
        <v>0</v>
      </c>
      <c r="N43" s="403">
        <f t="shared" si="19"/>
        <v>0</v>
      </c>
      <c r="O43" s="403">
        <f t="shared" si="20"/>
        <v>0</v>
      </c>
      <c r="P43" s="403">
        <f t="shared" si="21"/>
        <v>0</v>
      </c>
    </row>
    <row r="44" spans="1:16">
      <c r="A44" s="427"/>
      <c r="B44" s="414"/>
      <c r="C44" s="428" t="s">
        <v>369</v>
      </c>
      <c r="D44" s="429">
        <v>0</v>
      </c>
      <c r="E44" s="403">
        <v>0</v>
      </c>
      <c r="F44" s="404">
        <f t="shared" si="11"/>
        <v>0</v>
      </c>
      <c r="G44" s="403">
        <f t="shared" si="12"/>
        <v>0</v>
      </c>
      <c r="H44" s="403">
        <f t="shared" si="13"/>
        <v>0</v>
      </c>
      <c r="I44" s="403">
        <f t="shared" si="14"/>
        <v>0</v>
      </c>
      <c r="J44" s="403">
        <f t="shared" si="15"/>
        <v>0</v>
      </c>
      <c r="K44" s="403">
        <f t="shared" si="16"/>
        <v>0</v>
      </c>
      <c r="L44" s="403">
        <f t="shared" si="17"/>
        <v>0</v>
      </c>
      <c r="M44" s="405">
        <f t="shared" si="18"/>
        <v>0</v>
      </c>
      <c r="N44" s="403">
        <f t="shared" si="19"/>
        <v>0</v>
      </c>
      <c r="O44" s="403">
        <f t="shared" si="20"/>
        <v>0</v>
      </c>
      <c r="P44" s="403">
        <f t="shared" si="21"/>
        <v>0</v>
      </c>
    </row>
    <row r="45" spans="1:16">
      <c r="A45" s="427"/>
      <c r="B45" s="414"/>
      <c r="C45" s="428" t="s">
        <v>369</v>
      </c>
      <c r="D45" s="429">
        <v>0</v>
      </c>
      <c r="E45" s="403">
        <v>0</v>
      </c>
      <c r="F45" s="404">
        <f t="shared" si="11"/>
        <v>0</v>
      </c>
      <c r="G45" s="403">
        <f t="shared" si="12"/>
        <v>0</v>
      </c>
      <c r="H45" s="403">
        <f t="shared" si="13"/>
        <v>0</v>
      </c>
      <c r="I45" s="403">
        <f t="shared" si="14"/>
        <v>0</v>
      </c>
      <c r="J45" s="403">
        <f t="shared" si="15"/>
        <v>0</v>
      </c>
      <c r="K45" s="403">
        <f t="shared" si="16"/>
        <v>0</v>
      </c>
      <c r="L45" s="403">
        <f t="shared" si="17"/>
        <v>0</v>
      </c>
      <c r="M45" s="405">
        <f t="shared" si="18"/>
        <v>0</v>
      </c>
      <c r="N45" s="403">
        <f t="shared" si="19"/>
        <v>0</v>
      </c>
      <c r="O45" s="403">
        <f t="shared" si="20"/>
        <v>0</v>
      </c>
      <c r="P45" s="403">
        <f t="shared" si="21"/>
        <v>0</v>
      </c>
    </row>
    <row r="46" spans="1:16">
      <c r="A46" s="427"/>
      <c r="B46" s="414"/>
      <c r="C46" s="428" t="s">
        <v>369</v>
      </c>
      <c r="D46" s="429">
        <v>0</v>
      </c>
      <c r="E46" s="403">
        <v>0</v>
      </c>
      <c r="F46" s="404">
        <f t="shared" si="11"/>
        <v>0</v>
      </c>
      <c r="G46" s="403">
        <f t="shared" si="12"/>
        <v>0</v>
      </c>
      <c r="H46" s="403">
        <f t="shared" si="13"/>
        <v>0</v>
      </c>
      <c r="I46" s="403">
        <f t="shared" si="14"/>
        <v>0</v>
      </c>
      <c r="J46" s="403">
        <f t="shared" si="15"/>
        <v>0</v>
      </c>
      <c r="K46" s="403">
        <f t="shared" si="16"/>
        <v>0</v>
      </c>
      <c r="L46" s="403">
        <f t="shared" si="17"/>
        <v>0</v>
      </c>
      <c r="M46" s="405">
        <f t="shared" si="18"/>
        <v>0</v>
      </c>
      <c r="N46" s="403">
        <f t="shared" si="19"/>
        <v>0</v>
      </c>
      <c r="O46" s="403">
        <f t="shared" si="20"/>
        <v>0</v>
      </c>
      <c r="P46" s="403">
        <f t="shared" si="21"/>
        <v>0</v>
      </c>
    </row>
    <row r="47" spans="1:16">
      <c r="A47" s="427"/>
      <c r="B47" s="414"/>
      <c r="C47" s="428" t="s">
        <v>369</v>
      </c>
      <c r="D47" s="429">
        <v>0</v>
      </c>
      <c r="E47" s="403">
        <v>0</v>
      </c>
      <c r="F47" s="404">
        <f t="shared" si="11"/>
        <v>0</v>
      </c>
      <c r="G47" s="403">
        <f t="shared" si="12"/>
        <v>0</v>
      </c>
      <c r="H47" s="403">
        <f t="shared" si="13"/>
        <v>0</v>
      </c>
      <c r="I47" s="403">
        <f t="shared" si="14"/>
        <v>0</v>
      </c>
      <c r="J47" s="403">
        <f t="shared" si="15"/>
        <v>0</v>
      </c>
      <c r="K47" s="403">
        <f t="shared" si="16"/>
        <v>0</v>
      </c>
      <c r="L47" s="403">
        <f t="shared" si="17"/>
        <v>0</v>
      </c>
      <c r="M47" s="405">
        <f t="shared" si="18"/>
        <v>0</v>
      </c>
      <c r="N47" s="403">
        <f t="shared" si="19"/>
        <v>0</v>
      </c>
      <c r="O47" s="403">
        <f t="shared" si="20"/>
        <v>0</v>
      </c>
      <c r="P47" s="403">
        <f t="shared" si="21"/>
        <v>0</v>
      </c>
    </row>
    <row r="48" spans="1:16">
      <c r="A48" s="427"/>
      <c r="B48" s="414"/>
      <c r="C48" s="428" t="s">
        <v>369</v>
      </c>
      <c r="D48" s="429">
        <v>0</v>
      </c>
      <c r="E48" s="403">
        <v>0</v>
      </c>
      <c r="F48" s="404">
        <f t="shared" si="11"/>
        <v>0</v>
      </c>
      <c r="G48" s="403">
        <f t="shared" si="12"/>
        <v>0</v>
      </c>
      <c r="H48" s="403">
        <f t="shared" si="13"/>
        <v>0</v>
      </c>
      <c r="I48" s="403">
        <f t="shared" si="14"/>
        <v>0</v>
      </c>
      <c r="J48" s="403">
        <f t="shared" si="15"/>
        <v>0</v>
      </c>
      <c r="K48" s="403">
        <f t="shared" si="16"/>
        <v>0</v>
      </c>
      <c r="L48" s="403">
        <f t="shared" si="17"/>
        <v>0</v>
      </c>
      <c r="M48" s="405">
        <f t="shared" si="18"/>
        <v>0</v>
      </c>
      <c r="N48" s="403">
        <f t="shared" si="19"/>
        <v>0</v>
      </c>
      <c r="O48" s="403">
        <f t="shared" si="20"/>
        <v>0</v>
      </c>
      <c r="P48" s="403">
        <f t="shared" si="21"/>
        <v>0</v>
      </c>
    </row>
    <row r="49" spans="1:17">
      <c r="A49" s="427"/>
      <c r="B49" s="414"/>
      <c r="C49" s="428" t="s">
        <v>369</v>
      </c>
      <c r="D49" s="429">
        <v>0</v>
      </c>
      <c r="E49" s="403">
        <v>0</v>
      </c>
      <c r="F49" s="404">
        <f t="shared" si="11"/>
        <v>0</v>
      </c>
      <c r="G49" s="403">
        <f t="shared" si="12"/>
        <v>0</v>
      </c>
      <c r="H49" s="403">
        <f t="shared" si="13"/>
        <v>0</v>
      </c>
      <c r="I49" s="403">
        <f t="shared" si="14"/>
        <v>0</v>
      </c>
      <c r="J49" s="403">
        <f t="shared" si="15"/>
        <v>0</v>
      </c>
      <c r="K49" s="403">
        <f t="shared" si="16"/>
        <v>0</v>
      </c>
      <c r="L49" s="403">
        <f t="shared" si="17"/>
        <v>0</v>
      </c>
      <c r="M49" s="405">
        <f t="shared" si="18"/>
        <v>0</v>
      </c>
      <c r="N49" s="403">
        <f t="shared" si="19"/>
        <v>0</v>
      </c>
      <c r="O49" s="403">
        <f t="shared" si="20"/>
        <v>0</v>
      </c>
      <c r="P49" s="403">
        <f t="shared" si="21"/>
        <v>0</v>
      </c>
    </row>
    <row r="50" spans="1:17">
      <c r="A50" s="427"/>
      <c r="B50" s="414"/>
      <c r="C50" s="428" t="s">
        <v>369</v>
      </c>
      <c r="D50" s="429">
        <v>0</v>
      </c>
      <c r="E50" s="403">
        <v>0</v>
      </c>
      <c r="F50" s="404">
        <f t="shared" si="11"/>
        <v>0</v>
      </c>
      <c r="G50" s="403">
        <f t="shared" si="12"/>
        <v>0</v>
      </c>
      <c r="H50" s="403">
        <f t="shared" si="13"/>
        <v>0</v>
      </c>
      <c r="I50" s="403">
        <f t="shared" si="14"/>
        <v>0</v>
      </c>
      <c r="J50" s="403">
        <f t="shared" si="15"/>
        <v>0</v>
      </c>
      <c r="K50" s="403">
        <f t="shared" si="16"/>
        <v>0</v>
      </c>
      <c r="L50" s="403">
        <f t="shared" si="17"/>
        <v>0</v>
      </c>
      <c r="M50" s="405">
        <f t="shared" si="18"/>
        <v>0</v>
      </c>
      <c r="N50" s="403">
        <f t="shared" si="19"/>
        <v>0</v>
      </c>
      <c r="O50" s="403">
        <f t="shared" si="20"/>
        <v>0</v>
      </c>
      <c r="P50" s="403">
        <f t="shared" si="21"/>
        <v>0</v>
      </c>
    </row>
    <row r="51" spans="1:17">
      <c r="A51" s="427"/>
      <c r="B51" s="414"/>
      <c r="C51" s="428" t="s">
        <v>369</v>
      </c>
      <c r="D51" s="429">
        <v>0</v>
      </c>
      <c r="E51" s="403">
        <v>0</v>
      </c>
      <c r="F51" s="404">
        <f t="shared" si="11"/>
        <v>0</v>
      </c>
      <c r="G51" s="403">
        <f t="shared" si="12"/>
        <v>0</v>
      </c>
      <c r="H51" s="403">
        <f t="shared" si="13"/>
        <v>0</v>
      </c>
      <c r="I51" s="403">
        <f t="shared" si="14"/>
        <v>0</v>
      </c>
      <c r="J51" s="403">
        <f t="shared" si="15"/>
        <v>0</v>
      </c>
      <c r="K51" s="403">
        <f t="shared" si="16"/>
        <v>0</v>
      </c>
      <c r="L51" s="403">
        <f t="shared" si="17"/>
        <v>0</v>
      </c>
      <c r="M51" s="405">
        <f t="shared" si="18"/>
        <v>0</v>
      </c>
      <c r="N51" s="403">
        <f t="shared" si="19"/>
        <v>0</v>
      </c>
      <c r="O51" s="403">
        <f t="shared" si="20"/>
        <v>0</v>
      </c>
      <c r="P51" s="403">
        <f t="shared" si="21"/>
        <v>0</v>
      </c>
    </row>
    <row r="52" spans="1:17">
      <c r="A52" s="427"/>
      <c r="B52" s="414"/>
      <c r="C52" s="428" t="s">
        <v>369</v>
      </c>
      <c r="D52" s="429">
        <v>0</v>
      </c>
      <c r="E52" s="403">
        <v>0</v>
      </c>
      <c r="F52" s="404">
        <f t="shared" si="11"/>
        <v>0</v>
      </c>
      <c r="G52" s="403">
        <f t="shared" si="12"/>
        <v>0</v>
      </c>
      <c r="H52" s="403">
        <f t="shared" si="13"/>
        <v>0</v>
      </c>
      <c r="I52" s="403">
        <f t="shared" si="14"/>
        <v>0</v>
      </c>
      <c r="J52" s="403">
        <f t="shared" si="15"/>
        <v>0</v>
      </c>
      <c r="K52" s="403">
        <f t="shared" si="16"/>
        <v>0</v>
      </c>
      <c r="L52" s="403">
        <f t="shared" si="17"/>
        <v>0</v>
      </c>
      <c r="M52" s="405">
        <f t="shared" si="18"/>
        <v>0</v>
      </c>
      <c r="N52" s="403">
        <f t="shared" si="19"/>
        <v>0</v>
      </c>
      <c r="O52" s="403">
        <f t="shared" si="20"/>
        <v>0</v>
      </c>
      <c r="P52" s="403">
        <f t="shared" si="21"/>
        <v>0</v>
      </c>
    </row>
    <row r="53" spans="1:17">
      <c r="A53" s="427"/>
      <c r="B53" s="414"/>
      <c r="C53" s="428" t="s">
        <v>369</v>
      </c>
      <c r="D53" s="429">
        <v>0</v>
      </c>
      <c r="E53" s="403">
        <v>0</v>
      </c>
      <c r="F53" s="404">
        <f t="shared" si="11"/>
        <v>0</v>
      </c>
      <c r="G53" s="403">
        <f t="shared" si="12"/>
        <v>0</v>
      </c>
      <c r="H53" s="403">
        <f t="shared" si="13"/>
        <v>0</v>
      </c>
      <c r="I53" s="403">
        <f t="shared" si="14"/>
        <v>0</v>
      </c>
      <c r="J53" s="403">
        <f t="shared" si="15"/>
        <v>0</v>
      </c>
      <c r="K53" s="403">
        <f t="shared" si="16"/>
        <v>0</v>
      </c>
      <c r="L53" s="403">
        <f t="shared" si="17"/>
        <v>0</v>
      </c>
      <c r="M53" s="405">
        <f t="shared" si="18"/>
        <v>0</v>
      </c>
      <c r="N53" s="403">
        <f t="shared" si="19"/>
        <v>0</v>
      </c>
      <c r="O53" s="403">
        <f t="shared" si="20"/>
        <v>0</v>
      </c>
      <c r="P53" s="403">
        <f t="shared" si="21"/>
        <v>0</v>
      </c>
    </row>
    <row r="54" spans="1:17">
      <c r="A54" s="427"/>
      <c r="B54" s="414"/>
      <c r="C54" s="428" t="s">
        <v>369</v>
      </c>
      <c r="D54" s="429">
        <v>0</v>
      </c>
      <c r="E54" s="403">
        <v>0</v>
      </c>
      <c r="F54" s="404">
        <f t="shared" si="11"/>
        <v>0</v>
      </c>
      <c r="G54" s="403">
        <f t="shared" si="12"/>
        <v>0</v>
      </c>
      <c r="H54" s="403">
        <f t="shared" si="13"/>
        <v>0</v>
      </c>
      <c r="I54" s="403">
        <f t="shared" si="14"/>
        <v>0</v>
      </c>
      <c r="J54" s="403">
        <f t="shared" si="15"/>
        <v>0</v>
      </c>
      <c r="K54" s="403">
        <f t="shared" si="16"/>
        <v>0</v>
      </c>
      <c r="L54" s="403">
        <f t="shared" si="17"/>
        <v>0</v>
      </c>
      <c r="M54" s="405">
        <f t="shared" si="18"/>
        <v>0</v>
      </c>
      <c r="N54" s="403">
        <f t="shared" si="19"/>
        <v>0</v>
      </c>
      <c r="O54" s="403">
        <f t="shared" si="20"/>
        <v>0</v>
      </c>
      <c r="P54" s="403">
        <f t="shared" si="21"/>
        <v>0</v>
      </c>
    </row>
    <row r="55" spans="1:17">
      <c r="A55" s="427"/>
      <c r="B55" s="414"/>
      <c r="C55" s="428" t="s">
        <v>369</v>
      </c>
      <c r="D55" s="429">
        <v>0</v>
      </c>
      <c r="E55" s="403">
        <v>0</v>
      </c>
      <c r="F55" s="404">
        <f t="shared" si="1"/>
        <v>0</v>
      </c>
      <c r="G55" s="403">
        <f t="shared" si="0"/>
        <v>0</v>
      </c>
      <c r="H55" s="403">
        <f t="shared" si="2"/>
        <v>0</v>
      </c>
      <c r="I55" s="403">
        <f t="shared" si="3"/>
        <v>0</v>
      </c>
      <c r="J55" s="403">
        <f t="shared" si="4"/>
        <v>0</v>
      </c>
      <c r="K55" s="403">
        <f t="shared" si="5"/>
        <v>0</v>
      </c>
      <c r="L55" s="403">
        <f t="shared" si="6"/>
        <v>0</v>
      </c>
      <c r="M55" s="405">
        <f t="shared" si="7"/>
        <v>0</v>
      </c>
      <c r="N55" s="403">
        <f t="shared" si="8"/>
        <v>0</v>
      </c>
      <c r="O55" s="403">
        <f t="shared" si="9"/>
        <v>0</v>
      </c>
      <c r="P55" s="403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7" t="s">
        <v>355</v>
      </c>
      <c r="B1" s="547"/>
      <c r="C1" s="547"/>
      <c r="D1" s="547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50" t="s">
        <v>376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 t="shared" ref="F6:F15" si="0">IF(B6="si",D6*$F$4,0)</f>
        <v>0</v>
      </c>
      <c r="G6" s="403">
        <v>0</v>
      </c>
      <c r="H6" s="403">
        <f>(D6+F6+G6)*$H$4</f>
        <v>0</v>
      </c>
      <c r="I6" s="403">
        <f t="shared" ref="I6:I15" si="1">IF(B6="si",(D6+F6+G6+H6)*$I$4,0)</f>
        <v>0</v>
      </c>
      <c r="J6" s="403">
        <f>D6+F6+G6+H6+I6</f>
        <v>0</v>
      </c>
      <c r="K6" s="403">
        <f>J6*$K$4</f>
        <v>0</v>
      </c>
      <c r="L6" s="405">
        <f t="shared" ref="L6:L15" si="2"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7">
      <c r="A7" s="412"/>
      <c r="B7" s="409" t="s">
        <v>369</v>
      </c>
      <c r="C7" s="410">
        <v>0</v>
      </c>
      <c r="D7" s="408">
        <v>0</v>
      </c>
      <c r="E7" s="411">
        <f t="shared" ref="E7:E15" si="3">+D7*C7</f>
        <v>0</v>
      </c>
      <c r="F7" s="403">
        <f t="shared" si="0"/>
        <v>0</v>
      </c>
      <c r="G7" s="413">
        <f t="shared" ref="G7:G15" si="4">(D7+F7)*$G$4</f>
        <v>0</v>
      </c>
      <c r="H7" s="413">
        <f t="shared" ref="H7:H15" si="5">(D7+F7+G7)*$H$4</f>
        <v>0</v>
      </c>
      <c r="I7" s="403">
        <f t="shared" si="1"/>
        <v>0</v>
      </c>
      <c r="J7" s="413">
        <f t="shared" ref="J7:J15" si="6">D7+F7+G7+H7+I7</f>
        <v>0</v>
      </c>
      <c r="K7" s="403">
        <f t="shared" ref="K7:K15" si="7">J7*$K$4</f>
        <v>0</v>
      </c>
      <c r="L7" s="405">
        <f t="shared" si="2"/>
        <v>0</v>
      </c>
      <c r="M7" s="403">
        <f t="shared" ref="M7:M15" si="8">(J7+K7)*$M$4/(1-$M$4)</f>
        <v>0</v>
      </c>
      <c r="N7" s="403">
        <f t="shared" ref="N7:N15" si="9">M7+J7+K7</f>
        <v>0</v>
      </c>
      <c r="O7" s="413">
        <f t="shared" ref="O7:O15" si="10">N7*C7</f>
        <v>0</v>
      </c>
    </row>
    <row r="8" spans="1:17">
      <c r="A8" s="412"/>
      <c r="B8" s="409" t="s">
        <v>369</v>
      </c>
      <c r="C8" s="410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7"/>
        <v>0</v>
      </c>
      <c r="L8" s="405">
        <f t="shared" si="2"/>
        <v>0</v>
      </c>
      <c r="M8" s="403">
        <f t="shared" si="8"/>
        <v>0</v>
      </c>
      <c r="N8" s="403">
        <f t="shared" si="9"/>
        <v>0</v>
      </c>
      <c r="O8" s="413">
        <f t="shared" si="10"/>
        <v>0</v>
      </c>
    </row>
    <row r="9" spans="1:17">
      <c r="A9" s="414"/>
      <c r="B9" s="409" t="s">
        <v>369</v>
      </c>
      <c r="C9" s="410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7"/>
        <v>0</v>
      </c>
      <c r="L9" s="405">
        <f t="shared" si="2"/>
        <v>0</v>
      </c>
      <c r="M9" s="403">
        <f t="shared" si="8"/>
        <v>0</v>
      </c>
      <c r="N9" s="403">
        <f t="shared" si="9"/>
        <v>0</v>
      </c>
      <c r="O9" s="413">
        <f t="shared" si="10"/>
        <v>0</v>
      </c>
    </row>
    <row r="10" spans="1:17">
      <c r="A10" s="414"/>
      <c r="B10" s="409" t="s">
        <v>369</v>
      </c>
      <c r="C10" s="410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7"/>
        <v>0</v>
      </c>
      <c r="L10" s="405">
        <f t="shared" si="2"/>
        <v>0</v>
      </c>
      <c r="M10" s="403">
        <f t="shared" si="8"/>
        <v>0</v>
      </c>
      <c r="N10" s="403">
        <f t="shared" si="9"/>
        <v>0</v>
      </c>
      <c r="O10" s="413">
        <f t="shared" si="10"/>
        <v>0</v>
      </c>
    </row>
    <row r="11" spans="1:17">
      <c r="A11" s="414"/>
      <c r="B11" s="409" t="s">
        <v>369</v>
      </c>
      <c r="C11" s="410">
        <v>0</v>
      </c>
      <c r="D11" s="408">
        <v>0</v>
      </c>
      <c r="E11" s="411">
        <f t="shared" ref="E11:E12" si="11">+D11*C11</f>
        <v>0</v>
      </c>
      <c r="F11" s="403">
        <f t="shared" si="0"/>
        <v>0</v>
      </c>
      <c r="G11" s="413">
        <f t="shared" ref="G11:G12" si="12">(D11+F11)*$G$4</f>
        <v>0</v>
      </c>
      <c r="H11" s="413">
        <f t="shared" ref="H11:H12" si="13">(D11+F11+G11)*$H$4</f>
        <v>0</v>
      </c>
      <c r="I11" s="403">
        <f t="shared" si="1"/>
        <v>0</v>
      </c>
      <c r="J11" s="413">
        <f t="shared" ref="J11:J12" si="14">D11+F11+G11+H11+I11</f>
        <v>0</v>
      </c>
      <c r="K11" s="403">
        <f t="shared" si="7"/>
        <v>0</v>
      </c>
      <c r="L11" s="405">
        <f t="shared" si="2"/>
        <v>0</v>
      </c>
      <c r="M11" s="403">
        <f t="shared" si="8"/>
        <v>0</v>
      </c>
      <c r="N11" s="403">
        <f t="shared" si="9"/>
        <v>0</v>
      </c>
      <c r="O11" s="413">
        <f t="shared" ref="O11:O12" si="15">N11*C11</f>
        <v>0</v>
      </c>
    </row>
    <row r="12" spans="1:17">
      <c r="A12" s="414"/>
      <c r="B12" s="409" t="s">
        <v>369</v>
      </c>
      <c r="C12" s="410">
        <v>0</v>
      </c>
      <c r="D12" s="408">
        <v>0</v>
      </c>
      <c r="E12" s="411">
        <f t="shared" si="11"/>
        <v>0</v>
      </c>
      <c r="F12" s="403">
        <f t="shared" si="0"/>
        <v>0</v>
      </c>
      <c r="G12" s="413">
        <f t="shared" si="12"/>
        <v>0</v>
      </c>
      <c r="H12" s="413">
        <f t="shared" si="13"/>
        <v>0</v>
      </c>
      <c r="I12" s="403">
        <f t="shared" si="1"/>
        <v>0</v>
      </c>
      <c r="J12" s="413">
        <f t="shared" si="14"/>
        <v>0</v>
      </c>
      <c r="K12" s="403">
        <f t="shared" si="7"/>
        <v>0</v>
      </c>
      <c r="L12" s="405">
        <f t="shared" si="2"/>
        <v>0</v>
      </c>
      <c r="M12" s="403">
        <f t="shared" si="8"/>
        <v>0</v>
      </c>
      <c r="N12" s="403">
        <f t="shared" si="9"/>
        <v>0</v>
      </c>
      <c r="O12" s="413">
        <f t="shared" si="15"/>
        <v>0</v>
      </c>
    </row>
    <row r="13" spans="1:17">
      <c r="A13" s="414"/>
      <c r="B13" s="409" t="s">
        <v>369</v>
      </c>
      <c r="C13" s="410">
        <v>0</v>
      </c>
      <c r="D13" s="408">
        <v>0</v>
      </c>
      <c r="E13" s="411">
        <f t="shared" ref="E13:E14" si="16">+D13*C13</f>
        <v>0</v>
      </c>
      <c r="F13" s="403">
        <f t="shared" si="0"/>
        <v>0</v>
      </c>
      <c r="G13" s="413">
        <f t="shared" ref="G13:G14" si="17">(D13+F13)*$G$4</f>
        <v>0</v>
      </c>
      <c r="H13" s="413">
        <f t="shared" ref="H13:H14" si="18">(D13+F13+G13)*$H$4</f>
        <v>0</v>
      </c>
      <c r="I13" s="403">
        <f t="shared" si="1"/>
        <v>0</v>
      </c>
      <c r="J13" s="413">
        <f t="shared" ref="J13:J14" si="19">D13+F13+G13+H13+I13</f>
        <v>0</v>
      </c>
      <c r="K13" s="403">
        <f t="shared" si="7"/>
        <v>0</v>
      </c>
      <c r="L13" s="405">
        <f t="shared" si="2"/>
        <v>0</v>
      </c>
      <c r="M13" s="403">
        <f t="shared" si="8"/>
        <v>0</v>
      </c>
      <c r="N13" s="403">
        <f t="shared" si="9"/>
        <v>0</v>
      </c>
      <c r="O13" s="413">
        <f t="shared" ref="O13:O14" si="20">N13*C13</f>
        <v>0</v>
      </c>
    </row>
    <row r="14" spans="1:17">
      <c r="A14" s="414"/>
      <c r="B14" s="409" t="s">
        <v>369</v>
      </c>
      <c r="C14" s="410">
        <v>0</v>
      </c>
      <c r="D14" s="408">
        <v>0</v>
      </c>
      <c r="E14" s="411">
        <f t="shared" si="16"/>
        <v>0</v>
      </c>
      <c r="F14" s="403">
        <f t="shared" si="0"/>
        <v>0</v>
      </c>
      <c r="G14" s="413">
        <f t="shared" si="17"/>
        <v>0</v>
      </c>
      <c r="H14" s="413">
        <f t="shared" si="18"/>
        <v>0</v>
      </c>
      <c r="I14" s="403">
        <f t="shared" si="1"/>
        <v>0</v>
      </c>
      <c r="J14" s="413">
        <f t="shared" si="19"/>
        <v>0</v>
      </c>
      <c r="K14" s="403">
        <f t="shared" si="7"/>
        <v>0</v>
      </c>
      <c r="L14" s="405">
        <f t="shared" si="2"/>
        <v>0</v>
      </c>
      <c r="M14" s="403">
        <f t="shared" si="8"/>
        <v>0</v>
      </c>
      <c r="N14" s="403">
        <f t="shared" si="9"/>
        <v>0</v>
      </c>
      <c r="O14" s="413">
        <f t="shared" si="20"/>
        <v>0</v>
      </c>
    </row>
    <row r="15" spans="1:17">
      <c r="A15" s="414"/>
      <c r="B15" s="409" t="s">
        <v>369</v>
      </c>
      <c r="C15" s="410">
        <v>0</v>
      </c>
      <c r="D15" s="408">
        <v>0</v>
      </c>
      <c r="E15" s="411">
        <f t="shared" si="3"/>
        <v>0</v>
      </c>
      <c r="F15" s="403">
        <f t="shared" si="0"/>
        <v>0</v>
      </c>
      <c r="G15" s="413">
        <f t="shared" si="4"/>
        <v>0</v>
      </c>
      <c r="H15" s="413">
        <f t="shared" si="5"/>
        <v>0</v>
      </c>
      <c r="I15" s="403">
        <f t="shared" si="1"/>
        <v>0</v>
      </c>
      <c r="J15" s="413">
        <f t="shared" si="6"/>
        <v>0</v>
      </c>
      <c r="K15" s="403">
        <f t="shared" si="7"/>
        <v>0</v>
      </c>
      <c r="L15" s="405">
        <f t="shared" si="2"/>
        <v>0</v>
      </c>
      <c r="M15" s="403">
        <f t="shared" si="8"/>
        <v>0</v>
      </c>
      <c r="N15" s="403">
        <f t="shared" si="9"/>
        <v>0</v>
      </c>
      <c r="O15" s="413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379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02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02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05">
        <f t="shared" ref="L7:L20" si="3">(J7+K7)*C7</f>
        <v>0</v>
      </c>
      <c r="M7" s="403">
        <f t="shared" ref="M7:M20" si="4">(J7+K7)*$M$4/(1-$M$4)</f>
        <v>0</v>
      </c>
      <c r="N7" s="403">
        <f t="shared" ref="N7:N20" si="5">M7+J7+K7</f>
        <v>0</v>
      </c>
      <c r="O7" s="413">
        <f>N7*C7</f>
        <v>0</v>
      </c>
    </row>
    <row r="8" spans="1:16">
      <c r="A8" s="412"/>
      <c r="B8" s="409" t="s">
        <v>369</v>
      </c>
      <c r="C8" s="402">
        <v>0</v>
      </c>
      <c r="D8" s="408">
        <v>0</v>
      </c>
      <c r="E8" s="411">
        <f t="shared" ref="E8:E12" si="6">+D8*C8</f>
        <v>0</v>
      </c>
      <c r="F8" s="403">
        <f t="shared" si="0"/>
        <v>0</v>
      </c>
      <c r="G8" s="413">
        <f t="shared" ref="G8:G12" si="7">(D8+F8)*$G$4</f>
        <v>0</v>
      </c>
      <c r="H8" s="413">
        <f t="shared" ref="H8:H12" si="8">(D8+F8+G8)*$H$4</f>
        <v>0</v>
      </c>
      <c r="I8" s="403">
        <f t="shared" si="1"/>
        <v>0</v>
      </c>
      <c r="J8" s="413">
        <f t="shared" ref="J8:J12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02">
        <v>0</v>
      </c>
      <c r="D9" s="408">
        <v>0</v>
      </c>
      <c r="E9" s="41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2"/>
      <c r="B10" s="409" t="s">
        <v>369</v>
      </c>
      <c r="C10" s="402">
        <v>0</v>
      </c>
      <c r="D10" s="408">
        <v>0</v>
      </c>
      <c r="E10" s="41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02">
        <v>0</v>
      </c>
      <c r="D11" s="408">
        <v>0</v>
      </c>
      <c r="E11" s="41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>
      <c r="A12" s="414"/>
      <c r="B12" s="409" t="s">
        <v>369</v>
      </c>
      <c r="C12" s="402">
        <v>0</v>
      </c>
      <c r="D12" s="408">
        <v>0</v>
      </c>
      <c r="E12" s="411">
        <f t="shared" si="6"/>
        <v>0</v>
      </c>
      <c r="F12" s="403">
        <f t="shared" si="0"/>
        <v>0</v>
      </c>
      <c r="G12" s="413">
        <f t="shared" si="7"/>
        <v>0</v>
      </c>
      <c r="H12" s="413">
        <f t="shared" si="8"/>
        <v>0</v>
      </c>
      <c r="I12" s="403">
        <f t="shared" si="1"/>
        <v>0</v>
      </c>
      <c r="J12" s="413">
        <f t="shared" si="9"/>
        <v>0</v>
      </c>
      <c r="K12" s="403">
        <f t="shared" si="2"/>
        <v>0</v>
      </c>
      <c r="L12" s="405">
        <f t="shared" si="3"/>
        <v>0</v>
      </c>
      <c r="M12" s="403">
        <f t="shared" si="4"/>
        <v>0</v>
      </c>
      <c r="N12" s="403">
        <f t="shared" si="5"/>
        <v>0</v>
      </c>
      <c r="O12" s="413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9"/>
      <c r="B14" s="409" t="s">
        <v>369</v>
      </c>
      <c r="C14" s="402">
        <v>0</v>
      </c>
      <c r="D14" s="408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8" si="14">N14*C14</f>
        <v>0</v>
      </c>
    </row>
    <row r="15" spans="1:16">
      <c r="A15" s="415"/>
      <c r="B15" s="409" t="s">
        <v>369</v>
      </c>
      <c r="C15" s="402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14"/>
        <v>0</v>
      </c>
    </row>
    <row r="16" spans="1:16">
      <c r="A16" s="415"/>
      <c r="B16" s="409" t="s">
        <v>369</v>
      </c>
      <c r="C16" s="402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14"/>
        <v>0</v>
      </c>
    </row>
    <row r="17" spans="1:18">
      <c r="A17" s="416"/>
      <c r="B17" s="409" t="s">
        <v>369</v>
      </c>
      <c r="C17" s="402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14"/>
        <v>0</v>
      </c>
    </row>
    <row r="18" spans="1:18">
      <c r="A18" s="416"/>
      <c r="B18" s="409" t="s">
        <v>369</v>
      </c>
      <c r="C18" s="402">
        <v>0</v>
      </c>
      <c r="D18" s="408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3"/>
        <v>0</v>
      </c>
      <c r="M18" s="403">
        <f t="shared" si="4"/>
        <v>0</v>
      </c>
      <c r="N18" s="403">
        <f t="shared" si="5"/>
        <v>0</v>
      </c>
      <c r="O18" s="403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7"/>
      <c r="B20" s="409" t="s">
        <v>369</v>
      </c>
      <c r="C20" s="402">
        <v>0</v>
      </c>
      <c r="D20" s="408">
        <v>0</v>
      </c>
      <c r="E20" s="404">
        <f>+C20*D20</f>
        <v>0</v>
      </c>
      <c r="F20" s="403">
        <f t="shared" si="0"/>
        <v>0</v>
      </c>
      <c r="G20" s="403">
        <f t="shared" ref="G20" si="15">(D20+F20)*$G$4</f>
        <v>0</v>
      </c>
      <c r="H20" s="403">
        <f t="shared" ref="H20" si="16">(D20+F20+G20)*$H$4</f>
        <v>0</v>
      </c>
      <c r="I20" s="403">
        <f t="shared" si="1"/>
        <v>0</v>
      </c>
      <c r="J20" s="403">
        <f t="shared" ref="J20" si="17">D20+F20+G20+H20+I20</f>
        <v>0</v>
      </c>
      <c r="K20" s="403">
        <f t="shared" si="2"/>
        <v>0</v>
      </c>
      <c r="L20" s="405">
        <f t="shared" si="3"/>
        <v>0</v>
      </c>
      <c r="M20" s="403">
        <f t="shared" si="4"/>
        <v>0</v>
      </c>
      <c r="N20" s="403">
        <f t="shared" si="5"/>
        <v>0</v>
      </c>
      <c r="O20" s="403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7" t="s">
        <v>355</v>
      </c>
      <c r="B1" s="547"/>
      <c r="C1" s="547"/>
      <c r="D1" s="547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50" t="s">
        <v>382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2"/>
      <c r="B6" s="409" t="s">
        <v>369</v>
      </c>
      <c r="C6" s="417">
        <v>0</v>
      </c>
      <c r="D6" s="408">
        <v>0</v>
      </c>
      <c r="E6" s="411">
        <f>+D6*C6</f>
        <v>0</v>
      </c>
      <c r="F6" s="403">
        <f t="shared" ref="F6:F19" si="0">IF(B6="si",D6*$F$4,0)</f>
        <v>0</v>
      </c>
      <c r="G6" s="413">
        <f>(D6+F6)*$G$4</f>
        <v>0</v>
      </c>
      <c r="H6" s="413">
        <f>(D6+F6+G6)*$H$4</f>
        <v>0</v>
      </c>
      <c r="I6" s="403">
        <f t="shared" ref="I6:I19" si="1">IF(B6="si",(D6+F6+G6+H6)*$I$4,0)</f>
        <v>0</v>
      </c>
      <c r="J6" s="413">
        <f>D6+F6+G6+H6+I6</f>
        <v>0</v>
      </c>
      <c r="K6" s="403">
        <f t="shared" ref="K6:K19" si="2">J6*$K$4</f>
        <v>0</v>
      </c>
      <c r="L6" s="418">
        <f>(J6+K6)*C6</f>
        <v>0</v>
      </c>
      <c r="M6" s="413">
        <f>(J6+K6)*$M$4/(1-$M$4)</f>
        <v>0</v>
      </c>
      <c r="N6" s="413">
        <f>M6+J6+K6</f>
        <v>0</v>
      </c>
      <c r="O6" s="413">
        <f>N6*C6</f>
        <v>0</v>
      </c>
    </row>
    <row r="7" spans="1:15" ht="14.5">
      <c r="A7" s="412"/>
      <c r="B7" s="409" t="s">
        <v>369</v>
      </c>
      <c r="C7" s="417">
        <v>0</v>
      </c>
      <c r="D7" s="408">
        <v>0</v>
      </c>
      <c r="E7" s="411">
        <f t="shared" ref="E7:E11" si="3">+D7*C7</f>
        <v>0</v>
      </c>
      <c r="F7" s="403">
        <f t="shared" si="0"/>
        <v>0</v>
      </c>
      <c r="G7" s="413">
        <f t="shared" ref="G7:G11" si="4">(D7+F7)*$G$4</f>
        <v>0</v>
      </c>
      <c r="H7" s="413">
        <f t="shared" ref="H7:H11" si="5">(D7+F7+G7)*$H$4</f>
        <v>0</v>
      </c>
      <c r="I7" s="403">
        <f t="shared" si="1"/>
        <v>0</v>
      </c>
      <c r="J7" s="413">
        <f t="shared" ref="J7:J11" si="6">D7+F7+G7+H7+I7</f>
        <v>0</v>
      </c>
      <c r="K7" s="403">
        <f t="shared" si="2"/>
        <v>0</v>
      </c>
      <c r="L7" s="418">
        <f t="shared" ref="L7:L19" si="7">(J7+K7)*C7</f>
        <v>0</v>
      </c>
      <c r="M7" s="413">
        <f t="shared" ref="M7:M19" si="8">(J7+K7)*$M$4/(1-$M$4)</f>
        <v>0</v>
      </c>
      <c r="N7" s="413">
        <f t="shared" ref="N7:N19" si="9">M7+J7+K7</f>
        <v>0</v>
      </c>
      <c r="O7" s="413">
        <f t="shared" ref="O7:O11" si="10">N7*C7</f>
        <v>0</v>
      </c>
    </row>
    <row r="8" spans="1:15" ht="14.5">
      <c r="A8" s="412"/>
      <c r="B8" s="409" t="s">
        <v>369</v>
      </c>
      <c r="C8" s="417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2"/>
        <v>0</v>
      </c>
      <c r="L8" s="418">
        <f t="shared" si="7"/>
        <v>0</v>
      </c>
      <c r="M8" s="413">
        <f t="shared" si="8"/>
        <v>0</v>
      </c>
      <c r="N8" s="413">
        <f t="shared" si="9"/>
        <v>0</v>
      </c>
      <c r="O8" s="413">
        <f t="shared" si="10"/>
        <v>0</v>
      </c>
    </row>
    <row r="9" spans="1:15" ht="14.5">
      <c r="A9" s="412"/>
      <c r="B9" s="409" t="s">
        <v>369</v>
      </c>
      <c r="C9" s="417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5" ht="14.5">
      <c r="A10" s="414"/>
      <c r="B10" s="409" t="s">
        <v>369</v>
      </c>
      <c r="C10" s="417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5" ht="14.5">
      <c r="A11" s="414"/>
      <c r="B11" s="409" t="s">
        <v>369</v>
      </c>
      <c r="C11" s="417">
        <v>0</v>
      </c>
      <c r="D11" s="408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9"/>
      <c r="B13" s="409" t="s">
        <v>369</v>
      </c>
      <c r="C13" s="417">
        <v>0</v>
      </c>
      <c r="D13" s="408">
        <v>0</v>
      </c>
      <c r="E13" s="404">
        <f>+C13*D13*(1-C22)</f>
        <v>0</v>
      </c>
      <c r="F13" s="403">
        <f t="shared" si="0"/>
        <v>0</v>
      </c>
      <c r="G13" s="403">
        <f t="shared" ref="G13:G17" si="11">(D13+F13)*$G$4</f>
        <v>0</v>
      </c>
      <c r="H13" s="403">
        <f t="shared" ref="H13:H17" si="12">(D13+F13+G13)*$H$4</f>
        <v>0</v>
      </c>
      <c r="I13" s="403">
        <f t="shared" si="1"/>
        <v>0</v>
      </c>
      <c r="J13" s="403">
        <f t="shared" ref="J13:J17" si="13">D13+F13+G13+H13+I13</f>
        <v>0</v>
      </c>
      <c r="K13" s="403">
        <f t="shared" si="2"/>
        <v>0</v>
      </c>
      <c r="L13" s="418">
        <f t="shared" si="7"/>
        <v>0</v>
      </c>
      <c r="M13" s="413">
        <f t="shared" si="8"/>
        <v>0</v>
      </c>
      <c r="N13" s="413">
        <f t="shared" si="9"/>
        <v>0</v>
      </c>
      <c r="O13" s="403">
        <f t="shared" ref="O13:O17" si="14">N13*C13</f>
        <v>0</v>
      </c>
    </row>
    <row r="14" spans="1:15" ht="14.5">
      <c r="A14" s="415"/>
      <c r="B14" s="409" t="s">
        <v>369</v>
      </c>
      <c r="C14" s="417">
        <v>0</v>
      </c>
      <c r="D14" s="408">
        <v>0</v>
      </c>
      <c r="E14" s="404">
        <f>+C14*D14</f>
        <v>0</v>
      </c>
      <c r="F14" s="403">
        <f t="shared" si="0"/>
        <v>0</v>
      </c>
      <c r="G14" s="403">
        <f t="shared" si="11"/>
        <v>0</v>
      </c>
      <c r="H14" s="403">
        <f t="shared" si="12"/>
        <v>0</v>
      </c>
      <c r="I14" s="403">
        <f t="shared" si="1"/>
        <v>0</v>
      </c>
      <c r="J14" s="403">
        <f t="shared" si="13"/>
        <v>0</v>
      </c>
      <c r="K14" s="403">
        <f t="shared" si="2"/>
        <v>0</v>
      </c>
      <c r="L14" s="418">
        <f t="shared" si="7"/>
        <v>0</v>
      </c>
      <c r="M14" s="413">
        <f t="shared" si="8"/>
        <v>0</v>
      </c>
      <c r="N14" s="413">
        <f t="shared" si="9"/>
        <v>0</v>
      </c>
      <c r="O14" s="403">
        <f t="shared" si="14"/>
        <v>0</v>
      </c>
    </row>
    <row r="15" spans="1:15" ht="14.5">
      <c r="A15" s="415"/>
      <c r="B15" s="409" t="s">
        <v>369</v>
      </c>
      <c r="C15" s="417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18">
        <f t="shared" si="7"/>
        <v>0</v>
      </c>
      <c r="M15" s="413">
        <f t="shared" si="8"/>
        <v>0</v>
      </c>
      <c r="N15" s="413">
        <f t="shared" si="9"/>
        <v>0</v>
      </c>
      <c r="O15" s="403">
        <f t="shared" si="14"/>
        <v>0</v>
      </c>
    </row>
    <row r="16" spans="1:15" ht="14.5">
      <c r="A16" s="416"/>
      <c r="B16" s="409" t="s">
        <v>369</v>
      </c>
      <c r="C16" s="417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18">
        <f t="shared" si="7"/>
        <v>0</v>
      </c>
      <c r="M16" s="413">
        <f t="shared" si="8"/>
        <v>0</v>
      </c>
      <c r="N16" s="413">
        <f t="shared" si="9"/>
        <v>0</v>
      </c>
      <c r="O16" s="403">
        <f t="shared" si="14"/>
        <v>0</v>
      </c>
    </row>
    <row r="17" spans="1:18" ht="14.5">
      <c r="A17" s="416"/>
      <c r="B17" s="409" t="s">
        <v>369</v>
      </c>
      <c r="C17" s="417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18">
        <f t="shared" si="7"/>
        <v>0</v>
      </c>
      <c r="M17" s="413">
        <f t="shared" si="8"/>
        <v>0</v>
      </c>
      <c r="N17" s="413">
        <f t="shared" si="9"/>
        <v>0</v>
      </c>
      <c r="O17" s="403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6"/>
      <c r="B19" s="409" t="s">
        <v>369</v>
      </c>
      <c r="C19" s="417">
        <v>0</v>
      </c>
      <c r="D19" s="408">
        <v>0</v>
      </c>
      <c r="E19" s="404">
        <f>+C19*D19</f>
        <v>0</v>
      </c>
      <c r="F19" s="403">
        <f t="shared" si="0"/>
        <v>0</v>
      </c>
      <c r="G19" s="403">
        <f t="shared" ref="G19" si="15">(D19+F19)*$G$4</f>
        <v>0</v>
      </c>
      <c r="H19" s="403">
        <f t="shared" ref="H19" si="16">(D19+F19+G19)*$H$4</f>
        <v>0</v>
      </c>
      <c r="I19" s="403">
        <f t="shared" si="1"/>
        <v>0</v>
      </c>
      <c r="J19" s="403">
        <f t="shared" ref="J19" si="17">D19+F19+G19+H19+I19</f>
        <v>0</v>
      </c>
      <c r="K19" s="403">
        <f t="shared" si="2"/>
        <v>0</v>
      </c>
      <c r="L19" s="418">
        <f t="shared" si="7"/>
        <v>0</v>
      </c>
      <c r="M19" s="413">
        <f t="shared" si="8"/>
        <v>0</v>
      </c>
      <c r="N19" s="413">
        <f t="shared" si="9"/>
        <v>0</v>
      </c>
      <c r="O19" s="403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383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4"/>
      <c r="B6" s="409" t="s">
        <v>369</v>
      </c>
      <c r="C6" s="419">
        <v>0</v>
      </c>
      <c r="D6" s="420">
        <v>0</v>
      </c>
      <c r="E6" s="42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14"/>
      <c r="B7" s="409" t="s">
        <v>369</v>
      </c>
      <c r="C7" s="419">
        <v>0</v>
      </c>
      <c r="D7" s="420">
        <v>0</v>
      </c>
      <c r="E7" s="421">
        <f>+D7*C7</f>
        <v>0</v>
      </c>
      <c r="F7" s="403">
        <f t="shared" ref="F7:F23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3" si="1">IF(B7="si",(D7+F7+G7+H7)*$I$4,0)</f>
        <v>0</v>
      </c>
      <c r="J7" s="413">
        <f>D7+F7+G7+H7+I7</f>
        <v>0</v>
      </c>
      <c r="K7" s="403">
        <f t="shared" ref="K7:K23" si="2">J7*$K$4</f>
        <v>0</v>
      </c>
      <c r="L7" s="405">
        <f t="shared" ref="L7:L23" si="3">(J7+K7)*C7</f>
        <v>0</v>
      </c>
      <c r="M7" s="403">
        <f t="shared" ref="M7:M23" si="4">(J7+K7)*$M$4/(1-$M$4)</f>
        <v>0</v>
      </c>
      <c r="N7" s="403">
        <f t="shared" ref="N7:N23" si="5">M7+J7+K7</f>
        <v>0</v>
      </c>
      <c r="O7" s="413">
        <f>N7*C7</f>
        <v>0</v>
      </c>
    </row>
    <row r="8" spans="1:16">
      <c r="A8" s="414"/>
      <c r="B8" s="409" t="s">
        <v>369</v>
      </c>
      <c r="C8" s="419">
        <v>0</v>
      </c>
      <c r="D8" s="420">
        <v>0</v>
      </c>
      <c r="E8" s="421">
        <f t="shared" ref="E8:E11" si="6">+D8*C8</f>
        <v>0</v>
      </c>
      <c r="F8" s="403">
        <f t="shared" si="0"/>
        <v>0</v>
      </c>
      <c r="G8" s="413">
        <f t="shared" ref="G8:G11" si="7">(D8+F8)*$G$4</f>
        <v>0</v>
      </c>
      <c r="H8" s="413">
        <f t="shared" ref="H8:H11" si="8">(D8+F8+G8)*$H$4</f>
        <v>0</v>
      </c>
      <c r="I8" s="403">
        <f t="shared" si="1"/>
        <v>0</v>
      </c>
      <c r="J8" s="413">
        <f t="shared" ref="J8:J11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1" si="10">N8*C8</f>
        <v>0</v>
      </c>
    </row>
    <row r="9" spans="1:16">
      <c r="A9" s="412"/>
      <c r="B9" s="409" t="s">
        <v>369</v>
      </c>
      <c r="C9" s="419">
        <v>0</v>
      </c>
      <c r="D9" s="420">
        <v>0</v>
      </c>
      <c r="E9" s="42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4"/>
      <c r="B10" s="409" t="s">
        <v>369</v>
      </c>
      <c r="C10" s="419">
        <v>0</v>
      </c>
      <c r="D10" s="420">
        <v>0</v>
      </c>
      <c r="E10" s="42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19">
        <v>0</v>
      </c>
      <c r="D11" s="420">
        <v>0</v>
      </c>
      <c r="E11" s="42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9"/>
      <c r="B13" s="409" t="s">
        <v>369</v>
      </c>
      <c r="C13" s="419">
        <v>0</v>
      </c>
      <c r="D13" s="422">
        <v>0</v>
      </c>
      <c r="E13" s="404">
        <f t="shared" ref="E13:E21" si="11">+C13*D13</f>
        <v>0</v>
      </c>
      <c r="F13" s="403">
        <f t="shared" ref="F13" si="12">IF(B13="si",D13*$F$4,0)</f>
        <v>0</v>
      </c>
      <c r="G13" s="403">
        <f t="shared" ref="G13" si="13">(D13+F13)*$G$4</f>
        <v>0</v>
      </c>
      <c r="H13" s="403">
        <f t="shared" ref="H13" si="14">(D13+F13+G13)*$H$4</f>
        <v>0</v>
      </c>
      <c r="I13" s="403">
        <f t="shared" ref="I13" si="15">IF(B13="si",(D13+F13+G13+H13)*$I$4,0)</f>
        <v>0</v>
      </c>
      <c r="J13" s="403">
        <f t="shared" ref="J13" si="16">D13+F13+G13+H13+I13</f>
        <v>0</v>
      </c>
      <c r="K13" s="403">
        <f t="shared" ref="K13" si="17">J13*$K$4</f>
        <v>0</v>
      </c>
      <c r="L13" s="405">
        <f t="shared" ref="L13" si="18">(J13+K13)*C13</f>
        <v>0</v>
      </c>
      <c r="M13" s="403">
        <f t="shared" si="4"/>
        <v>0</v>
      </c>
      <c r="N13" s="403">
        <f t="shared" si="5"/>
        <v>0</v>
      </c>
      <c r="O13" s="403">
        <f t="shared" ref="O13" si="19">N13*C13</f>
        <v>0</v>
      </c>
    </row>
    <row r="14" spans="1:16">
      <c r="A14" s="412"/>
      <c r="B14" s="409" t="s">
        <v>369</v>
      </c>
      <c r="C14" s="419">
        <v>0</v>
      </c>
      <c r="D14" s="420">
        <v>0</v>
      </c>
      <c r="E14" s="404">
        <f t="shared" si="11"/>
        <v>0</v>
      </c>
      <c r="F14" s="403">
        <f t="shared" si="0"/>
        <v>0</v>
      </c>
      <c r="G14" s="403">
        <f t="shared" ref="G14:G17" si="20">(D14+F14)*$G$4</f>
        <v>0</v>
      </c>
      <c r="H14" s="403">
        <f t="shared" ref="H14:H17" si="21">(D14+F14+G14)*$H$4</f>
        <v>0</v>
      </c>
      <c r="I14" s="403">
        <f t="shared" si="1"/>
        <v>0</v>
      </c>
      <c r="J14" s="403">
        <f t="shared" ref="J14:J17" si="22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7" si="23">N14*C14</f>
        <v>0</v>
      </c>
    </row>
    <row r="15" spans="1:16">
      <c r="A15" s="415"/>
      <c r="B15" s="409" t="s">
        <v>369</v>
      </c>
      <c r="C15" s="419">
        <v>0</v>
      </c>
      <c r="D15" s="422">
        <v>0</v>
      </c>
      <c r="E15" s="404">
        <f t="shared" si="11"/>
        <v>0</v>
      </c>
      <c r="F15" s="403">
        <f t="shared" si="0"/>
        <v>0</v>
      </c>
      <c r="G15" s="403">
        <f t="shared" si="20"/>
        <v>0</v>
      </c>
      <c r="H15" s="403">
        <f t="shared" si="21"/>
        <v>0</v>
      </c>
      <c r="I15" s="403">
        <f t="shared" si="1"/>
        <v>0</v>
      </c>
      <c r="J15" s="403">
        <f t="shared" si="22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23"/>
        <v>0</v>
      </c>
    </row>
    <row r="16" spans="1:16">
      <c r="A16" s="415"/>
      <c r="B16" s="409" t="s">
        <v>369</v>
      </c>
      <c r="C16" s="419">
        <v>0</v>
      </c>
      <c r="D16" s="422">
        <v>0</v>
      </c>
      <c r="E16" s="404">
        <f t="shared" si="11"/>
        <v>0</v>
      </c>
      <c r="F16" s="403">
        <f t="shared" si="0"/>
        <v>0</v>
      </c>
      <c r="G16" s="403">
        <f t="shared" si="20"/>
        <v>0</v>
      </c>
      <c r="H16" s="403">
        <f t="shared" si="21"/>
        <v>0</v>
      </c>
      <c r="I16" s="403">
        <f t="shared" si="1"/>
        <v>0</v>
      </c>
      <c r="J16" s="403">
        <f t="shared" si="22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23"/>
        <v>0</v>
      </c>
    </row>
    <row r="17" spans="1:18">
      <c r="A17" s="415"/>
      <c r="B17" s="409" t="s">
        <v>369</v>
      </c>
      <c r="C17" s="419">
        <v>0</v>
      </c>
      <c r="D17" s="422">
        <v>0</v>
      </c>
      <c r="E17" s="404">
        <f t="shared" si="11"/>
        <v>0</v>
      </c>
      <c r="F17" s="403">
        <f t="shared" si="0"/>
        <v>0</v>
      </c>
      <c r="G17" s="403">
        <f t="shared" si="20"/>
        <v>0</v>
      </c>
      <c r="H17" s="403">
        <f t="shared" si="21"/>
        <v>0</v>
      </c>
      <c r="I17" s="403">
        <f t="shared" si="1"/>
        <v>0</v>
      </c>
      <c r="J17" s="403">
        <f t="shared" si="22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23"/>
        <v>0</v>
      </c>
    </row>
    <row r="18" spans="1:18">
      <c r="A18" s="415"/>
      <c r="B18" s="409" t="s">
        <v>369</v>
      </c>
      <c r="C18" s="419">
        <v>0</v>
      </c>
      <c r="D18" s="422">
        <v>0</v>
      </c>
      <c r="E18" s="404">
        <f t="shared" si="11"/>
        <v>0</v>
      </c>
      <c r="F18" s="403">
        <f t="shared" ref="F18:F20" si="24">IF(B18="si",D18*$F$4,0)</f>
        <v>0</v>
      </c>
      <c r="G18" s="403">
        <f t="shared" ref="G18:G20" si="25">(D18+F18)*$G$4</f>
        <v>0</v>
      </c>
      <c r="H18" s="403">
        <f t="shared" ref="H18:H20" si="26">(D18+F18+G18)*$H$4</f>
        <v>0</v>
      </c>
      <c r="I18" s="403">
        <f t="shared" ref="I18:I20" si="27">IF(B18="si",(D18+F18+G18+H18)*$I$4,0)</f>
        <v>0</v>
      </c>
      <c r="J18" s="403">
        <f t="shared" ref="J18:J20" si="28">D18+F18+G18+H18+I18</f>
        <v>0</v>
      </c>
      <c r="K18" s="403">
        <f t="shared" ref="K18:K20" si="29">J18*$K$4</f>
        <v>0</v>
      </c>
      <c r="L18" s="405">
        <f t="shared" ref="L18:L20" si="30">(J18+K18)*C18</f>
        <v>0</v>
      </c>
      <c r="M18" s="403">
        <f t="shared" si="4"/>
        <v>0</v>
      </c>
      <c r="N18" s="403">
        <f t="shared" si="5"/>
        <v>0</v>
      </c>
      <c r="O18" s="403">
        <f t="shared" ref="O18:O19" si="31">N18*C18</f>
        <v>0</v>
      </c>
    </row>
    <row r="19" spans="1:18">
      <c r="A19" s="415"/>
      <c r="B19" s="409" t="s">
        <v>369</v>
      </c>
      <c r="C19" s="419">
        <v>0</v>
      </c>
      <c r="D19" s="422">
        <v>0</v>
      </c>
      <c r="E19" s="404">
        <f t="shared" si="11"/>
        <v>0</v>
      </c>
      <c r="F19" s="403">
        <f t="shared" si="24"/>
        <v>0</v>
      </c>
      <c r="G19" s="403">
        <f t="shared" si="25"/>
        <v>0</v>
      </c>
      <c r="H19" s="403">
        <f t="shared" si="26"/>
        <v>0</v>
      </c>
      <c r="I19" s="403">
        <f t="shared" si="27"/>
        <v>0</v>
      </c>
      <c r="J19" s="403">
        <f t="shared" si="28"/>
        <v>0</v>
      </c>
      <c r="K19" s="403">
        <f t="shared" si="29"/>
        <v>0</v>
      </c>
      <c r="L19" s="405">
        <f t="shared" si="30"/>
        <v>0</v>
      </c>
      <c r="M19" s="403">
        <f t="shared" si="4"/>
        <v>0</v>
      </c>
      <c r="N19" s="403">
        <f t="shared" si="5"/>
        <v>0</v>
      </c>
      <c r="O19" s="403">
        <f t="shared" si="31"/>
        <v>0</v>
      </c>
    </row>
    <row r="20" spans="1:18">
      <c r="A20" s="415"/>
      <c r="B20" s="409" t="s">
        <v>369</v>
      </c>
      <c r="C20" s="419">
        <v>0</v>
      </c>
      <c r="D20" s="422">
        <v>0</v>
      </c>
      <c r="E20" s="404">
        <f t="shared" si="11"/>
        <v>0</v>
      </c>
      <c r="F20" s="403">
        <f t="shared" si="24"/>
        <v>0</v>
      </c>
      <c r="G20" s="403">
        <f t="shared" si="25"/>
        <v>0</v>
      </c>
      <c r="H20" s="403">
        <f t="shared" si="26"/>
        <v>0</v>
      </c>
      <c r="I20" s="403">
        <f t="shared" si="27"/>
        <v>0</v>
      </c>
      <c r="J20" s="403">
        <f t="shared" si="28"/>
        <v>0</v>
      </c>
      <c r="K20" s="403">
        <f t="shared" si="29"/>
        <v>0</v>
      </c>
      <c r="L20" s="405">
        <f t="shared" si="30"/>
        <v>0</v>
      </c>
      <c r="M20" s="403">
        <f t="shared" si="4"/>
        <v>0</v>
      </c>
      <c r="N20" s="403">
        <f t="shared" si="5"/>
        <v>0</v>
      </c>
      <c r="O20" s="403">
        <f>N20*C20</f>
        <v>0</v>
      </c>
    </row>
    <row r="21" spans="1:18">
      <c r="A21" s="415"/>
      <c r="B21" s="409" t="s">
        <v>369</v>
      </c>
      <c r="C21" s="419">
        <v>0</v>
      </c>
      <c r="D21" s="422">
        <v>0</v>
      </c>
      <c r="E21" s="404">
        <f t="shared" si="11"/>
        <v>0</v>
      </c>
      <c r="F21" s="403">
        <f t="shared" ref="F21" si="32">IF(B21="si",D21*$F$4,0)</f>
        <v>0</v>
      </c>
      <c r="G21" s="403">
        <f t="shared" ref="G21" si="33">(D21+F21)*$G$4</f>
        <v>0</v>
      </c>
      <c r="H21" s="403">
        <f t="shared" ref="H21" si="34">(D21+F21+G21)*$H$4</f>
        <v>0</v>
      </c>
      <c r="I21" s="403">
        <f t="shared" ref="I21" si="35">IF(B21="si",(D21+F21+G21+H21)*$I$4,0)</f>
        <v>0</v>
      </c>
      <c r="J21" s="403">
        <f t="shared" ref="J21" si="36">D21+F21+G21+H21+I21</f>
        <v>0</v>
      </c>
      <c r="K21" s="403">
        <f t="shared" ref="K21" si="37">J21*$K$4</f>
        <v>0</v>
      </c>
      <c r="L21" s="405">
        <f t="shared" ref="L21" si="38">(J21+K21)*C21</f>
        <v>0</v>
      </c>
      <c r="M21" s="403">
        <f t="shared" si="4"/>
        <v>0</v>
      </c>
      <c r="N21" s="403">
        <f t="shared" si="5"/>
        <v>0</v>
      </c>
      <c r="O21" s="403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6"/>
      <c r="B23" s="409" t="s">
        <v>369</v>
      </c>
      <c r="C23" s="419">
        <v>0</v>
      </c>
      <c r="D23" s="403">
        <v>0</v>
      </c>
      <c r="E23" s="404">
        <f>+C23*D23</f>
        <v>0</v>
      </c>
      <c r="F23" s="403">
        <f t="shared" si="0"/>
        <v>0</v>
      </c>
      <c r="G23" s="403">
        <f t="shared" ref="G23" si="40">(D23+F23)*$G$4</f>
        <v>0</v>
      </c>
      <c r="H23" s="403">
        <f t="shared" ref="H23" si="41">(D23+F23+G23)*$H$4</f>
        <v>0</v>
      </c>
      <c r="I23" s="403">
        <f t="shared" si="1"/>
        <v>0</v>
      </c>
      <c r="J23" s="403">
        <f t="shared" ref="J23" si="42">D23+F23+G23+H23+I23</f>
        <v>0</v>
      </c>
      <c r="K23" s="403">
        <f t="shared" si="2"/>
        <v>0</v>
      </c>
      <c r="L23" s="405">
        <f t="shared" si="3"/>
        <v>0</v>
      </c>
      <c r="M23" s="403">
        <f t="shared" si="4"/>
        <v>0</v>
      </c>
      <c r="N23" s="403">
        <f t="shared" si="5"/>
        <v>0</v>
      </c>
      <c r="O23" s="403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306"/>
    </row>
    <row r="2" spans="1:16">
      <c r="A2" s="1"/>
      <c r="B2" s="1"/>
      <c r="C2" s="1"/>
      <c r="D2" s="1"/>
      <c r="E2" s="2"/>
    </row>
    <row r="3" spans="1:16" ht="13">
      <c r="A3" s="550" t="s">
        <v>113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 t="s">
        <v>385</v>
      </c>
      <c r="B6" s="409" t="s">
        <v>375</v>
      </c>
      <c r="C6" s="423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 t="s">
        <v>386</v>
      </c>
      <c r="B7" s="409" t="s">
        <v>375</v>
      </c>
      <c r="C7" s="423">
        <v>0</v>
      </c>
      <c r="D7" s="408">
        <v>0</v>
      </c>
      <c r="E7" s="411">
        <f>+D7*C7</f>
        <v>0</v>
      </c>
      <c r="F7" s="403">
        <f t="shared" ref="F7:F44" si="0">IF(B7="si",D7*$F$4,0)</f>
        <v>0</v>
      </c>
      <c r="G7" s="413">
        <f>(D7+F7)*$G$4</f>
        <v>0</v>
      </c>
      <c r="H7" s="403">
        <f t="shared" ref="H7:H44" si="1">(D7+F7+G7)*$H$4</f>
        <v>0</v>
      </c>
      <c r="I7" s="403">
        <f t="shared" ref="I7:I44" si="2">IF(B7="si",(D7+F7+G7+H7)*$I$4,0)</f>
        <v>0</v>
      </c>
      <c r="J7" s="413">
        <f>D7+F7+G7+H7+I7</f>
        <v>0</v>
      </c>
      <c r="K7" s="403">
        <f t="shared" ref="K7:K8" si="3">J7*$K$4</f>
        <v>0</v>
      </c>
      <c r="L7" s="405">
        <f t="shared" ref="L7:L8" si="4">(J7+K7)*C7</f>
        <v>0</v>
      </c>
      <c r="M7" s="403">
        <f t="shared" ref="M7:M8" si="5">(J7+K7)*$M$4/(1-$M$4)</f>
        <v>0</v>
      </c>
      <c r="N7" s="403">
        <f t="shared" ref="N7:N44" si="6">M7+J7+K7</f>
        <v>0</v>
      </c>
      <c r="O7" s="413">
        <f>N7*C7</f>
        <v>0</v>
      </c>
    </row>
    <row r="8" spans="1:16">
      <c r="A8" s="412" t="s">
        <v>387</v>
      </c>
      <c r="B8" s="409" t="s">
        <v>375</v>
      </c>
      <c r="C8" s="423">
        <v>0</v>
      </c>
      <c r="D8" s="408">
        <v>0</v>
      </c>
      <c r="E8" s="411">
        <f t="shared" ref="E8:E13" si="7">+D8*C8</f>
        <v>0</v>
      </c>
      <c r="F8" s="403">
        <f t="shared" si="0"/>
        <v>0</v>
      </c>
      <c r="G8" s="413">
        <f t="shared" ref="G8:G13" si="8">(D8+F8)*$G$4</f>
        <v>0</v>
      </c>
      <c r="H8" s="403">
        <f t="shared" si="1"/>
        <v>0</v>
      </c>
      <c r="I8" s="403">
        <f t="shared" si="2"/>
        <v>0</v>
      </c>
      <c r="J8" s="413">
        <f t="shared" ref="J8" si="9">D8+F8+G8+H8+I8</f>
        <v>0</v>
      </c>
      <c r="K8" s="403">
        <f t="shared" si="3"/>
        <v>0</v>
      </c>
      <c r="L8" s="405">
        <f t="shared" si="4"/>
        <v>0</v>
      </c>
      <c r="M8" s="403">
        <f t="shared" si="5"/>
        <v>0</v>
      </c>
      <c r="N8" s="403">
        <f t="shared" si="6"/>
        <v>0</v>
      </c>
      <c r="O8" s="413">
        <f t="shared" ref="O8" si="10">N8*C8</f>
        <v>0</v>
      </c>
    </row>
    <row r="9" spans="1:16">
      <c r="A9" s="412" t="s">
        <v>388</v>
      </c>
      <c r="B9" s="409" t="s">
        <v>375</v>
      </c>
      <c r="C9" s="423">
        <v>0</v>
      </c>
      <c r="D9" s="408">
        <v>0</v>
      </c>
      <c r="E9" s="411">
        <f t="shared" si="7"/>
        <v>0</v>
      </c>
      <c r="F9" s="403">
        <f t="shared" si="0"/>
        <v>0</v>
      </c>
      <c r="G9" s="413"/>
      <c r="H9" s="403">
        <f t="shared" si="1"/>
        <v>0</v>
      </c>
      <c r="I9" s="403">
        <f t="shared" si="2"/>
        <v>0</v>
      </c>
      <c r="J9" s="413">
        <f t="shared" ref="J9:J44" si="11">D9+F9+G9+H9+I9</f>
        <v>0</v>
      </c>
      <c r="K9" s="403">
        <f t="shared" ref="K9:K44" si="12">J9*$K$4</f>
        <v>0</v>
      </c>
      <c r="L9" s="405">
        <f t="shared" ref="L9:L44" si="13">(J9+K9)*C9</f>
        <v>0</v>
      </c>
      <c r="M9" s="403">
        <f t="shared" ref="M9:M44" si="14">(J9+K9)*$M$4/(1-$M$4)</f>
        <v>0</v>
      </c>
      <c r="N9" s="403">
        <f t="shared" si="6"/>
        <v>0</v>
      </c>
      <c r="O9" s="413">
        <f t="shared" ref="O9:O44" si="15">N9*C9</f>
        <v>0</v>
      </c>
    </row>
    <row r="10" spans="1:16">
      <c r="A10" s="412" t="s">
        <v>389</v>
      </c>
      <c r="B10" s="409" t="s">
        <v>375</v>
      </c>
      <c r="C10" s="423">
        <v>0</v>
      </c>
      <c r="D10" s="408">
        <v>0</v>
      </c>
      <c r="E10" s="411">
        <f t="shared" si="7"/>
        <v>0</v>
      </c>
      <c r="F10" s="403">
        <f t="shared" si="0"/>
        <v>0</v>
      </c>
      <c r="G10" s="413">
        <f t="shared" si="8"/>
        <v>0</v>
      </c>
      <c r="H10" s="403">
        <f t="shared" si="1"/>
        <v>0</v>
      </c>
      <c r="I10" s="403">
        <f t="shared" si="2"/>
        <v>0</v>
      </c>
      <c r="J10" s="413">
        <f t="shared" si="11"/>
        <v>0</v>
      </c>
      <c r="K10" s="403">
        <f t="shared" si="12"/>
        <v>0</v>
      </c>
      <c r="L10" s="405">
        <f t="shared" si="13"/>
        <v>0</v>
      </c>
      <c r="M10" s="403">
        <f t="shared" si="14"/>
        <v>0</v>
      </c>
      <c r="N10" s="403">
        <f t="shared" si="6"/>
        <v>0</v>
      </c>
      <c r="O10" s="413">
        <f t="shared" si="15"/>
        <v>0</v>
      </c>
    </row>
    <row r="11" spans="1:16">
      <c r="A11" s="412" t="s">
        <v>390</v>
      </c>
      <c r="B11" s="409" t="s">
        <v>375</v>
      </c>
      <c r="C11" s="423">
        <v>0</v>
      </c>
      <c r="D11" s="408">
        <v>0</v>
      </c>
      <c r="E11" s="411">
        <f t="shared" si="7"/>
        <v>0</v>
      </c>
      <c r="F11" s="403">
        <f t="shared" si="0"/>
        <v>0</v>
      </c>
      <c r="G11" s="413">
        <f t="shared" si="8"/>
        <v>0</v>
      </c>
      <c r="H11" s="403">
        <f t="shared" si="1"/>
        <v>0</v>
      </c>
      <c r="I11" s="403">
        <f t="shared" si="2"/>
        <v>0</v>
      </c>
      <c r="J11" s="413">
        <f t="shared" si="11"/>
        <v>0</v>
      </c>
      <c r="K11" s="403">
        <f t="shared" si="12"/>
        <v>0</v>
      </c>
      <c r="L11" s="405">
        <f t="shared" si="13"/>
        <v>0</v>
      </c>
      <c r="M11" s="403">
        <f t="shared" si="14"/>
        <v>0</v>
      </c>
      <c r="N11" s="403">
        <f t="shared" si="6"/>
        <v>0</v>
      </c>
      <c r="O11" s="413">
        <f t="shared" si="15"/>
        <v>0</v>
      </c>
    </row>
    <row r="12" spans="1:16">
      <c r="A12" s="414" t="s">
        <v>391</v>
      </c>
      <c r="B12" s="409" t="s">
        <v>375</v>
      </c>
      <c r="C12" s="423">
        <v>0</v>
      </c>
      <c r="D12" s="408">
        <v>0</v>
      </c>
      <c r="E12" s="411">
        <f t="shared" si="7"/>
        <v>0</v>
      </c>
      <c r="F12" s="403">
        <f t="shared" si="0"/>
        <v>0</v>
      </c>
      <c r="G12" s="413">
        <f t="shared" si="8"/>
        <v>0</v>
      </c>
      <c r="H12" s="403">
        <f t="shared" si="1"/>
        <v>0</v>
      </c>
      <c r="I12" s="403">
        <f t="shared" si="2"/>
        <v>0</v>
      </c>
      <c r="J12" s="413">
        <f t="shared" si="11"/>
        <v>0</v>
      </c>
      <c r="K12" s="403">
        <f t="shared" si="12"/>
        <v>0</v>
      </c>
      <c r="L12" s="405">
        <f t="shared" si="13"/>
        <v>0</v>
      </c>
      <c r="M12" s="403">
        <f t="shared" si="14"/>
        <v>0</v>
      </c>
      <c r="N12" s="403">
        <f t="shared" si="6"/>
        <v>0</v>
      </c>
      <c r="O12" s="413">
        <f t="shared" si="15"/>
        <v>0</v>
      </c>
    </row>
    <row r="13" spans="1:16">
      <c r="A13" s="414" t="s">
        <v>392</v>
      </c>
      <c r="B13" s="409" t="s">
        <v>375</v>
      </c>
      <c r="C13" s="423">
        <v>0</v>
      </c>
      <c r="D13" s="408">
        <v>0</v>
      </c>
      <c r="E13" s="411">
        <f t="shared" si="7"/>
        <v>0</v>
      </c>
      <c r="F13" s="403">
        <f t="shared" si="0"/>
        <v>0</v>
      </c>
      <c r="G13" s="413">
        <f t="shared" si="8"/>
        <v>0</v>
      </c>
      <c r="H13" s="403">
        <f t="shared" si="1"/>
        <v>0</v>
      </c>
      <c r="I13" s="403">
        <f t="shared" si="2"/>
        <v>0</v>
      </c>
      <c r="J13" s="413">
        <f t="shared" si="11"/>
        <v>0</v>
      </c>
      <c r="K13" s="403">
        <f t="shared" si="12"/>
        <v>0</v>
      </c>
      <c r="L13" s="405">
        <f t="shared" si="13"/>
        <v>0</v>
      </c>
      <c r="M13" s="403">
        <f t="shared" si="14"/>
        <v>0</v>
      </c>
      <c r="N13" s="403">
        <f t="shared" si="6"/>
        <v>0</v>
      </c>
      <c r="O13" s="413">
        <f t="shared" si="15"/>
        <v>0</v>
      </c>
    </row>
    <row r="14" spans="1:16">
      <c r="A14" s="409" t="s">
        <v>393</v>
      </c>
      <c r="B14" s="409" t="s">
        <v>375</v>
      </c>
      <c r="C14" s="423">
        <v>0</v>
      </c>
      <c r="D14" s="408">
        <v>0</v>
      </c>
      <c r="E14" s="411">
        <f>+D14*C14</f>
        <v>0</v>
      </c>
      <c r="F14" s="403">
        <f t="shared" si="0"/>
        <v>0</v>
      </c>
      <c r="G14" s="413">
        <f>(D14+F14)*$G$4</f>
        <v>0</v>
      </c>
      <c r="H14" s="403">
        <f t="shared" si="1"/>
        <v>0</v>
      </c>
      <c r="I14" s="403">
        <f t="shared" si="2"/>
        <v>0</v>
      </c>
      <c r="J14" s="413">
        <f t="shared" si="11"/>
        <v>0</v>
      </c>
      <c r="K14" s="403">
        <f t="shared" si="12"/>
        <v>0</v>
      </c>
      <c r="L14" s="405">
        <f t="shared" si="13"/>
        <v>0</v>
      </c>
      <c r="M14" s="403">
        <f t="shared" si="14"/>
        <v>0</v>
      </c>
      <c r="N14" s="403">
        <f t="shared" si="6"/>
        <v>0</v>
      </c>
      <c r="O14" s="413">
        <f t="shared" si="15"/>
        <v>0</v>
      </c>
    </row>
    <row r="15" spans="1:16">
      <c r="A15" s="412" t="s">
        <v>394</v>
      </c>
      <c r="B15" s="409" t="s">
        <v>375</v>
      </c>
      <c r="C15" s="423">
        <v>0</v>
      </c>
      <c r="D15" s="408">
        <v>0</v>
      </c>
      <c r="E15" s="411">
        <f t="shared" ref="E15:E22" si="16">+D15*C15</f>
        <v>0</v>
      </c>
      <c r="F15" s="403">
        <f t="shared" si="0"/>
        <v>0</v>
      </c>
      <c r="G15" s="413">
        <f t="shared" ref="G15:G22" si="17">(D15+F15)*$G$4</f>
        <v>0</v>
      </c>
      <c r="H15" s="403">
        <f t="shared" si="1"/>
        <v>0</v>
      </c>
      <c r="I15" s="403">
        <f t="shared" si="2"/>
        <v>0</v>
      </c>
      <c r="J15" s="413">
        <f t="shared" si="11"/>
        <v>0</v>
      </c>
      <c r="K15" s="403">
        <f t="shared" si="12"/>
        <v>0</v>
      </c>
      <c r="L15" s="405">
        <f t="shared" si="13"/>
        <v>0</v>
      </c>
      <c r="M15" s="403">
        <f t="shared" si="14"/>
        <v>0</v>
      </c>
      <c r="N15" s="403">
        <f t="shared" si="6"/>
        <v>0</v>
      </c>
      <c r="O15" s="413">
        <f t="shared" si="15"/>
        <v>0</v>
      </c>
    </row>
    <row r="16" spans="1:16">
      <c r="A16" s="412" t="s">
        <v>395</v>
      </c>
      <c r="B16" s="409" t="s">
        <v>375</v>
      </c>
      <c r="C16" s="423">
        <v>0</v>
      </c>
      <c r="D16" s="408">
        <v>0</v>
      </c>
      <c r="E16" s="411">
        <f t="shared" si="16"/>
        <v>0</v>
      </c>
      <c r="F16" s="403">
        <f t="shared" si="0"/>
        <v>0</v>
      </c>
      <c r="G16" s="413">
        <f t="shared" si="17"/>
        <v>0</v>
      </c>
      <c r="H16" s="403">
        <f t="shared" si="1"/>
        <v>0</v>
      </c>
      <c r="I16" s="403">
        <f t="shared" si="2"/>
        <v>0</v>
      </c>
      <c r="J16" s="413">
        <f t="shared" si="11"/>
        <v>0</v>
      </c>
      <c r="K16" s="403">
        <f t="shared" si="12"/>
        <v>0</v>
      </c>
      <c r="L16" s="405">
        <f t="shared" si="13"/>
        <v>0</v>
      </c>
      <c r="M16" s="403">
        <f t="shared" si="14"/>
        <v>0</v>
      </c>
      <c r="N16" s="403">
        <f t="shared" si="6"/>
        <v>0</v>
      </c>
      <c r="O16" s="413">
        <f t="shared" si="15"/>
        <v>0</v>
      </c>
    </row>
    <row r="17" spans="1:16">
      <c r="A17" s="412" t="s">
        <v>396</v>
      </c>
      <c r="B17" s="409" t="s">
        <v>375</v>
      </c>
      <c r="C17" s="423">
        <v>0</v>
      </c>
      <c r="D17" s="408">
        <v>0</v>
      </c>
      <c r="E17" s="411">
        <f t="shared" si="16"/>
        <v>0</v>
      </c>
      <c r="F17" s="403">
        <f t="shared" si="0"/>
        <v>0</v>
      </c>
      <c r="G17" s="413">
        <f t="shared" si="17"/>
        <v>0</v>
      </c>
      <c r="H17" s="403">
        <f t="shared" si="1"/>
        <v>0</v>
      </c>
      <c r="I17" s="403">
        <f t="shared" si="2"/>
        <v>0</v>
      </c>
      <c r="J17" s="413">
        <f t="shared" si="11"/>
        <v>0</v>
      </c>
      <c r="K17" s="403">
        <f t="shared" si="12"/>
        <v>0</v>
      </c>
      <c r="L17" s="405">
        <f t="shared" si="13"/>
        <v>0</v>
      </c>
      <c r="M17" s="403">
        <f t="shared" si="14"/>
        <v>0</v>
      </c>
      <c r="N17" s="403">
        <f t="shared" si="6"/>
        <v>0</v>
      </c>
      <c r="O17" s="413">
        <f t="shared" si="15"/>
        <v>0</v>
      </c>
    </row>
    <row r="18" spans="1:16">
      <c r="A18" s="414" t="s">
        <v>397</v>
      </c>
      <c r="B18" s="409" t="s">
        <v>375</v>
      </c>
      <c r="C18" s="423">
        <v>0</v>
      </c>
      <c r="D18" s="408">
        <v>0</v>
      </c>
      <c r="E18" s="411">
        <f t="shared" si="16"/>
        <v>0</v>
      </c>
      <c r="F18" s="403">
        <f t="shared" si="0"/>
        <v>0</v>
      </c>
      <c r="G18" s="413">
        <f t="shared" si="17"/>
        <v>0</v>
      </c>
      <c r="H18" s="403">
        <f t="shared" si="1"/>
        <v>0</v>
      </c>
      <c r="I18" s="403">
        <f t="shared" si="2"/>
        <v>0</v>
      </c>
      <c r="J18" s="413">
        <f t="shared" si="11"/>
        <v>0</v>
      </c>
      <c r="K18" s="403">
        <f t="shared" si="12"/>
        <v>0</v>
      </c>
      <c r="L18" s="405">
        <f t="shared" si="13"/>
        <v>0</v>
      </c>
      <c r="M18" s="403">
        <f t="shared" si="14"/>
        <v>0</v>
      </c>
      <c r="N18" s="403">
        <f t="shared" si="6"/>
        <v>0</v>
      </c>
      <c r="O18" s="413">
        <f t="shared" si="15"/>
        <v>0</v>
      </c>
    </row>
    <row r="19" spans="1:16">
      <c r="A19" s="414" t="s">
        <v>398</v>
      </c>
      <c r="B19" s="409" t="s">
        <v>375</v>
      </c>
      <c r="C19" s="423">
        <v>0</v>
      </c>
      <c r="D19" s="408">
        <v>0</v>
      </c>
      <c r="E19" s="411">
        <f t="shared" si="16"/>
        <v>0</v>
      </c>
      <c r="F19" s="403">
        <f t="shared" si="0"/>
        <v>0</v>
      </c>
      <c r="G19" s="413">
        <f t="shared" si="17"/>
        <v>0</v>
      </c>
      <c r="H19" s="403">
        <f t="shared" si="1"/>
        <v>0</v>
      </c>
      <c r="I19" s="403">
        <f t="shared" si="2"/>
        <v>0</v>
      </c>
      <c r="J19" s="413">
        <f t="shared" si="11"/>
        <v>0</v>
      </c>
      <c r="K19" s="403">
        <f t="shared" si="12"/>
        <v>0</v>
      </c>
      <c r="L19" s="405">
        <f t="shared" si="13"/>
        <v>0</v>
      </c>
      <c r="M19" s="403">
        <f t="shared" si="14"/>
        <v>0</v>
      </c>
      <c r="N19" s="403">
        <f t="shared" si="6"/>
        <v>0</v>
      </c>
      <c r="O19" s="413">
        <f t="shared" si="15"/>
        <v>0</v>
      </c>
    </row>
    <row r="20" spans="1:16">
      <c r="A20" s="412" t="s">
        <v>399</v>
      </c>
      <c r="B20" s="409" t="s">
        <v>375</v>
      </c>
      <c r="C20" s="423">
        <v>0</v>
      </c>
      <c r="D20" s="408">
        <v>0</v>
      </c>
      <c r="E20" s="411">
        <f t="shared" si="16"/>
        <v>0</v>
      </c>
      <c r="F20" s="403">
        <f t="shared" si="0"/>
        <v>0</v>
      </c>
      <c r="G20" s="413">
        <f t="shared" si="17"/>
        <v>0</v>
      </c>
      <c r="H20" s="403">
        <f t="shared" si="1"/>
        <v>0</v>
      </c>
      <c r="I20" s="403">
        <f t="shared" si="2"/>
        <v>0</v>
      </c>
      <c r="J20" s="413">
        <f t="shared" si="11"/>
        <v>0</v>
      </c>
      <c r="K20" s="403">
        <f t="shared" si="12"/>
        <v>0</v>
      </c>
      <c r="L20" s="405">
        <f t="shared" si="13"/>
        <v>0</v>
      </c>
      <c r="M20" s="403">
        <f t="shared" si="14"/>
        <v>0</v>
      </c>
      <c r="N20" s="403">
        <f t="shared" si="6"/>
        <v>0</v>
      </c>
      <c r="O20" s="413">
        <f t="shared" si="15"/>
        <v>0</v>
      </c>
    </row>
    <row r="21" spans="1:16">
      <c r="A21" s="414" t="s">
        <v>400</v>
      </c>
      <c r="B21" s="409" t="s">
        <v>375</v>
      </c>
      <c r="C21" s="423">
        <v>0</v>
      </c>
      <c r="D21" s="408">
        <v>0</v>
      </c>
      <c r="E21" s="411">
        <f t="shared" si="16"/>
        <v>0</v>
      </c>
      <c r="F21" s="403">
        <f t="shared" si="0"/>
        <v>0</v>
      </c>
      <c r="G21" s="413">
        <f t="shared" si="17"/>
        <v>0</v>
      </c>
      <c r="H21" s="403">
        <f t="shared" si="1"/>
        <v>0</v>
      </c>
      <c r="I21" s="403">
        <f t="shared" si="2"/>
        <v>0</v>
      </c>
      <c r="J21" s="413">
        <f t="shared" si="11"/>
        <v>0</v>
      </c>
      <c r="K21" s="403">
        <f t="shared" si="12"/>
        <v>0</v>
      </c>
      <c r="L21" s="405">
        <f t="shared" si="13"/>
        <v>0</v>
      </c>
      <c r="M21" s="403">
        <f t="shared" si="14"/>
        <v>0</v>
      </c>
      <c r="N21" s="403">
        <f t="shared" si="6"/>
        <v>0</v>
      </c>
      <c r="O21" s="413">
        <f t="shared" si="15"/>
        <v>0</v>
      </c>
    </row>
    <row r="22" spans="1:16">
      <c r="A22" s="414" t="s">
        <v>401</v>
      </c>
      <c r="B22" s="409" t="s">
        <v>375</v>
      </c>
      <c r="C22" s="423">
        <v>0</v>
      </c>
      <c r="D22" s="408">
        <v>0</v>
      </c>
      <c r="E22" s="411">
        <f t="shared" si="16"/>
        <v>0</v>
      </c>
      <c r="F22" s="403">
        <f t="shared" si="0"/>
        <v>0</v>
      </c>
      <c r="G22" s="413">
        <f t="shared" si="17"/>
        <v>0</v>
      </c>
      <c r="H22" s="403">
        <f t="shared" si="1"/>
        <v>0</v>
      </c>
      <c r="I22" s="403">
        <f t="shared" si="2"/>
        <v>0</v>
      </c>
      <c r="J22" s="413">
        <f t="shared" si="11"/>
        <v>0</v>
      </c>
      <c r="K22" s="403">
        <f t="shared" si="12"/>
        <v>0</v>
      </c>
      <c r="L22" s="405">
        <f t="shared" si="13"/>
        <v>0</v>
      </c>
      <c r="M22" s="403">
        <f t="shared" si="14"/>
        <v>0</v>
      </c>
      <c r="N22" s="403">
        <f t="shared" si="6"/>
        <v>0</v>
      </c>
      <c r="O22" s="413">
        <f t="shared" si="15"/>
        <v>0</v>
      </c>
    </row>
    <row r="23" spans="1:16">
      <c r="A23" s="409" t="s">
        <v>402</v>
      </c>
      <c r="B23" s="409" t="s">
        <v>375</v>
      </c>
      <c r="C23" s="423">
        <v>0</v>
      </c>
      <c r="D23" s="408">
        <v>0</v>
      </c>
      <c r="E23" s="411">
        <f>+D23*C23</f>
        <v>0</v>
      </c>
      <c r="F23" s="403">
        <f t="shared" si="0"/>
        <v>0</v>
      </c>
      <c r="G23" s="413">
        <f>(D23+F23)*$G$4</f>
        <v>0</v>
      </c>
      <c r="H23" s="403">
        <f t="shared" si="1"/>
        <v>0</v>
      </c>
      <c r="I23" s="403">
        <f t="shared" si="2"/>
        <v>0</v>
      </c>
      <c r="J23" s="413">
        <f t="shared" si="11"/>
        <v>0</v>
      </c>
      <c r="K23" s="403">
        <f t="shared" si="12"/>
        <v>0</v>
      </c>
      <c r="L23" s="405">
        <f t="shared" si="13"/>
        <v>0</v>
      </c>
      <c r="M23" s="403">
        <f t="shared" si="14"/>
        <v>0</v>
      </c>
      <c r="N23" s="403">
        <f t="shared" si="6"/>
        <v>0</v>
      </c>
      <c r="O23" s="413">
        <f t="shared" si="15"/>
        <v>0</v>
      </c>
    </row>
    <row r="24" spans="1:16">
      <c r="A24" s="414" t="s">
        <v>403</v>
      </c>
      <c r="B24" s="409" t="s">
        <v>375</v>
      </c>
      <c r="C24" s="423">
        <v>0</v>
      </c>
      <c r="D24" s="408">
        <v>0</v>
      </c>
      <c r="E24" s="411">
        <f t="shared" ref="E24:E28" si="18">+D24*C24</f>
        <v>0</v>
      </c>
      <c r="F24" s="403">
        <f t="shared" si="0"/>
        <v>0</v>
      </c>
      <c r="G24" s="413">
        <f t="shared" ref="G24:G28" si="19">(D24+F24)*$G$4</f>
        <v>0</v>
      </c>
      <c r="H24" s="403">
        <f t="shared" si="1"/>
        <v>0</v>
      </c>
      <c r="I24" s="403">
        <f t="shared" si="2"/>
        <v>0</v>
      </c>
      <c r="J24" s="413">
        <f t="shared" si="11"/>
        <v>0</v>
      </c>
      <c r="K24" s="403">
        <f t="shared" si="12"/>
        <v>0</v>
      </c>
      <c r="L24" s="405">
        <f t="shared" si="13"/>
        <v>0</v>
      </c>
      <c r="M24" s="403">
        <f t="shared" si="14"/>
        <v>0</v>
      </c>
      <c r="N24" s="403">
        <f t="shared" si="6"/>
        <v>0</v>
      </c>
      <c r="O24" s="413">
        <f t="shared" si="15"/>
        <v>0</v>
      </c>
    </row>
    <row r="25" spans="1:16">
      <c r="A25" s="414" t="s">
        <v>404</v>
      </c>
      <c r="B25" s="409" t="s">
        <v>375</v>
      </c>
      <c r="C25" s="423">
        <v>0</v>
      </c>
      <c r="D25" s="408">
        <v>0</v>
      </c>
      <c r="E25" s="411">
        <f t="shared" si="18"/>
        <v>0</v>
      </c>
      <c r="F25" s="403">
        <f t="shared" si="0"/>
        <v>0</v>
      </c>
      <c r="G25" s="413">
        <f t="shared" si="19"/>
        <v>0</v>
      </c>
      <c r="H25" s="403">
        <f t="shared" si="1"/>
        <v>0</v>
      </c>
      <c r="I25" s="403">
        <f t="shared" si="2"/>
        <v>0</v>
      </c>
      <c r="J25" s="413">
        <f t="shared" si="11"/>
        <v>0</v>
      </c>
      <c r="K25" s="403">
        <f t="shared" si="12"/>
        <v>0</v>
      </c>
      <c r="L25" s="405">
        <f t="shared" si="13"/>
        <v>0</v>
      </c>
      <c r="M25" s="403">
        <f t="shared" si="14"/>
        <v>0</v>
      </c>
      <c r="N25" s="403">
        <f t="shared" si="6"/>
        <v>0</v>
      </c>
      <c r="O25" s="413">
        <f t="shared" si="15"/>
        <v>0</v>
      </c>
    </row>
    <row r="26" spans="1:16">
      <c r="A26" s="414" t="s">
        <v>405</v>
      </c>
      <c r="B26" s="409" t="s">
        <v>375</v>
      </c>
      <c r="C26" s="423">
        <v>0</v>
      </c>
      <c r="D26" s="408">
        <v>0</v>
      </c>
      <c r="E26" s="411">
        <f t="shared" si="18"/>
        <v>0</v>
      </c>
      <c r="F26" s="403">
        <f t="shared" si="0"/>
        <v>0</v>
      </c>
      <c r="G26" s="413">
        <f t="shared" si="19"/>
        <v>0</v>
      </c>
      <c r="H26" s="403">
        <f t="shared" si="1"/>
        <v>0</v>
      </c>
      <c r="I26" s="403">
        <f t="shared" si="2"/>
        <v>0</v>
      </c>
      <c r="J26" s="413">
        <f t="shared" si="11"/>
        <v>0</v>
      </c>
      <c r="K26" s="403">
        <f t="shared" si="12"/>
        <v>0</v>
      </c>
      <c r="L26" s="405">
        <f t="shared" si="13"/>
        <v>0</v>
      </c>
      <c r="M26" s="403">
        <f t="shared" si="14"/>
        <v>0</v>
      </c>
      <c r="N26" s="403">
        <f t="shared" si="6"/>
        <v>0</v>
      </c>
      <c r="O26" s="413">
        <f t="shared" si="15"/>
        <v>0</v>
      </c>
    </row>
    <row r="27" spans="1:16">
      <c r="A27" s="414" t="s">
        <v>406</v>
      </c>
      <c r="B27" s="409" t="s">
        <v>375</v>
      </c>
      <c r="C27" s="423">
        <v>0</v>
      </c>
      <c r="D27" s="408">
        <v>0</v>
      </c>
      <c r="E27" s="411">
        <f t="shared" si="18"/>
        <v>0</v>
      </c>
      <c r="F27" s="403">
        <f t="shared" si="0"/>
        <v>0</v>
      </c>
      <c r="G27" s="413">
        <f t="shared" si="19"/>
        <v>0</v>
      </c>
      <c r="H27" s="403">
        <f t="shared" si="1"/>
        <v>0</v>
      </c>
      <c r="I27" s="403">
        <f t="shared" si="2"/>
        <v>0</v>
      </c>
      <c r="J27" s="413">
        <f t="shared" si="11"/>
        <v>0</v>
      </c>
      <c r="K27" s="403">
        <f t="shared" si="12"/>
        <v>0</v>
      </c>
      <c r="L27" s="405">
        <f t="shared" si="13"/>
        <v>0</v>
      </c>
      <c r="M27" s="403">
        <f t="shared" si="14"/>
        <v>0</v>
      </c>
      <c r="N27" s="403">
        <f t="shared" si="6"/>
        <v>0</v>
      </c>
      <c r="O27" s="413">
        <f t="shared" si="15"/>
        <v>0</v>
      </c>
    </row>
    <row r="28" spans="1:16">
      <c r="A28" s="414" t="s">
        <v>407</v>
      </c>
      <c r="B28" s="409" t="s">
        <v>375</v>
      </c>
      <c r="C28" s="423">
        <v>0</v>
      </c>
      <c r="D28" s="408">
        <v>0</v>
      </c>
      <c r="E28" s="411">
        <f t="shared" si="18"/>
        <v>0</v>
      </c>
      <c r="F28" s="403">
        <f t="shared" si="0"/>
        <v>0</v>
      </c>
      <c r="G28" s="413">
        <f t="shared" si="19"/>
        <v>0</v>
      </c>
      <c r="H28" s="403">
        <f t="shared" si="1"/>
        <v>0</v>
      </c>
      <c r="I28" s="403">
        <f t="shared" si="2"/>
        <v>0</v>
      </c>
      <c r="J28" s="413">
        <f t="shared" si="11"/>
        <v>0</v>
      </c>
      <c r="K28" s="403">
        <f t="shared" si="12"/>
        <v>0</v>
      </c>
      <c r="L28" s="405">
        <f t="shared" si="13"/>
        <v>0</v>
      </c>
      <c r="M28" s="403">
        <f t="shared" si="14"/>
        <v>0</v>
      </c>
      <c r="N28" s="403">
        <f t="shared" si="6"/>
        <v>0</v>
      </c>
      <c r="O28" s="413">
        <f t="shared" si="15"/>
        <v>0</v>
      </c>
    </row>
    <row r="29" spans="1:16">
      <c r="A29" s="414" t="s">
        <v>408</v>
      </c>
      <c r="B29" s="409" t="s">
        <v>375</v>
      </c>
      <c r="C29" s="423">
        <v>0</v>
      </c>
      <c r="D29" s="408">
        <v>0</v>
      </c>
      <c r="E29" s="411">
        <f>+D29*C29</f>
        <v>0</v>
      </c>
      <c r="F29" s="403">
        <f t="shared" si="0"/>
        <v>0</v>
      </c>
      <c r="G29" s="403">
        <v>0</v>
      </c>
      <c r="H29" s="403">
        <f t="shared" si="1"/>
        <v>0</v>
      </c>
      <c r="I29" s="403">
        <f t="shared" si="2"/>
        <v>0</v>
      </c>
      <c r="J29" s="413">
        <f t="shared" si="11"/>
        <v>0</v>
      </c>
      <c r="K29" s="403">
        <f t="shared" si="12"/>
        <v>0</v>
      </c>
      <c r="L29" s="405">
        <f t="shared" si="13"/>
        <v>0</v>
      </c>
      <c r="M29" s="403">
        <f t="shared" si="14"/>
        <v>0</v>
      </c>
      <c r="N29" s="403">
        <f t="shared" si="6"/>
        <v>0</v>
      </c>
      <c r="O29" s="413">
        <f t="shared" si="15"/>
        <v>0</v>
      </c>
      <c r="P29" s="10"/>
    </row>
    <row r="30" spans="1:16">
      <c r="A30" s="414" t="s">
        <v>409</v>
      </c>
      <c r="B30" s="409" t="s">
        <v>375</v>
      </c>
      <c r="C30" s="423">
        <v>0</v>
      </c>
      <c r="D30" s="408">
        <v>0</v>
      </c>
      <c r="E30" s="411">
        <f>+D30*C30</f>
        <v>0</v>
      </c>
      <c r="F30" s="403">
        <f t="shared" si="0"/>
        <v>0</v>
      </c>
      <c r="G30" s="413">
        <f>(D30+F30)*$G$4</f>
        <v>0</v>
      </c>
      <c r="H30" s="403">
        <f t="shared" si="1"/>
        <v>0</v>
      </c>
      <c r="I30" s="403">
        <f t="shared" si="2"/>
        <v>0</v>
      </c>
      <c r="J30" s="413">
        <f t="shared" si="11"/>
        <v>0</v>
      </c>
      <c r="K30" s="403">
        <f t="shared" si="12"/>
        <v>0</v>
      </c>
      <c r="L30" s="405">
        <f t="shared" si="13"/>
        <v>0</v>
      </c>
      <c r="M30" s="403">
        <f t="shared" si="14"/>
        <v>0</v>
      </c>
      <c r="N30" s="403">
        <f t="shared" si="6"/>
        <v>0</v>
      </c>
      <c r="O30" s="413">
        <f t="shared" si="15"/>
        <v>0</v>
      </c>
    </row>
    <row r="31" spans="1:16">
      <c r="A31" s="414" t="s">
        <v>410</v>
      </c>
      <c r="B31" s="409" t="s">
        <v>375</v>
      </c>
      <c r="C31" s="423">
        <v>0</v>
      </c>
      <c r="D31" s="408">
        <v>0</v>
      </c>
      <c r="E31" s="411">
        <f t="shared" ref="E31:E33" si="20">+D31*C31</f>
        <v>0</v>
      </c>
      <c r="F31" s="403">
        <f t="shared" si="0"/>
        <v>0</v>
      </c>
      <c r="G31" s="413">
        <f t="shared" ref="G31:G33" si="21">(D31+F31)*$G$4</f>
        <v>0</v>
      </c>
      <c r="H31" s="403">
        <f t="shared" si="1"/>
        <v>0</v>
      </c>
      <c r="I31" s="403">
        <f t="shared" si="2"/>
        <v>0</v>
      </c>
      <c r="J31" s="413">
        <f t="shared" si="11"/>
        <v>0</v>
      </c>
      <c r="K31" s="403">
        <f t="shared" si="12"/>
        <v>0</v>
      </c>
      <c r="L31" s="405">
        <f t="shared" si="13"/>
        <v>0</v>
      </c>
      <c r="M31" s="403">
        <f t="shared" si="14"/>
        <v>0</v>
      </c>
      <c r="N31" s="403">
        <f t="shared" si="6"/>
        <v>0</v>
      </c>
      <c r="O31" s="413">
        <f t="shared" si="15"/>
        <v>0</v>
      </c>
    </row>
    <row r="32" spans="1:16">
      <c r="A32" s="414" t="s">
        <v>411</v>
      </c>
      <c r="B32" s="409" t="s">
        <v>375</v>
      </c>
      <c r="C32" s="423">
        <v>0</v>
      </c>
      <c r="D32" s="408">
        <v>0</v>
      </c>
      <c r="E32" s="411">
        <f t="shared" si="20"/>
        <v>0</v>
      </c>
      <c r="F32" s="403">
        <f t="shared" si="0"/>
        <v>0</v>
      </c>
      <c r="G32" s="413">
        <f t="shared" si="21"/>
        <v>0</v>
      </c>
      <c r="H32" s="403">
        <f t="shared" si="1"/>
        <v>0</v>
      </c>
      <c r="I32" s="403">
        <f t="shared" si="2"/>
        <v>0</v>
      </c>
      <c r="J32" s="413">
        <f t="shared" si="11"/>
        <v>0</v>
      </c>
      <c r="K32" s="403">
        <f t="shared" si="12"/>
        <v>0</v>
      </c>
      <c r="L32" s="405">
        <f t="shared" si="13"/>
        <v>0</v>
      </c>
      <c r="M32" s="403">
        <f t="shared" si="14"/>
        <v>0</v>
      </c>
      <c r="N32" s="403">
        <f t="shared" si="6"/>
        <v>0</v>
      </c>
      <c r="O32" s="413">
        <f t="shared" si="15"/>
        <v>0</v>
      </c>
    </row>
    <row r="33" spans="1:18">
      <c r="A33" s="414"/>
      <c r="B33" s="409" t="s">
        <v>375</v>
      </c>
      <c r="C33" s="423">
        <v>0</v>
      </c>
      <c r="D33" s="408">
        <v>0</v>
      </c>
      <c r="E33" s="411">
        <f t="shared" si="20"/>
        <v>0</v>
      </c>
      <c r="F33" s="403">
        <f t="shared" si="0"/>
        <v>0</v>
      </c>
      <c r="G33" s="413">
        <f t="shared" si="21"/>
        <v>0</v>
      </c>
      <c r="H33" s="403">
        <f t="shared" si="1"/>
        <v>0</v>
      </c>
      <c r="I33" s="403">
        <f t="shared" si="2"/>
        <v>0</v>
      </c>
      <c r="J33" s="413">
        <f t="shared" si="11"/>
        <v>0</v>
      </c>
      <c r="K33" s="403">
        <f t="shared" si="12"/>
        <v>0</v>
      </c>
      <c r="L33" s="405">
        <f t="shared" si="13"/>
        <v>0</v>
      </c>
      <c r="M33" s="403">
        <f t="shared" si="14"/>
        <v>0</v>
      </c>
      <c r="N33" s="403">
        <f t="shared" si="6"/>
        <v>0</v>
      </c>
      <c r="O33" s="413">
        <f t="shared" si="15"/>
        <v>0</v>
      </c>
    </row>
    <row r="34" spans="1:18">
      <c r="A34" s="412"/>
      <c r="B34" s="409" t="s">
        <v>375</v>
      </c>
      <c r="C34" s="423">
        <v>0</v>
      </c>
      <c r="D34" s="408">
        <v>0</v>
      </c>
      <c r="E34" s="411">
        <f t="shared" ref="E34:E35" si="22">+D34*C34</f>
        <v>0</v>
      </c>
      <c r="F34" s="403">
        <f t="shared" si="0"/>
        <v>0</v>
      </c>
      <c r="G34" s="413">
        <f t="shared" ref="G34:G36" si="23">(D34+F34)*$G$4</f>
        <v>0</v>
      </c>
      <c r="H34" s="403">
        <f t="shared" si="1"/>
        <v>0</v>
      </c>
      <c r="I34" s="403">
        <f t="shared" si="2"/>
        <v>0</v>
      </c>
      <c r="J34" s="413">
        <f t="shared" si="11"/>
        <v>0</v>
      </c>
      <c r="K34" s="403">
        <f t="shared" si="12"/>
        <v>0</v>
      </c>
      <c r="L34" s="405">
        <f t="shared" si="13"/>
        <v>0</v>
      </c>
      <c r="M34" s="403">
        <f t="shared" si="14"/>
        <v>0</v>
      </c>
      <c r="N34" s="403">
        <f t="shared" si="6"/>
        <v>0</v>
      </c>
      <c r="O34" s="413">
        <f t="shared" si="15"/>
        <v>0</v>
      </c>
    </row>
    <row r="35" spans="1:18">
      <c r="A35" s="414"/>
      <c r="B35" s="409" t="s">
        <v>375</v>
      </c>
      <c r="C35" s="423">
        <v>0</v>
      </c>
      <c r="D35" s="408">
        <v>0</v>
      </c>
      <c r="E35" s="411">
        <f t="shared" si="22"/>
        <v>0</v>
      </c>
      <c r="F35" s="403">
        <f t="shared" si="0"/>
        <v>0</v>
      </c>
      <c r="G35" s="413">
        <f t="shared" si="23"/>
        <v>0</v>
      </c>
      <c r="H35" s="403">
        <f t="shared" si="1"/>
        <v>0</v>
      </c>
      <c r="I35" s="403">
        <f t="shared" si="2"/>
        <v>0</v>
      </c>
      <c r="J35" s="413">
        <f t="shared" si="11"/>
        <v>0</v>
      </c>
      <c r="K35" s="403">
        <f t="shared" si="12"/>
        <v>0</v>
      </c>
      <c r="L35" s="405">
        <f t="shared" si="13"/>
        <v>0</v>
      </c>
      <c r="M35" s="403">
        <f t="shared" si="14"/>
        <v>0</v>
      </c>
      <c r="N35" s="403">
        <f t="shared" si="6"/>
        <v>0</v>
      </c>
      <c r="O35" s="413">
        <f t="shared" si="15"/>
        <v>0</v>
      </c>
    </row>
    <row r="36" spans="1:18">
      <c r="A36" s="414"/>
      <c r="B36" s="409" t="s">
        <v>375</v>
      </c>
      <c r="C36" s="423">
        <v>0</v>
      </c>
      <c r="D36" s="408">
        <v>0</v>
      </c>
      <c r="E36" s="411"/>
      <c r="F36" s="403">
        <f t="shared" si="0"/>
        <v>0</v>
      </c>
      <c r="G36" s="413">
        <f t="shared" si="23"/>
        <v>0</v>
      </c>
      <c r="H36" s="403">
        <f t="shared" si="1"/>
        <v>0</v>
      </c>
      <c r="I36" s="403">
        <f t="shared" si="2"/>
        <v>0</v>
      </c>
      <c r="J36" s="413">
        <f t="shared" si="11"/>
        <v>0</v>
      </c>
      <c r="K36" s="403">
        <f t="shared" si="12"/>
        <v>0</v>
      </c>
      <c r="L36" s="405">
        <f t="shared" si="13"/>
        <v>0</v>
      </c>
      <c r="M36" s="403">
        <f t="shared" si="14"/>
        <v>0</v>
      </c>
      <c r="N36" s="403">
        <f t="shared" si="6"/>
        <v>0</v>
      </c>
      <c r="O36" s="413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9"/>
      <c r="B38" s="409" t="s">
        <v>375</v>
      </c>
      <c r="C38" s="423">
        <v>0</v>
      </c>
      <c r="D38" s="408">
        <v>0</v>
      </c>
      <c r="E38" s="404">
        <f>+C38*D38*(1-C47)</f>
        <v>0</v>
      </c>
      <c r="F38" s="403">
        <f t="shared" si="0"/>
        <v>0</v>
      </c>
      <c r="G38" s="403">
        <f t="shared" ref="G38:G42" si="24">(D38+F38)*$G$4</f>
        <v>0</v>
      </c>
      <c r="H38" s="403">
        <f t="shared" si="1"/>
        <v>0</v>
      </c>
      <c r="I38" s="403">
        <f t="shared" si="2"/>
        <v>0</v>
      </c>
      <c r="J38" s="413">
        <f t="shared" si="11"/>
        <v>0</v>
      </c>
      <c r="K38" s="403">
        <f t="shared" si="12"/>
        <v>0</v>
      </c>
      <c r="L38" s="405">
        <f t="shared" si="13"/>
        <v>0</v>
      </c>
      <c r="M38" s="403">
        <f t="shared" si="14"/>
        <v>0</v>
      </c>
      <c r="N38" s="403">
        <f t="shared" si="6"/>
        <v>0</v>
      </c>
      <c r="O38" s="413">
        <f t="shared" si="15"/>
        <v>0</v>
      </c>
    </row>
    <row r="39" spans="1:18">
      <c r="A39" s="415"/>
      <c r="B39" s="409" t="s">
        <v>375</v>
      </c>
      <c r="C39" s="423">
        <v>0</v>
      </c>
      <c r="D39" s="408">
        <v>0</v>
      </c>
      <c r="E39" s="404">
        <f>+C39*D39</f>
        <v>0</v>
      </c>
      <c r="F39" s="403">
        <f t="shared" si="0"/>
        <v>0</v>
      </c>
      <c r="G39" s="403">
        <f t="shared" si="24"/>
        <v>0</v>
      </c>
      <c r="H39" s="403">
        <f t="shared" si="1"/>
        <v>0</v>
      </c>
      <c r="I39" s="403">
        <f t="shared" si="2"/>
        <v>0</v>
      </c>
      <c r="J39" s="413">
        <f t="shared" si="11"/>
        <v>0</v>
      </c>
      <c r="K39" s="403">
        <f t="shared" si="12"/>
        <v>0</v>
      </c>
      <c r="L39" s="405">
        <f t="shared" si="13"/>
        <v>0</v>
      </c>
      <c r="M39" s="403">
        <f t="shared" si="14"/>
        <v>0</v>
      </c>
      <c r="N39" s="403">
        <f t="shared" si="6"/>
        <v>0</v>
      </c>
      <c r="O39" s="413">
        <f t="shared" si="15"/>
        <v>0</v>
      </c>
    </row>
    <row r="40" spans="1:18">
      <c r="A40" s="415"/>
      <c r="B40" s="409" t="s">
        <v>375</v>
      </c>
      <c r="C40" s="423">
        <v>0</v>
      </c>
      <c r="D40" s="408">
        <v>0</v>
      </c>
      <c r="E40" s="404">
        <f>+C40*D40</f>
        <v>0</v>
      </c>
      <c r="F40" s="403">
        <f t="shared" si="0"/>
        <v>0</v>
      </c>
      <c r="G40" s="403">
        <f t="shared" si="24"/>
        <v>0</v>
      </c>
      <c r="H40" s="403">
        <f t="shared" si="1"/>
        <v>0</v>
      </c>
      <c r="I40" s="403">
        <f t="shared" si="2"/>
        <v>0</v>
      </c>
      <c r="J40" s="413">
        <f t="shared" si="11"/>
        <v>0</v>
      </c>
      <c r="K40" s="403">
        <f t="shared" si="12"/>
        <v>0</v>
      </c>
      <c r="L40" s="405">
        <f t="shared" si="13"/>
        <v>0</v>
      </c>
      <c r="M40" s="403">
        <f t="shared" si="14"/>
        <v>0</v>
      </c>
      <c r="N40" s="403">
        <f t="shared" si="6"/>
        <v>0</v>
      </c>
      <c r="O40" s="413">
        <f t="shared" si="15"/>
        <v>0</v>
      </c>
    </row>
    <row r="41" spans="1:18">
      <c r="A41" s="416"/>
      <c r="B41" s="409" t="s">
        <v>375</v>
      </c>
      <c r="C41" s="423">
        <v>0</v>
      </c>
      <c r="D41" s="408">
        <v>0</v>
      </c>
      <c r="E41" s="404">
        <f>+C41*D41</f>
        <v>0</v>
      </c>
      <c r="F41" s="403">
        <f t="shared" si="0"/>
        <v>0</v>
      </c>
      <c r="G41" s="403">
        <f t="shared" si="24"/>
        <v>0</v>
      </c>
      <c r="H41" s="403">
        <f t="shared" si="1"/>
        <v>0</v>
      </c>
      <c r="I41" s="403">
        <f t="shared" si="2"/>
        <v>0</v>
      </c>
      <c r="J41" s="413">
        <f t="shared" si="11"/>
        <v>0</v>
      </c>
      <c r="K41" s="403">
        <f t="shared" si="12"/>
        <v>0</v>
      </c>
      <c r="L41" s="405">
        <f t="shared" si="13"/>
        <v>0</v>
      </c>
      <c r="M41" s="403">
        <f t="shared" si="14"/>
        <v>0</v>
      </c>
      <c r="N41" s="403">
        <f t="shared" si="6"/>
        <v>0</v>
      </c>
      <c r="O41" s="413">
        <f t="shared" si="15"/>
        <v>0</v>
      </c>
    </row>
    <row r="42" spans="1:18">
      <c r="A42" s="416"/>
      <c r="B42" s="409" t="s">
        <v>375</v>
      </c>
      <c r="C42" s="423">
        <v>0</v>
      </c>
      <c r="D42" s="408">
        <v>0</v>
      </c>
      <c r="E42" s="404">
        <f>+C42*D42</f>
        <v>0</v>
      </c>
      <c r="F42" s="403">
        <f t="shared" si="0"/>
        <v>0</v>
      </c>
      <c r="G42" s="403">
        <f t="shared" si="24"/>
        <v>0</v>
      </c>
      <c r="H42" s="403">
        <f t="shared" si="1"/>
        <v>0</v>
      </c>
      <c r="I42" s="403">
        <f t="shared" si="2"/>
        <v>0</v>
      </c>
      <c r="J42" s="413">
        <f t="shared" si="11"/>
        <v>0</v>
      </c>
      <c r="K42" s="403">
        <f t="shared" si="12"/>
        <v>0</v>
      </c>
      <c r="L42" s="405">
        <f t="shared" si="13"/>
        <v>0</v>
      </c>
      <c r="M42" s="403">
        <f t="shared" si="14"/>
        <v>0</v>
      </c>
      <c r="N42" s="403">
        <f t="shared" si="6"/>
        <v>0</v>
      </c>
      <c r="O42" s="413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6"/>
      <c r="B44" s="409" t="s">
        <v>375</v>
      </c>
      <c r="C44" s="423">
        <v>0</v>
      </c>
      <c r="D44" s="408">
        <v>0</v>
      </c>
      <c r="E44" s="404">
        <f>+C44*D44</f>
        <v>0</v>
      </c>
      <c r="F44" s="403">
        <f t="shared" si="0"/>
        <v>0</v>
      </c>
      <c r="G44" s="403">
        <f t="shared" ref="G44" si="25">(D44+F44)*$G$4</f>
        <v>0</v>
      </c>
      <c r="H44" s="403">
        <f t="shared" si="1"/>
        <v>0</v>
      </c>
      <c r="I44" s="403">
        <f t="shared" si="2"/>
        <v>0</v>
      </c>
      <c r="J44" s="413">
        <f t="shared" si="11"/>
        <v>0</v>
      </c>
      <c r="K44" s="403">
        <f t="shared" si="12"/>
        <v>0</v>
      </c>
      <c r="L44" s="405">
        <f t="shared" si="13"/>
        <v>0</v>
      </c>
      <c r="M44" s="403">
        <f t="shared" si="14"/>
        <v>0</v>
      </c>
      <c r="N44" s="403">
        <f t="shared" si="6"/>
        <v>0</v>
      </c>
      <c r="O44" s="413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442" t="s">
        <v>532</v>
      </c>
    </row>
    <row r="3" spans="1:23" ht="13">
      <c r="A3" s="442">
        <v>1</v>
      </c>
      <c r="B3" s="551" t="s">
        <v>533</v>
      </c>
      <c r="C3" s="551"/>
      <c r="D3" s="551"/>
      <c r="E3" s="551"/>
      <c r="G3" s="442">
        <v>1</v>
      </c>
      <c r="H3" s="551" t="s">
        <v>533</v>
      </c>
      <c r="I3" s="551"/>
      <c r="J3" s="551"/>
      <c r="K3" s="551"/>
      <c r="M3" s="442">
        <v>1</v>
      </c>
      <c r="N3" s="551" t="s">
        <v>533</v>
      </c>
      <c r="O3" s="551"/>
      <c r="P3" s="551"/>
      <c r="Q3" s="551"/>
      <c r="S3" s="442">
        <v>1</v>
      </c>
      <c r="T3" s="551" t="s">
        <v>533</v>
      </c>
      <c r="U3" s="551"/>
      <c r="V3" s="551"/>
      <c r="W3" s="551"/>
    </row>
    <row r="4" spans="1:23">
      <c r="B4" t="s">
        <v>534</v>
      </c>
      <c r="C4">
        <f>SUMIF(Equipos!$Q$6:$Q$55,A3,Equipos!$O$6:$O$55)</f>
        <v>0</v>
      </c>
      <c r="D4" t="s">
        <v>535</v>
      </c>
      <c r="E4" s="444">
        <v>0.11</v>
      </c>
      <c r="H4" t="s">
        <v>534</v>
      </c>
      <c r="I4">
        <f>SUMIF('Productos 2'!$P$6:$P$15,G3,'Productos 2'!$N$6:$N$15)</f>
        <v>0</v>
      </c>
      <c r="J4" t="s">
        <v>535</v>
      </c>
      <c r="K4" s="444">
        <v>0.11</v>
      </c>
      <c r="N4" t="s">
        <v>534</v>
      </c>
      <c r="O4">
        <f>SUMIF(MATERIALES!$P$6:$P$44,M3,MATERIALES!$N$6:$N$44)</f>
        <v>0</v>
      </c>
      <c r="P4" t="s">
        <v>535</v>
      </c>
      <c r="Q4" s="444">
        <v>0.11</v>
      </c>
      <c r="T4" t="s">
        <v>534</v>
      </c>
      <c r="U4">
        <f>SUMIF('OPEX GV'!$P$6:$P$15,S3,'OPEX GV'!$N$6:$N$15)</f>
        <v>0</v>
      </c>
      <c r="V4" t="s">
        <v>535</v>
      </c>
      <c r="W4" s="444">
        <v>0.11</v>
      </c>
    </row>
    <row r="5" spans="1:23">
      <c r="B5" t="s">
        <v>536</v>
      </c>
      <c r="C5">
        <v>0</v>
      </c>
      <c r="D5" t="s">
        <v>537</v>
      </c>
      <c r="E5" s="445">
        <v>0</v>
      </c>
      <c r="H5" t="s">
        <v>536</v>
      </c>
      <c r="I5">
        <v>0</v>
      </c>
      <c r="J5" t="s">
        <v>537</v>
      </c>
      <c r="K5" s="445">
        <v>0</v>
      </c>
      <c r="N5" t="s">
        <v>536</v>
      </c>
      <c r="O5">
        <v>0</v>
      </c>
      <c r="P5" t="s">
        <v>537</v>
      </c>
      <c r="Q5" s="445">
        <v>0</v>
      </c>
      <c r="T5" t="s">
        <v>536</v>
      </c>
      <c r="U5">
        <v>0</v>
      </c>
      <c r="V5" t="s">
        <v>537</v>
      </c>
      <c r="W5" s="445">
        <v>0</v>
      </c>
    </row>
    <row r="6" spans="1:23">
      <c r="B6" t="s">
        <v>538</v>
      </c>
      <c r="C6">
        <v>0</v>
      </c>
      <c r="H6" t="s">
        <v>538</v>
      </c>
      <c r="I6">
        <v>0</v>
      </c>
      <c r="N6" t="s">
        <v>538</v>
      </c>
      <c r="O6">
        <v>0</v>
      </c>
      <c r="T6" t="s">
        <v>538</v>
      </c>
      <c r="U6">
        <v>0</v>
      </c>
    </row>
    <row r="8" spans="1:23">
      <c r="B8" t="s">
        <v>539</v>
      </c>
      <c r="C8">
        <f>C4-C5-C6</f>
        <v>0</v>
      </c>
      <c r="H8" t="s">
        <v>539</v>
      </c>
      <c r="I8">
        <f>I4-I5-I6</f>
        <v>0</v>
      </c>
      <c r="N8" t="s">
        <v>539</v>
      </c>
      <c r="O8">
        <f>O4-O5-O6</f>
        <v>0</v>
      </c>
      <c r="T8" t="s">
        <v>539</v>
      </c>
      <c r="U8">
        <f>U4-U5-U6</f>
        <v>0</v>
      </c>
    </row>
    <row r="9" spans="1:23">
      <c r="B9" t="s">
        <v>540</v>
      </c>
      <c r="C9">
        <v>4</v>
      </c>
      <c r="H9" t="s">
        <v>540</v>
      </c>
      <c r="I9">
        <v>4</v>
      </c>
      <c r="N9" t="s">
        <v>540</v>
      </c>
      <c r="O9">
        <v>4</v>
      </c>
      <c r="T9" t="s">
        <v>540</v>
      </c>
      <c r="U9">
        <v>4</v>
      </c>
    </row>
    <row r="10" spans="1:23">
      <c r="B10" t="s">
        <v>541</v>
      </c>
      <c r="C10">
        <f>C9*12</f>
        <v>48</v>
      </c>
      <c r="H10" t="s">
        <v>541</v>
      </c>
      <c r="I10">
        <f>I9*12</f>
        <v>48</v>
      </c>
      <c r="N10" t="s">
        <v>541</v>
      </c>
      <c r="O10">
        <f>O9*12</f>
        <v>48</v>
      </c>
      <c r="T10" t="s">
        <v>541</v>
      </c>
      <c r="U10">
        <f>U9*12</f>
        <v>48</v>
      </c>
    </row>
    <row r="12" spans="1:23">
      <c r="B12" t="s">
        <v>542</v>
      </c>
      <c r="C12" s="446">
        <f>-PMT(E4/12,C10,C8)</f>
        <v>0</v>
      </c>
      <c r="D12" t="s">
        <v>543</v>
      </c>
      <c r="E12">
        <f>C12*12</f>
        <v>0</v>
      </c>
      <c r="H12" t="s">
        <v>542</v>
      </c>
      <c r="I12" s="446">
        <f>-PMT(K4/12,I10,I8)</f>
        <v>0</v>
      </c>
      <c r="J12" t="s">
        <v>543</v>
      </c>
      <c r="K12">
        <f>I12*12</f>
        <v>0</v>
      </c>
      <c r="N12" t="s">
        <v>542</v>
      </c>
      <c r="O12" s="446">
        <f>-PMT(Q4/12,O10,O8)</f>
        <v>0</v>
      </c>
      <c r="P12" t="s">
        <v>543</v>
      </c>
      <c r="Q12">
        <f>O12*12</f>
        <v>0</v>
      </c>
      <c r="T12" t="s">
        <v>542</v>
      </c>
      <c r="U12" s="446">
        <f>-PMT(W4/12,U10,U8)</f>
        <v>0</v>
      </c>
      <c r="V12" t="s">
        <v>543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544</v>
      </c>
      <c r="C16">
        <f>C12*C10</f>
        <v>0</v>
      </c>
      <c r="H16" t="s">
        <v>544</v>
      </c>
      <c r="I16">
        <f>I12*I10</f>
        <v>0</v>
      </c>
      <c r="N16" t="s">
        <v>544</v>
      </c>
      <c r="O16">
        <f>O12*O10</f>
        <v>0</v>
      </c>
      <c r="T16" t="s">
        <v>544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442">
        <v>2</v>
      </c>
      <c r="B20" s="551" t="s">
        <v>533</v>
      </c>
      <c r="C20" s="551"/>
      <c r="D20" s="551"/>
      <c r="E20" s="551"/>
      <c r="G20" s="442">
        <v>2</v>
      </c>
      <c r="H20" s="551" t="s">
        <v>533</v>
      </c>
      <c r="I20" s="551"/>
      <c r="J20" s="551"/>
      <c r="K20" s="551"/>
      <c r="M20" s="442">
        <v>2</v>
      </c>
      <c r="N20" s="551" t="s">
        <v>533</v>
      </c>
      <c r="O20" s="551"/>
      <c r="P20" s="551"/>
      <c r="Q20" s="551"/>
      <c r="S20" s="442">
        <v>2</v>
      </c>
      <c r="T20" s="551" t="s">
        <v>533</v>
      </c>
      <c r="U20" s="551"/>
      <c r="V20" s="551"/>
      <c r="W20" s="551"/>
    </row>
    <row r="21" spans="1:23">
      <c r="B21" t="s">
        <v>534</v>
      </c>
      <c r="C21">
        <f>SUMIF(Equipos!$Q$6:$Q$55,A20,Equipos!$O$6:$O$55)</f>
        <v>0</v>
      </c>
      <c r="D21" t="s">
        <v>535</v>
      </c>
      <c r="E21" s="444">
        <v>0.11</v>
      </c>
      <c r="H21" t="s">
        <v>534</v>
      </c>
      <c r="I21">
        <f>SUMIF('Productos 2'!$P$6:$P$15,G20,'Productos 2'!$N$6:$N$15)</f>
        <v>0</v>
      </c>
      <c r="J21" t="s">
        <v>535</v>
      </c>
      <c r="K21" s="444">
        <v>0.11</v>
      </c>
      <c r="N21" t="s">
        <v>534</v>
      </c>
      <c r="O21">
        <f>SUMIF(MATERIALES!$P$6:$P$44,M20,MATERIALES!$N$6:$N$44)</f>
        <v>0</v>
      </c>
      <c r="P21" t="s">
        <v>535</v>
      </c>
      <c r="Q21" s="444">
        <v>0.11</v>
      </c>
      <c r="T21" t="s">
        <v>534</v>
      </c>
      <c r="U21">
        <f>SUMIF('OPEX GV'!$P$6:$P$15,S20,'OPEX GV'!$N$6:$N$15)</f>
        <v>0</v>
      </c>
      <c r="V21" t="s">
        <v>535</v>
      </c>
      <c r="W21" s="444">
        <v>0.11</v>
      </c>
    </row>
    <row r="22" spans="1:23">
      <c r="B22" t="s">
        <v>536</v>
      </c>
      <c r="C22">
        <v>0</v>
      </c>
      <c r="D22" t="s">
        <v>537</v>
      </c>
      <c r="E22" s="445">
        <v>0</v>
      </c>
      <c r="H22" t="s">
        <v>536</v>
      </c>
      <c r="I22">
        <v>0</v>
      </c>
      <c r="J22" t="s">
        <v>537</v>
      </c>
      <c r="K22" s="445">
        <v>0</v>
      </c>
      <c r="N22" t="s">
        <v>536</v>
      </c>
      <c r="O22">
        <v>0</v>
      </c>
      <c r="P22" t="s">
        <v>537</v>
      </c>
      <c r="Q22" s="445">
        <v>0</v>
      </c>
      <c r="T22" t="s">
        <v>536</v>
      </c>
      <c r="U22">
        <v>0</v>
      </c>
      <c r="V22" t="s">
        <v>537</v>
      </c>
      <c r="W22" s="445">
        <v>0</v>
      </c>
    </row>
    <row r="23" spans="1:23">
      <c r="B23" t="s">
        <v>538</v>
      </c>
      <c r="C23">
        <v>0</v>
      </c>
      <c r="H23" t="s">
        <v>538</v>
      </c>
      <c r="I23">
        <v>0</v>
      </c>
      <c r="N23" t="s">
        <v>538</v>
      </c>
      <c r="O23">
        <v>0</v>
      </c>
      <c r="T23" t="s">
        <v>538</v>
      </c>
      <c r="U23">
        <v>0</v>
      </c>
    </row>
    <row r="25" spans="1:23">
      <c r="B25" t="s">
        <v>539</v>
      </c>
      <c r="C25">
        <f>C21-C22-C23</f>
        <v>0</v>
      </c>
      <c r="H25" t="s">
        <v>539</v>
      </c>
      <c r="I25">
        <f>I21-I22-I23</f>
        <v>0</v>
      </c>
      <c r="N25" t="s">
        <v>539</v>
      </c>
      <c r="O25">
        <f>O21-O22-O23</f>
        <v>0</v>
      </c>
      <c r="T25" t="s">
        <v>539</v>
      </c>
      <c r="U25">
        <f>U21-U22-U23</f>
        <v>0</v>
      </c>
    </row>
    <row r="26" spans="1:23">
      <c r="B26" t="s">
        <v>540</v>
      </c>
      <c r="C26">
        <v>4</v>
      </c>
      <c r="H26" t="s">
        <v>540</v>
      </c>
      <c r="I26">
        <v>4</v>
      </c>
      <c r="N26" t="s">
        <v>540</v>
      </c>
      <c r="O26">
        <v>4</v>
      </c>
      <c r="T26" t="s">
        <v>540</v>
      </c>
      <c r="U26">
        <v>4</v>
      </c>
    </row>
    <row r="27" spans="1:23">
      <c r="B27" t="s">
        <v>541</v>
      </c>
      <c r="C27">
        <f>C26*12</f>
        <v>48</v>
      </c>
      <c r="H27" t="s">
        <v>541</v>
      </c>
      <c r="I27">
        <f>I26*12</f>
        <v>48</v>
      </c>
      <c r="N27" t="s">
        <v>541</v>
      </c>
      <c r="O27">
        <f>O26*12</f>
        <v>48</v>
      </c>
      <c r="T27" t="s">
        <v>541</v>
      </c>
      <c r="U27">
        <f>U26*12</f>
        <v>48</v>
      </c>
    </row>
    <row r="29" spans="1:23">
      <c r="B29" t="s">
        <v>542</v>
      </c>
      <c r="C29" s="446">
        <f>-PMT(E21/12,C27,C25)</f>
        <v>0</v>
      </c>
      <c r="D29" t="s">
        <v>543</v>
      </c>
      <c r="E29">
        <f>C29*12</f>
        <v>0</v>
      </c>
      <c r="H29" t="s">
        <v>542</v>
      </c>
      <c r="I29" s="446">
        <f>-PMT(K21/12,I27,I25)</f>
        <v>0</v>
      </c>
      <c r="J29" t="s">
        <v>543</v>
      </c>
      <c r="K29">
        <f>I29*12</f>
        <v>0</v>
      </c>
      <c r="N29" t="s">
        <v>542</v>
      </c>
      <c r="O29" s="446">
        <f>-PMT(Q21/12,O27,O25)</f>
        <v>0</v>
      </c>
      <c r="P29" t="s">
        <v>543</v>
      </c>
      <c r="Q29">
        <f>O29*12</f>
        <v>0</v>
      </c>
      <c r="T29" t="s">
        <v>542</v>
      </c>
      <c r="U29" s="446">
        <f>-PMT(W21/12,U27,U25)</f>
        <v>0</v>
      </c>
      <c r="V29" t="s">
        <v>543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544</v>
      </c>
      <c r="C33">
        <f>C29*C27</f>
        <v>0</v>
      </c>
      <c r="H33" t="s">
        <v>544</v>
      </c>
      <c r="I33">
        <f>I29*I27</f>
        <v>0</v>
      </c>
      <c r="N33" t="s">
        <v>544</v>
      </c>
      <c r="O33">
        <f>O29*O27</f>
        <v>0</v>
      </c>
      <c r="T33" t="s">
        <v>544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442">
        <v>3</v>
      </c>
      <c r="B37" s="551" t="s">
        <v>533</v>
      </c>
      <c r="C37" s="551"/>
      <c r="D37" s="551"/>
      <c r="E37" s="551"/>
      <c r="G37" s="442">
        <v>3</v>
      </c>
      <c r="H37" s="551" t="s">
        <v>533</v>
      </c>
      <c r="I37" s="551"/>
      <c r="J37" s="551"/>
      <c r="K37" s="551"/>
      <c r="M37" s="442">
        <v>3</v>
      </c>
      <c r="N37" s="551" t="s">
        <v>533</v>
      </c>
      <c r="O37" s="551"/>
      <c r="P37" s="551"/>
      <c r="Q37" s="551"/>
      <c r="S37" s="442">
        <v>3</v>
      </c>
      <c r="T37" s="551" t="s">
        <v>533</v>
      </c>
      <c r="U37" s="551"/>
      <c r="V37" s="551"/>
      <c r="W37" s="551"/>
    </row>
    <row r="38" spans="1:23">
      <c r="B38" t="s">
        <v>534</v>
      </c>
      <c r="C38">
        <f>SUMIF(Equipos!$Q$6:$Q$55,A37,Equipos!$O$6:$O$55)</f>
        <v>0</v>
      </c>
      <c r="D38" t="s">
        <v>535</v>
      </c>
      <c r="E38" s="444">
        <v>0.11</v>
      </c>
      <c r="H38" t="s">
        <v>534</v>
      </c>
      <c r="I38">
        <f>SUMIF('Productos 2'!$P$6:$P$15,G37,'Productos 2'!$N$6:$N$15)</f>
        <v>0</v>
      </c>
      <c r="J38" t="s">
        <v>535</v>
      </c>
      <c r="K38" s="444">
        <v>0.11</v>
      </c>
      <c r="N38" t="s">
        <v>534</v>
      </c>
      <c r="O38">
        <f>SUMIF(MATERIALES!$P$6:$P$44,M37,MATERIALES!$N$6:$N$44)</f>
        <v>0</v>
      </c>
      <c r="P38" t="s">
        <v>535</v>
      </c>
      <c r="Q38" s="444">
        <v>0.11</v>
      </c>
      <c r="T38" t="s">
        <v>534</v>
      </c>
      <c r="U38">
        <f>SUMIF('OPEX GV'!$P$6:$P$15,S37,'OPEX GV'!$N$6:$N$15)</f>
        <v>0</v>
      </c>
      <c r="V38" t="s">
        <v>535</v>
      </c>
      <c r="W38" s="444">
        <v>0.11</v>
      </c>
    </row>
    <row r="39" spans="1:23">
      <c r="B39" t="s">
        <v>536</v>
      </c>
      <c r="C39">
        <v>0</v>
      </c>
      <c r="D39" t="s">
        <v>537</v>
      </c>
      <c r="E39" s="445">
        <v>0</v>
      </c>
      <c r="H39" t="s">
        <v>536</v>
      </c>
      <c r="I39">
        <v>0</v>
      </c>
      <c r="J39" t="s">
        <v>537</v>
      </c>
      <c r="K39" s="445">
        <v>0</v>
      </c>
      <c r="N39" t="s">
        <v>536</v>
      </c>
      <c r="O39">
        <v>0</v>
      </c>
      <c r="P39" t="s">
        <v>537</v>
      </c>
      <c r="Q39" s="445">
        <v>0</v>
      </c>
      <c r="T39" t="s">
        <v>536</v>
      </c>
      <c r="U39">
        <v>0</v>
      </c>
      <c r="V39" t="s">
        <v>537</v>
      </c>
      <c r="W39" s="445">
        <v>0</v>
      </c>
    </row>
    <row r="40" spans="1:23">
      <c r="B40" t="s">
        <v>538</v>
      </c>
      <c r="C40">
        <v>0</v>
      </c>
      <c r="H40" t="s">
        <v>538</v>
      </c>
      <c r="I40">
        <v>0</v>
      </c>
      <c r="N40" t="s">
        <v>538</v>
      </c>
      <c r="O40">
        <v>0</v>
      </c>
      <c r="T40" t="s">
        <v>538</v>
      </c>
      <c r="U40">
        <v>0</v>
      </c>
    </row>
    <row r="42" spans="1:23">
      <c r="B42" t="s">
        <v>539</v>
      </c>
      <c r="C42">
        <f>C38-C39-C40</f>
        <v>0</v>
      </c>
      <c r="H42" t="s">
        <v>539</v>
      </c>
      <c r="I42">
        <f>I38-I39-I40</f>
        <v>0</v>
      </c>
      <c r="N42" t="s">
        <v>539</v>
      </c>
      <c r="O42">
        <f>O38-O39-O40</f>
        <v>0</v>
      </c>
      <c r="T42" t="s">
        <v>539</v>
      </c>
      <c r="U42">
        <f>U38-U39-U40</f>
        <v>0</v>
      </c>
    </row>
    <row r="43" spans="1:23">
      <c r="B43" t="s">
        <v>540</v>
      </c>
      <c r="C43">
        <v>4</v>
      </c>
      <c r="H43" t="s">
        <v>540</v>
      </c>
      <c r="I43">
        <v>4</v>
      </c>
      <c r="N43" t="s">
        <v>540</v>
      </c>
      <c r="O43">
        <v>4</v>
      </c>
      <c r="T43" t="s">
        <v>540</v>
      </c>
      <c r="U43">
        <v>4</v>
      </c>
    </row>
    <row r="44" spans="1:23">
      <c r="B44" t="s">
        <v>541</v>
      </c>
      <c r="C44">
        <f>C43*12</f>
        <v>48</v>
      </c>
      <c r="H44" t="s">
        <v>541</v>
      </c>
      <c r="I44">
        <f>I43*12</f>
        <v>48</v>
      </c>
      <c r="N44" t="s">
        <v>541</v>
      </c>
      <c r="O44">
        <f>O43*12</f>
        <v>48</v>
      </c>
      <c r="T44" t="s">
        <v>541</v>
      </c>
      <c r="U44">
        <f>U43*12</f>
        <v>48</v>
      </c>
    </row>
    <row r="46" spans="1:23">
      <c r="B46" t="s">
        <v>542</v>
      </c>
      <c r="C46" s="446">
        <f>-PMT(E38/12,C44,C42)</f>
        <v>0</v>
      </c>
      <c r="D46" t="s">
        <v>543</v>
      </c>
      <c r="E46">
        <f>C46*12</f>
        <v>0</v>
      </c>
      <c r="H46" t="s">
        <v>542</v>
      </c>
      <c r="I46" s="446">
        <f>-PMT(K38/12,I44,I42)</f>
        <v>0</v>
      </c>
      <c r="J46" t="s">
        <v>543</v>
      </c>
      <c r="K46">
        <f>I46*12</f>
        <v>0</v>
      </c>
      <c r="N46" t="s">
        <v>542</v>
      </c>
      <c r="O46" s="446">
        <f>-PMT(Q38/12,O44,O42)</f>
        <v>0</v>
      </c>
      <c r="P46" t="s">
        <v>543</v>
      </c>
      <c r="Q46">
        <f>O46*12</f>
        <v>0</v>
      </c>
      <c r="T46" t="s">
        <v>542</v>
      </c>
      <c r="U46" s="446">
        <f>-PMT(W38/12,U44,U42)</f>
        <v>0</v>
      </c>
      <c r="V46" t="s">
        <v>543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544</v>
      </c>
      <c r="C50">
        <f>C46*C44</f>
        <v>0</v>
      </c>
      <c r="H50" t="s">
        <v>544</v>
      </c>
      <c r="I50">
        <f>I46*I44</f>
        <v>0</v>
      </c>
      <c r="N50" t="s">
        <v>544</v>
      </c>
      <c r="O50">
        <f>O46*O44</f>
        <v>0</v>
      </c>
      <c r="T50" t="s">
        <v>544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442">
        <v>4</v>
      </c>
      <c r="B54" s="551" t="s">
        <v>533</v>
      </c>
      <c r="C54" s="551"/>
      <c r="D54" s="551"/>
      <c r="E54" s="551"/>
      <c r="G54" s="442">
        <v>4</v>
      </c>
      <c r="H54" s="551" t="s">
        <v>533</v>
      </c>
      <c r="I54" s="551"/>
      <c r="J54" s="551"/>
      <c r="K54" s="551"/>
      <c r="M54" s="442">
        <v>4</v>
      </c>
      <c r="N54" s="551" t="s">
        <v>533</v>
      </c>
      <c r="O54" s="551"/>
      <c r="P54" s="551"/>
      <c r="Q54" s="551"/>
      <c r="S54" s="442">
        <v>4</v>
      </c>
      <c r="T54" s="551" t="s">
        <v>533</v>
      </c>
      <c r="U54" s="551"/>
      <c r="V54" s="551"/>
      <c r="W54" s="551"/>
    </row>
    <row r="55" spans="1:23">
      <c r="B55" t="s">
        <v>534</v>
      </c>
      <c r="C55">
        <f>SUMIF(Equipos!$Q$6:$Q$55,A54,Equipos!$O$6:$O$55)</f>
        <v>0</v>
      </c>
      <c r="D55" t="s">
        <v>535</v>
      </c>
      <c r="E55" s="444">
        <v>0.11</v>
      </c>
      <c r="H55" t="s">
        <v>534</v>
      </c>
      <c r="I55">
        <f>SUMIF('Productos 2'!$P$6:$P$15,G54,'Productos 2'!$N$6:$N$15)</f>
        <v>0</v>
      </c>
      <c r="J55" t="s">
        <v>535</v>
      </c>
      <c r="K55" s="444">
        <v>0.11</v>
      </c>
      <c r="N55" t="s">
        <v>534</v>
      </c>
      <c r="O55">
        <f>SUMIF(MATERIALES!$P$6:$P$44,M54,MATERIALES!$N$6:$N$44)</f>
        <v>0</v>
      </c>
      <c r="P55" t="s">
        <v>535</v>
      </c>
      <c r="Q55" s="444">
        <v>0.11</v>
      </c>
      <c r="T55" t="s">
        <v>534</v>
      </c>
      <c r="U55">
        <f>SUMIF('OPEX GV'!$P$6:$P$15,S54,'OPEX GV'!$N$6:$N$15)</f>
        <v>0</v>
      </c>
      <c r="V55" t="s">
        <v>535</v>
      </c>
      <c r="W55" s="444">
        <v>0.11</v>
      </c>
    </row>
    <row r="56" spans="1:23">
      <c r="B56" t="s">
        <v>536</v>
      </c>
      <c r="C56">
        <v>0</v>
      </c>
      <c r="D56" t="s">
        <v>537</v>
      </c>
      <c r="E56" s="445">
        <v>0</v>
      </c>
      <c r="H56" t="s">
        <v>536</v>
      </c>
      <c r="I56">
        <v>0</v>
      </c>
      <c r="J56" t="s">
        <v>537</v>
      </c>
      <c r="K56" s="445">
        <v>0</v>
      </c>
      <c r="N56" t="s">
        <v>536</v>
      </c>
      <c r="O56">
        <v>0</v>
      </c>
      <c r="P56" t="s">
        <v>537</v>
      </c>
      <c r="Q56" s="445">
        <v>0</v>
      </c>
      <c r="T56" t="s">
        <v>536</v>
      </c>
      <c r="U56">
        <v>0</v>
      </c>
      <c r="V56" t="s">
        <v>537</v>
      </c>
      <c r="W56" s="445">
        <v>0</v>
      </c>
    </row>
    <row r="57" spans="1:23">
      <c r="B57" t="s">
        <v>538</v>
      </c>
      <c r="C57">
        <v>0</v>
      </c>
      <c r="H57" t="s">
        <v>538</v>
      </c>
      <c r="I57">
        <v>0</v>
      </c>
      <c r="N57" t="s">
        <v>538</v>
      </c>
      <c r="O57">
        <v>0</v>
      </c>
      <c r="T57" t="s">
        <v>538</v>
      </c>
      <c r="U57">
        <v>0</v>
      </c>
    </row>
    <row r="59" spans="1:23">
      <c r="B59" t="s">
        <v>539</v>
      </c>
      <c r="C59">
        <f>C55-C56-C57</f>
        <v>0</v>
      </c>
      <c r="H59" t="s">
        <v>539</v>
      </c>
      <c r="I59">
        <f>I55-I56-I57</f>
        <v>0</v>
      </c>
      <c r="N59" t="s">
        <v>539</v>
      </c>
      <c r="O59">
        <f>O55-O56-O57</f>
        <v>0</v>
      </c>
      <c r="T59" t="s">
        <v>539</v>
      </c>
      <c r="U59">
        <f>U55-U56-U57</f>
        <v>0</v>
      </c>
    </row>
    <row r="60" spans="1:23">
      <c r="B60" t="s">
        <v>540</v>
      </c>
      <c r="C60">
        <v>4</v>
      </c>
      <c r="H60" t="s">
        <v>540</v>
      </c>
      <c r="I60">
        <v>4</v>
      </c>
      <c r="N60" t="s">
        <v>540</v>
      </c>
      <c r="O60">
        <v>4</v>
      </c>
      <c r="T60" t="s">
        <v>540</v>
      </c>
      <c r="U60">
        <v>4</v>
      </c>
    </row>
    <row r="61" spans="1:23">
      <c r="B61" t="s">
        <v>541</v>
      </c>
      <c r="C61">
        <f>C60*12</f>
        <v>48</v>
      </c>
      <c r="H61" t="s">
        <v>541</v>
      </c>
      <c r="I61">
        <f>I60*12</f>
        <v>48</v>
      </c>
      <c r="N61" t="s">
        <v>541</v>
      </c>
      <c r="O61">
        <f>O60*12</f>
        <v>48</v>
      </c>
      <c r="T61" t="s">
        <v>541</v>
      </c>
      <c r="U61">
        <f>U60*12</f>
        <v>48</v>
      </c>
    </row>
    <row r="63" spans="1:23">
      <c r="B63" t="s">
        <v>542</v>
      </c>
      <c r="C63" s="446">
        <f>-PMT(E55/12,C61,C59)</f>
        <v>0</v>
      </c>
      <c r="D63" t="s">
        <v>543</v>
      </c>
      <c r="E63">
        <f>C63*12</f>
        <v>0</v>
      </c>
      <c r="H63" t="s">
        <v>542</v>
      </c>
      <c r="I63" s="446">
        <f>-PMT(K55/12,I61,I59)</f>
        <v>0</v>
      </c>
      <c r="J63" t="s">
        <v>543</v>
      </c>
      <c r="K63">
        <f>I63*12</f>
        <v>0</v>
      </c>
      <c r="N63" t="s">
        <v>542</v>
      </c>
      <c r="O63" s="446">
        <f>-PMT(Q55/12,O61,O59)</f>
        <v>0</v>
      </c>
      <c r="P63" t="s">
        <v>543</v>
      </c>
      <c r="Q63">
        <f>O63*12</f>
        <v>0</v>
      </c>
      <c r="T63" t="s">
        <v>542</v>
      </c>
      <c r="U63" s="446">
        <f>-PMT(W55/12,U61,U59)</f>
        <v>0</v>
      </c>
      <c r="V63" t="s">
        <v>543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544</v>
      </c>
      <c r="C67">
        <f>C63*C61</f>
        <v>0</v>
      </c>
      <c r="H67" t="s">
        <v>544</v>
      </c>
      <c r="I67">
        <f>I63*I61</f>
        <v>0</v>
      </c>
      <c r="N67" t="s">
        <v>544</v>
      </c>
      <c r="O67">
        <f>O63*O61</f>
        <v>0</v>
      </c>
      <c r="T67" t="s">
        <v>544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442">
        <v>5</v>
      </c>
      <c r="B71" s="551" t="s">
        <v>533</v>
      </c>
      <c r="C71" s="551"/>
      <c r="D71" s="551"/>
      <c r="E71" s="551"/>
      <c r="G71" s="442">
        <v>5</v>
      </c>
      <c r="H71" s="551" t="s">
        <v>533</v>
      </c>
      <c r="I71" s="551"/>
      <c r="J71" s="551"/>
      <c r="K71" s="551"/>
      <c r="M71" s="442">
        <v>5</v>
      </c>
      <c r="N71" s="551" t="s">
        <v>533</v>
      </c>
      <c r="O71" s="551"/>
      <c r="P71" s="551"/>
      <c r="Q71" s="551"/>
      <c r="S71" s="442">
        <v>5</v>
      </c>
      <c r="T71" s="551" t="s">
        <v>533</v>
      </c>
      <c r="U71" s="551"/>
      <c r="V71" s="551"/>
      <c r="W71" s="551"/>
    </row>
    <row r="72" spans="1:23">
      <c r="B72" t="s">
        <v>534</v>
      </c>
      <c r="C72">
        <f>SUMIF(Equipos!$Q$6:$Q$55,A71,Equipos!$O$6:$O$55)</f>
        <v>0</v>
      </c>
      <c r="D72" t="s">
        <v>535</v>
      </c>
      <c r="E72" s="444">
        <v>0.11</v>
      </c>
      <c r="H72" t="s">
        <v>534</v>
      </c>
      <c r="I72">
        <f>SUMIF('Productos 2'!$P$6:$P$15,G71,'Productos 2'!$N$6:$N$15)</f>
        <v>0</v>
      </c>
      <c r="J72" t="s">
        <v>535</v>
      </c>
      <c r="K72" s="444">
        <v>0.11</v>
      </c>
      <c r="N72" t="s">
        <v>534</v>
      </c>
      <c r="O72">
        <f>SUMIF(MATERIALES!$P$6:$P$44,M71,MATERIALES!$N$6:$N$44)</f>
        <v>0</v>
      </c>
      <c r="P72" t="s">
        <v>535</v>
      </c>
      <c r="Q72" s="444">
        <v>0.11</v>
      </c>
      <c r="T72" t="s">
        <v>534</v>
      </c>
      <c r="U72">
        <f>SUMIF('OPEX GV'!$P$6:$P$15,S71,'OPEX GV'!$N$6:$N$15)</f>
        <v>0</v>
      </c>
      <c r="V72" t="s">
        <v>535</v>
      </c>
      <c r="W72" s="444">
        <v>0.11</v>
      </c>
    </row>
    <row r="73" spans="1:23">
      <c r="B73" t="s">
        <v>536</v>
      </c>
      <c r="C73">
        <v>0</v>
      </c>
      <c r="D73" t="s">
        <v>537</v>
      </c>
      <c r="E73" s="445">
        <v>0</v>
      </c>
      <c r="H73" t="s">
        <v>536</v>
      </c>
      <c r="I73">
        <v>0</v>
      </c>
      <c r="J73" t="s">
        <v>537</v>
      </c>
      <c r="K73" s="445">
        <v>0</v>
      </c>
      <c r="N73" t="s">
        <v>536</v>
      </c>
      <c r="O73">
        <v>0</v>
      </c>
      <c r="P73" t="s">
        <v>537</v>
      </c>
      <c r="Q73" s="445">
        <v>0</v>
      </c>
      <c r="T73" t="s">
        <v>536</v>
      </c>
      <c r="U73">
        <v>0</v>
      </c>
      <c r="V73" t="s">
        <v>537</v>
      </c>
      <c r="W73" s="445">
        <v>0</v>
      </c>
    </row>
    <row r="74" spans="1:23">
      <c r="B74" t="s">
        <v>538</v>
      </c>
      <c r="C74">
        <v>0</v>
      </c>
      <c r="H74" t="s">
        <v>538</v>
      </c>
      <c r="I74">
        <v>0</v>
      </c>
      <c r="N74" t="s">
        <v>538</v>
      </c>
      <c r="O74">
        <v>0</v>
      </c>
      <c r="T74" t="s">
        <v>538</v>
      </c>
      <c r="U74">
        <v>0</v>
      </c>
    </row>
    <row r="76" spans="1:23">
      <c r="B76" t="s">
        <v>539</v>
      </c>
      <c r="C76">
        <f>C72-C73-C74</f>
        <v>0</v>
      </c>
      <c r="H76" t="s">
        <v>539</v>
      </c>
      <c r="I76">
        <f>I72-I73-I74</f>
        <v>0</v>
      </c>
      <c r="N76" t="s">
        <v>539</v>
      </c>
      <c r="O76">
        <f>O72-O73-O74</f>
        <v>0</v>
      </c>
      <c r="T76" t="s">
        <v>539</v>
      </c>
      <c r="U76">
        <f>U72-U73-U74</f>
        <v>0</v>
      </c>
    </row>
    <row r="77" spans="1:23">
      <c r="B77" t="s">
        <v>540</v>
      </c>
      <c r="C77">
        <v>4</v>
      </c>
      <c r="H77" t="s">
        <v>540</v>
      </c>
      <c r="I77">
        <v>4</v>
      </c>
      <c r="N77" t="s">
        <v>540</v>
      </c>
      <c r="O77">
        <v>4</v>
      </c>
      <c r="T77" t="s">
        <v>540</v>
      </c>
      <c r="U77">
        <v>4</v>
      </c>
    </row>
    <row r="78" spans="1:23">
      <c r="B78" t="s">
        <v>541</v>
      </c>
      <c r="C78">
        <f>C77*12</f>
        <v>48</v>
      </c>
      <c r="H78" t="s">
        <v>541</v>
      </c>
      <c r="I78">
        <f>I77*12</f>
        <v>48</v>
      </c>
      <c r="N78" t="s">
        <v>541</v>
      </c>
      <c r="O78">
        <f>O77*12</f>
        <v>48</v>
      </c>
      <c r="T78" t="s">
        <v>541</v>
      </c>
      <c r="U78">
        <f>U77*12</f>
        <v>48</v>
      </c>
    </row>
    <row r="80" spans="1:23">
      <c r="B80" t="s">
        <v>542</v>
      </c>
      <c r="C80" s="446">
        <f>-PMT(E72/12,C78,C76)</f>
        <v>0</v>
      </c>
      <c r="D80" t="s">
        <v>543</v>
      </c>
      <c r="E80">
        <f>C80*12</f>
        <v>0</v>
      </c>
      <c r="H80" t="s">
        <v>542</v>
      </c>
      <c r="I80" s="446">
        <f>-PMT(K72/12,I78,I76)</f>
        <v>0</v>
      </c>
      <c r="J80" t="s">
        <v>543</v>
      </c>
      <c r="K80">
        <f>I80*12</f>
        <v>0</v>
      </c>
      <c r="N80" t="s">
        <v>542</v>
      </c>
      <c r="O80" s="446">
        <f>-PMT(Q72/12,O78,O76)</f>
        <v>0</v>
      </c>
      <c r="P80" t="s">
        <v>543</v>
      </c>
      <c r="Q80">
        <f>O80*12</f>
        <v>0</v>
      </c>
      <c r="T80" t="s">
        <v>542</v>
      </c>
      <c r="U80" s="446">
        <f>-PMT(W72/12,U78,U76)</f>
        <v>0</v>
      </c>
      <c r="V80" t="s">
        <v>543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544</v>
      </c>
      <c r="C84">
        <f>C80*C78</f>
        <v>0</v>
      </c>
      <c r="H84" t="s">
        <v>544</v>
      </c>
      <c r="I84">
        <f>I80*I78</f>
        <v>0</v>
      </c>
      <c r="N84" t="s">
        <v>544</v>
      </c>
      <c r="O84">
        <f>O80*O78</f>
        <v>0</v>
      </c>
      <c r="T84" t="s">
        <v>544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442">
        <v>6</v>
      </c>
      <c r="B88" s="551" t="s">
        <v>533</v>
      </c>
      <c r="C88" s="551"/>
      <c r="D88" s="551"/>
      <c r="E88" s="551"/>
      <c r="G88" s="442">
        <v>6</v>
      </c>
      <c r="H88" s="551" t="s">
        <v>533</v>
      </c>
      <c r="I88" s="551"/>
      <c r="J88" s="551"/>
      <c r="K88" s="551"/>
      <c r="M88" s="442">
        <v>6</v>
      </c>
      <c r="N88" s="551" t="s">
        <v>533</v>
      </c>
      <c r="O88" s="551"/>
      <c r="P88" s="551"/>
      <c r="Q88" s="551"/>
      <c r="S88" s="442">
        <v>6</v>
      </c>
      <c r="T88" s="551" t="s">
        <v>533</v>
      </c>
      <c r="U88" s="551"/>
      <c r="V88" s="551"/>
      <c r="W88" s="551"/>
    </row>
    <row r="89" spans="1:23">
      <c r="B89" t="s">
        <v>534</v>
      </c>
      <c r="C89">
        <f>SUMIF(Equipos!$Q$6:$Q$55,A88,Equipos!$O$6:$O$55)</f>
        <v>0</v>
      </c>
      <c r="D89" t="s">
        <v>535</v>
      </c>
      <c r="E89" s="444">
        <v>0.11</v>
      </c>
      <c r="H89" t="s">
        <v>534</v>
      </c>
      <c r="I89">
        <f>SUMIF('Productos 2'!$P$6:$P$15,G88,'Productos 2'!$N$6:$N$15)</f>
        <v>0</v>
      </c>
      <c r="J89" t="s">
        <v>535</v>
      </c>
      <c r="K89" s="444">
        <v>0.11</v>
      </c>
      <c r="N89" t="s">
        <v>534</v>
      </c>
      <c r="O89">
        <f>SUMIF(MATERIALES!$P$6:$P$44,M88,MATERIALES!$N$6:$N$44)</f>
        <v>0</v>
      </c>
      <c r="P89" t="s">
        <v>535</v>
      </c>
      <c r="Q89" s="444">
        <v>0.11</v>
      </c>
      <c r="T89" t="s">
        <v>534</v>
      </c>
      <c r="U89">
        <f>SUMIF('OPEX GV'!$P$6:$P$15,S88,'OPEX GV'!$N$6:$N$15)</f>
        <v>0</v>
      </c>
      <c r="V89" t="s">
        <v>535</v>
      </c>
      <c r="W89" s="444">
        <v>0.11</v>
      </c>
    </row>
    <row r="90" spans="1:23">
      <c r="B90" t="s">
        <v>536</v>
      </c>
      <c r="C90">
        <v>0</v>
      </c>
      <c r="D90" t="s">
        <v>537</v>
      </c>
      <c r="E90" s="445">
        <v>0</v>
      </c>
      <c r="H90" t="s">
        <v>536</v>
      </c>
      <c r="I90">
        <v>0</v>
      </c>
      <c r="J90" t="s">
        <v>537</v>
      </c>
      <c r="K90" s="445">
        <v>0</v>
      </c>
      <c r="N90" t="s">
        <v>536</v>
      </c>
      <c r="O90">
        <v>0</v>
      </c>
      <c r="P90" t="s">
        <v>537</v>
      </c>
      <c r="Q90" s="445">
        <v>0</v>
      </c>
      <c r="T90" t="s">
        <v>536</v>
      </c>
      <c r="U90">
        <v>0</v>
      </c>
      <c r="V90" t="s">
        <v>537</v>
      </c>
      <c r="W90" s="445">
        <v>0</v>
      </c>
    </row>
    <row r="91" spans="1:23">
      <c r="B91" t="s">
        <v>538</v>
      </c>
      <c r="C91">
        <v>0</v>
      </c>
      <c r="H91" t="s">
        <v>538</v>
      </c>
      <c r="I91">
        <v>0</v>
      </c>
      <c r="N91" t="s">
        <v>538</v>
      </c>
      <c r="O91">
        <v>0</v>
      </c>
      <c r="T91" t="s">
        <v>538</v>
      </c>
      <c r="U91">
        <v>0</v>
      </c>
    </row>
    <row r="93" spans="1:23">
      <c r="B93" t="s">
        <v>539</v>
      </c>
      <c r="C93">
        <f>C89-C90-C91</f>
        <v>0</v>
      </c>
      <c r="H93" t="s">
        <v>539</v>
      </c>
      <c r="I93">
        <f>I89-I90-I91</f>
        <v>0</v>
      </c>
      <c r="N93" t="s">
        <v>539</v>
      </c>
      <c r="O93">
        <f>O89-O90-O91</f>
        <v>0</v>
      </c>
      <c r="T93" t="s">
        <v>539</v>
      </c>
      <c r="U93">
        <f>U89-U90-U91</f>
        <v>0</v>
      </c>
    </row>
    <row r="94" spans="1:23">
      <c r="B94" t="s">
        <v>540</v>
      </c>
      <c r="C94">
        <v>4</v>
      </c>
      <c r="H94" t="s">
        <v>540</v>
      </c>
      <c r="I94">
        <v>4</v>
      </c>
      <c r="N94" t="s">
        <v>540</v>
      </c>
      <c r="O94">
        <v>4</v>
      </c>
      <c r="T94" t="s">
        <v>540</v>
      </c>
      <c r="U94">
        <v>4</v>
      </c>
    </row>
    <row r="95" spans="1:23">
      <c r="B95" t="s">
        <v>541</v>
      </c>
      <c r="C95">
        <f>C94*12</f>
        <v>48</v>
      </c>
      <c r="H95" t="s">
        <v>541</v>
      </c>
      <c r="I95">
        <f>I94*12</f>
        <v>48</v>
      </c>
      <c r="N95" t="s">
        <v>541</v>
      </c>
      <c r="O95">
        <f>O94*12</f>
        <v>48</v>
      </c>
      <c r="T95" t="s">
        <v>541</v>
      </c>
      <c r="U95">
        <f>U94*12</f>
        <v>48</v>
      </c>
    </row>
    <row r="97" spans="1:23">
      <c r="B97" t="s">
        <v>542</v>
      </c>
      <c r="C97" s="446">
        <f>-PMT(E89/12,C95,C93)</f>
        <v>0</v>
      </c>
      <c r="D97" t="s">
        <v>543</v>
      </c>
      <c r="E97">
        <f>C97*12</f>
        <v>0</v>
      </c>
      <c r="H97" t="s">
        <v>542</v>
      </c>
      <c r="I97" s="446">
        <f>-PMT(K89/12,I95,I93)</f>
        <v>0</v>
      </c>
      <c r="J97" t="s">
        <v>543</v>
      </c>
      <c r="K97">
        <f>I97*12</f>
        <v>0</v>
      </c>
      <c r="N97" t="s">
        <v>542</v>
      </c>
      <c r="O97" s="446">
        <f>-PMT(Q89/12,O95,O93)</f>
        <v>0</v>
      </c>
      <c r="P97" t="s">
        <v>543</v>
      </c>
      <c r="Q97">
        <f>O97*12</f>
        <v>0</v>
      </c>
      <c r="T97" t="s">
        <v>542</v>
      </c>
      <c r="U97" s="446">
        <f>-PMT(W89/12,U95,U93)</f>
        <v>0</v>
      </c>
      <c r="V97" t="s">
        <v>543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544</v>
      </c>
      <c r="C101">
        <f>C97*C95</f>
        <v>0</v>
      </c>
      <c r="H101" t="s">
        <v>544</v>
      </c>
      <c r="I101">
        <f>I97*I95</f>
        <v>0</v>
      </c>
      <c r="N101" t="s">
        <v>544</v>
      </c>
      <c r="O101">
        <f>O97*O95</f>
        <v>0</v>
      </c>
      <c r="T101" t="s">
        <v>544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442">
        <v>7</v>
      </c>
      <c r="B105" s="551" t="s">
        <v>533</v>
      </c>
      <c r="C105" s="551"/>
      <c r="D105" s="551"/>
      <c r="E105" s="551"/>
      <c r="G105" s="442">
        <v>7</v>
      </c>
      <c r="H105" s="551" t="s">
        <v>533</v>
      </c>
      <c r="I105" s="551"/>
      <c r="J105" s="551"/>
      <c r="K105" s="551"/>
      <c r="M105" s="442">
        <v>7</v>
      </c>
      <c r="N105" s="551" t="s">
        <v>533</v>
      </c>
      <c r="O105" s="551"/>
      <c r="P105" s="551"/>
      <c r="Q105" s="551"/>
      <c r="S105" s="442">
        <v>7</v>
      </c>
      <c r="T105" s="551" t="s">
        <v>533</v>
      </c>
      <c r="U105" s="551"/>
      <c r="V105" s="551"/>
      <c r="W105" s="551"/>
    </row>
    <row r="106" spans="1:23">
      <c r="B106" t="s">
        <v>534</v>
      </c>
      <c r="C106">
        <f>SUMIF(Equipos!$Q$6:$Q$55,A105,Equipos!$O$6:$O$55)</f>
        <v>0</v>
      </c>
      <c r="D106" t="s">
        <v>535</v>
      </c>
      <c r="E106" s="444">
        <v>0.11</v>
      </c>
      <c r="H106" t="s">
        <v>534</v>
      </c>
      <c r="I106">
        <f>SUMIF('Productos 2'!$P$6:$P$15,G105,'Productos 2'!$N$6:$N$15)</f>
        <v>0</v>
      </c>
      <c r="J106" t="s">
        <v>535</v>
      </c>
      <c r="K106" s="444">
        <v>0.11</v>
      </c>
      <c r="N106" t="s">
        <v>534</v>
      </c>
      <c r="O106">
        <f>SUMIF(MATERIALES!$P$6:$P$44,M105,MATERIALES!$N$6:$N$44)</f>
        <v>0</v>
      </c>
      <c r="P106" t="s">
        <v>535</v>
      </c>
      <c r="Q106" s="444">
        <v>0.11</v>
      </c>
      <c r="T106" t="s">
        <v>534</v>
      </c>
      <c r="U106">
        <f>SUMIF('OPEX GV'!$P$6:$P$15,S105,'OPEX GV'!$N$6:$N$15)</f>
        <v>0</v>
      </c>
      <c r="V106" t="s">
        <v>535</v>
      </c>
      <c r="W106" s="444">
        <v>0.11</v>
      </c>
    </row>
    <row r="107" spans="1:23">
      <c r="B107" t="s">
        <v>536</v>
      </c>
      <c r="C107">
        <v>0</v>
      </c>
      <c r="D107" t="s">
        <v>537</v>
      </c>
      <c r="E107" s="445">
        <v>0</v>
      </c>
      <c r="H107" t="s">
        <v>536</v>
      </c>
      <c r="I107">
        <v>0</v>
      </c>
      <c r="J107" t="s">
        <v>537</v>
      </c>
      <c r="K107" s="445">
        <v>0</v>
      </c>
      <c r="N107" t="s">
        <v>536</v>
      </c>
      <c r="O107">
        <v>0</v>
      </c>
      <c r="P107" t="s">
        <v>537</v>
      </c>
      <c r="Q107" s="445">
        <v>0</v>
      </c>
      <c r="T107" t="s">
        <v>536</v>
      </c>
      <c r="U107">
        <v>0</v>
      </c>
      <c r="V107" t="s">
        <v>537</v>
      </c>
      <c r="W107" s="445">
        <v>0</v>
      </c>
    </row>
    <row r="108" spans="1:23">
      <c r="B108" t="s">
        <v>538</v>
      </c>
      <c r="C108">
        <v>0</v>
      </c>
      <c r="H108" t="s">
        <v>538</v>
      </c>
      <c r="I108">
        <v>0</v>
      </c>
      <c r="N108" t="s">
        <v>538</v>
      </c>
      <c r="O108">
        <v>0</v>
      </c>
      <c r="T108" t="s">
        <v>538</v>
      </c>
      <c r="U108">
        <v>0</v>
      </c>
    </row>
    <row r="110" spans="1:23">
      <c r="B110" t="s">
        <v>539</v>
      </c>
      <c r="C110">
        <f>C106-C107-C108</f>
        <v>0</v>
      </c>
      <c r="H110" t="s">
        <v>539</v>
      </c>
      <c r="I110">
        <f>I106-I107-I108</f>
        <v>0</v>
      </c>
      <c r="N110" t="s">
        <v>539</v>
      </c>
      <c r="O110">
        <f>O106-O107-O108</f>
        <v>0</v>
      </c>
      <c r="T110" t="s">
        <v>539</v>
      </c>
      <c r="U110">
        <f>U106-U107-U108</f>
        <v>0</v>
      </c>
    </row>
    <row r="111" spans="1:23">
      <c r="B111" t="s">
        <v>540</v>
      </c>
      <c r="C111">
        <v>4</v>
      </c>
      <c r="H111" t="s">
        <v>540</v>
      </c>
      <c r="I111">
        <v>4</v>
      </c>
      <c r="N111" t="s">
        <v>540</v>
      </c>
      <c r="O111">
        <v>4</v>
      </c>
      <c r="T111" t="s">
        <v>540</v>
      </c>
      <c r="U111">
        <v>4</v>
      </c>
    </row>
    <row r="112" spans="1:23">
      <c r="B112" t="s">
        <v>541</v>
      </c>
      <c r="C112">
        <f>C111*12</f>
        <v>48</v>
      </c>
      <c r="H112" t="s">
        <v>541</v>
      </c>
      <c r="I112">
        <f>I111*12</f>
        <v>48</v>
      </c>
      <c r="N112" t="s">
        <v>541</v>
      </c>
      <c r="O112">
        <f>O111*12</f>
        <v>48</v>
      </c>
      <c r="T112" t="s">
        <v>541</v>
      </c>
      <c r="U112">
        <f>U111*12</f>
        <v>48</v>
      </c>
    </row>
    <row r="114" spans="1:23">
      <c r="B114" t="s">
        <v>542</v>
      </c>
      <c r="C114" s="446">
        <f>-PMT(E106/12,C112,C110)</f>
        <v>0</v>
      </c>
      <c r="D114" t="s">
        <v>543</v>
      </c>
      <c r="E114">
        <f>C114*12</f>
        <v>0</v>
      </c>
      <c r="H114" t="s">
        <v>542</v>
      </c>
      <c r="I114" s="446">
        <f>-PMT(K106/12,I112,I110)</f>
        <v>0</v>
      </c>
      <c r="J114" t="s">
        <v>543</v>
      </c>
      <c r="K114">
        <f>I114*12</f>
        <v>0</v>
      </c>
      <c r="N114" t="s">
        <v>542</v>
      </c>
      <c r="O114" s="446">
        <f>-PMT(Q106/12,O112,O110)</f>
        <v>0</v>
      </c>
      <c r="P114" t="s">
        <v>543</v>
      </c>
      <c r="Q114">
        <f>O114*12</f>
        <v>0</v>
      </c>
      <c r="T114" t="s">
        <v>542</v>
      </c>
      <c r="U114" s="446">
        <f>-PMT(W106/12,U112,U110)</f>
        <v>0</v>
      </c>
      <c r="V114" t="s">
        <v>543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544</v>
      </c>
      <c r="C118">
        <f>C114*C112</f>
        <v>0</v>
      </c>
      <c r="H118" t="s">
        <v>544</v>
      </c>
      <c r="I118">
        <f>I114*I112</f>
        <v>0</v>
      </c>
      <c r="N118" t="s">
        <v>544</v>
      </c>
      <c r="O118">
        <f>O114*O112</f>
        <v>0</v>
      </c>
      <c r="T118" t="s">
        <v>544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442">
        <v>8</v>
      </c>
      <c r="B122" s="551" t="s">
        <v>533</v>
      </c>
      <c r="C122" s="551"/>
      <c r="D122" s="551"/>
      <c r="E122" s="551"/>
      <c r="G122" s="442">
        <v>8</v>
      </c>
      <c r="H122" s="551" t="s">
        <v>533</v>
      </c>
      <c r="I122" s="551"/>
      <c r="J122" s="551"/>
      <c r="K122" s="551"/>
      <c r="M122" s="442">
        <v>8</v>
      </c>
      <c r="N122" s="551" t="s">
        <v>533</v>
      </c>
      <c r="O122" s="551"/>
      <c r="P122" s="551"/>
      <c r="Q122" s="551"/>
      <c r="S122" s="442">
        <v>8</v>
      </c>
      <c r="T122" s="551" t="s">
        <v>533</v>
      </c>
      <c r="U122" s="551"/>
      <c r="V122" s="551"/>
      <c r="W122" s="551"/>
    </row>
    <row r="123" spans="1:23">
      <c r="B123" t="s">
        <v>534</v>
      </c>
      <c r="C123">
        <f>SUMIF(Equipos!$Q$6:$Q$55,A122,Equipos!$O$6:$O$55)</f>
        <v>0</v>
      </c>
      <c r="D123" t="s">
        <v>535</v>
      </c>
      <c r="E123" s="444">
        <v>0.11</v>
      </c>
      <c r="H123" t="s">
        <v>534</v>
      </c>
      <c r="I123">
        <f>SUMIF('Productos 2'!$P$6:$P$15,G122,'Productos 2'!$N$6:$N$15)</f>
        <v>0</v>
      </c>
      <c r="J123" t="s">
        <v>535</v>
      </c>
      <c r="K123" s="444">
        <v>0.11</v>
      </c>
      <c r="N123" t="s">
        <v>534</v>
      </c>
      <c r="O123">
        <f>SUMIF(MATERIALES!$P$6:$P$44,M122,MATERIALES!$N$6:$N$44)</f>
        <v>0</v>
      </c>
      <c r="P123" t="s">
        <v>535</v>
      </c>
      <c r="Q123" s="444">
        <v>0.11</v>
      </c>
      <c r="T123" t="s">
        <v>534</v>
      </c>
      <c r="U123">
        <f>SUMIF('OPEX GV'!$P$6:$P$15,S122,'OPEX GV'!$N$6:$N$15)</f>
        <v>0</v>
      </c>
      <c r="V123" t="s">
        <v>535</v>
      </c>
      <c r="W123" s="444">
        <v>0.11</v>
      </c>
    </row>
    <row r="124" spans="1:23">
      <c r="B124" t="s">
        <v>536</v>
      </c>
      <c r="C124">
        <v>0</v>
      </c>
      <c r="D124" t="s">
        <v>537</v>
      </c>
      <c r="E124" s="445">
        <v>0</v>
      </c>
      <c r="H124" t="s">
        <v>536</v>
      </c>
      <c r="I124">
        <v>0</v>
      </c>
      <c r="J124" t="s">
        <v>537</v>
      </c>
      <c r="K124" s="445">
        <v>0</v>
      </c>
      <c r="N124" t="s">
        <v>536</v>
      </c>
      <c r="O124">
        <v>0</v>
      </c>
      <c r="P124" t="s">
        <v>537</v>
      </c>
      <c r="Q124" s="445">
        <v>0</v>
      </c>
      <c r="T124" t="s">
        <v>536</v>
      </c>
      <c r="U124">
        <v>0</v>
      </c>
      <c r="V124" t="s">
        <v>537</v>
      </c>
      <c r="W124" s="445">
        <v>0</v>
      </c>
    </row>
    <row r="125" spans="1:23">
      <c r="B125" t="s">
        <v>538</v>
      </c>
      <c r="C125">
        <v>0</v>
      </c>
      <c r="H125" t="s">
        <v>538</v>
      </c>
      <c r="I125">
        <v>0</v>
      </c>
      <c r="N125" t="s">
        <v>538</v>
      </c>
      <c r="O125">
        <v>0</v>
      </c>
      <c r="T125" t="s">
        <v>538</v>
      </c>
      <c r="U125">
        <v>0</v>
      </c>
    </row>
    <row r="127" spans="1:23">
      <c r="B127" t="s">
        <v>539</v>
      </c>
      <c r="C127">
        <f>C123-C124-C125</f>
        <v>0</v>
      </c>
      <c r="H127" t="s">
        <v>539</v>
      </c>
      <c r="I127">
        <f>I123-I124-I125</f>
        <v>0</v>
      </c>
      <c r="N127" t="s">
        <v>539</v>
      </c>
      <c r="O127">
        <f>O123-O124-O125</f>
        <v>0</v>
      </c>
      <c r="T127" t="s">
        <v>539</v>
      </c>
      <c r="U127">
        <f>U123-U124-U125</f>
        <v>0</v>
      </c>
    </row>
    <row r="128" spans="1:23">
      <c r="B128" t="s">
        <v>540</v>
      </c>
      <c r="C128">
        <v>4</v>
      </c>
      <c r="H128" t="s">
        <v>540</v>
      </c>
      <c r="I128">
        <v>4</v>
      </c>
      <c r="N128" t="s">
        <v>540</v>
      </c>
      <c r="O128">
        <v>4</v>
      </c>
      <c r="T128" t="s">
        <v>540</v>
      </c>
      <c r="U128">
        <v>4</v>
      </c>
    </row>
    <row r="129" spans="1:23">
      <c r="B129" t="s">
        <v>541</v>
      </c>
      <c r="C129">
        <f>C128*12</f>
        <v>48</v>
      </c>
      <c r="H129" t="s">
        <v>541</v>
      </c>
      <c r="I129">
        <f>I128*12</f>
        <v>48</v>
      </c>
      <c r="N129" t="s">
        <v>541</v>
      </c>
      <c r="O129">
        <f>O128*12</f>
        <v>48</v>
      </c>
      <c r="T129" t="s">
        <v>541</v>
      </c>
      <c r="U129">
        <f>U128*12</f>
        <v>48</v>
      </c>
    </row>
    <row r="131" spans="1:23">
      <c r="B131" t="s">
        <v>542</v>
      </c>
      <c r="C131" s="446">
        <f>-PMT(E123/12,C129,C127)</f>
        <v>0</v>
      </c>
      <c r="D131" t="s">
        <v>543</v>
      </c>
      <c r="E131">
        <f>C131*12</f>
        <v>0</v>
      </c>
      <c r="H131" t="s">
        <v>542</v>
      </c>
      <c r="I131" s="446">
        <f>-PMT(K123/12,I129,I127)</f>
        <v>0</v>
      </c>
      <c r="J131" t="s">
        <v>543</v>
      </c>
      <c r="K131">
        <f>I131*12</f>
        <v>0</v>
      </c>
      <c r="N131" t="s">
        <v>542</v>
      </c>
      <c r="O131" s="446">
        <f>-PMT(Q123/12,O129,O127)</f>
        <v>0</v>
      </c>
      <c r="P131" t="s">
        <v>543</v>
      </c>
      <c r="Q131">
        <f>O131*12</f>
        <v>0</v>
      </c>
      <c r="T131" t="s">
        <v>542</v>
      </c>
      <c r="U131" s="446">
        <f>-PMT(W123/12,U129,U127)</f>
        <v>0</v>
      </c>
      <c r="V131" t="s">
        <v>543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544</v>
      </c>
      <c r="C135">
        <f>C131*C129</f>
        <v>0</v>
      </c>
      <c r="H135" t="s">
        <v>544</v>
      </c>
      <c r="I135">
        <f>I131*I129</f>
        <v>0</v>
      </c>
      <c r="N135" t="s">
        <v>544</v>
      </c>
      <c r="O135">
        <f>O131*O129</f>
        <v>0</v>
      </c>
      <c r="T135" t="s">
        <v>544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442">
        <v>9</v>
      </c>
      <c r="B139" s="551" t="s">
        <v>533</v>
      </c>
      <c r="C139" s="551"/>
      <c r="D139" s="551"/>
      <c r="E139" s="551"/>
      <c r="G139" s="442">
        <v>9</v>
      </c>
      <c r="H139" s="551" t="s">
        <v>533</v>
      </c>
      <c r="I139" s="551"/>
      <c r="J139" s="551"/>
      <c r="K139" s="551"/>
      <c r="M139" s="442">
        <v>9</v>
      </c>
      <c r="N139" s="551" t="s">
        <v>533</v>
      </c>
      <c r="O139" s="551"/>
      <c r="P139" s="551"/>
      <c r="Q139" s="551"/>
      <c r="S139" s="442">
        <v>9</v>
      </c>
      <c r="T139" s="551" t="s">
        <v>533</v>
      </c>
      <c r="U139" s="551"/>
      <c r="V139" s="551"/>
      <c r="W139" s="551"/>
    </row>
    <row r="140" spans="1:23">
      <c r="B140" t="s">
        <v>534</v>
      </c>
      <c r="C140">
        <f>SUMIF(Equipos!$Q$6:$Q$55,A139,Equipos!$O$6:$O$55)</f>
        <v>0</v>
      </c>
      <c r="D140" t="s">
        <v>535</v>
      </c>
      <c r="E140" s="444">
        <v>0.11</v>
      </c>
      <c r="H140" t="s">
        <v>534</v>
      </c>
      <c r="I140">
        <f>SUMIF('Productos 2'!$P$6:$P$15,G139,'Productos 2'!$N$6:$N$15)</f>
        <v>0</v>
      </c>
      <c r="J140" t="s">
        <v>535</v>
      </c>
      <c r="K140" s="444">
        <v>0.11</v>
      </c>
      <c r="N140" t="s">
        <v>534</v>
      </c>
      <c r="O140">
        <f>SUMIF(MATERIALES!$P$6:$P$44,M139,MATERIALES!$N$6:$N$44)</f>
        <v>0</v>
      </c>
      <c r="P140" t="s">
        <v>535</v>
      </c>
      <c r="Q140" s="444">
        <v>0.11</v>
      </c>
      <c r="T140" t="s">
        <v>534</v>
      </c>
      <c r="U140">
        <f>SUMIF('OPEX GV'!$P$6:$P$15,S139,'OPEX GV'!$N$6:$N$15)</f>
        <v>0</v>
      </c>
      <c r="V140" t="s">
        <v>535</v>
      </c>
      <c r="W140" s="444">
        <v>0.11</v>
      </c>
    </row>
    <row r="141" spans="1:23">
      <c r="B141" t="s">
        <v>536</v>
      </c>
      <c r="C141">
        <v>0</v>
      </c>
      <c r="D141" t="s">
        <v>537</v>
      </c>
      <c r="E141" s="445">
        <v>0</v>
      </c>
      <c r="H141" t="s">
        <v>536</v>
      </c>
      <c r="I141">
        <v>0</v>
      </c>
      <c r="J141" t="s">
        <v>537</v>
      </c>
      <c r="K141" s="445">
        <v>0</v>
      </c>
      <c r="N141" t="s">
        <v>536</v>
      </c>
      <c r="O141">
        <v>0</v>
      </c>
      <c r="P141" t="s">
        <v>537</v>
      </c>
      <c r="Q141" s="445">
        <v>0</v>
      </c>
      <c r="T141" t="s">
        <v>536</v>
      </c>
      <c r="U141">
        <v>0</v>
      </c>
      <c r="V141" t="s">
        <v>537</v>
      </c>
      <c r="W141" s="445">
        <v>0</v>
      </c>
    </row>
    <row r="142" spans="1:23">
      <c r="B142" t="s">
        <v>538</v>
      </c>
      <c r="C142">
        <v>0</v>
      </c>
      <c r="H142" t="s">
        <v>538</v>
      </c>
      <c r="I142">
        <v>0</v>
      </c>
      <c r="N142" t="s">
        <v>538</v>
      </c>
      <c r="O142">
        <v>0</v>
      </c>
      <c r="T142" t="s">
        <v>538</v>
      </c>
      <c r="U142">
        <v>0</v>
      </c>
    </row>
    <row r="144" spans="1:23">
      <c r="B144" t="s">
        <v>539</v>
      </c>
      <c r="C144">
        <f>C140-C141-C142</f>
        <v>0</v>
      </c>
      <c r="H144" t="s">
        <v>539</v>
      </c>
      <c r="I144">
        <f>I140-I141-I142</f>
        <v>0</v>
      </c>
      <c r="N144" t="s">
        <v>539</v>
      </c>
      <c r="O144">
        <f>O140-O141-O142</f>
        <v>0</v>
      </c>
      <c r="T144" t="s">
        <v>539</v>
      </c>
      <c r="U144">
        <f>U140-U141-U142</f>
        <v>0</v>
      </c>
    </row>
    <row r="145" spans="1:23">
      <c r="B145" t="s">
        <v>540</v>
      </c>
      <c r="C145">
        <v>4</v>
      </c>
      <c r="H145" t="s">
        <v>540</v>
      </c>
      <c r="I145">
        <v>4</v>
      </c>
      <c r="N145" t="s">
        <v>540</v>
      </c>
      <c r="O145">
        <v>4</v>
      </c>
      <c r="T145" t="s">
        <v>540</v>
      </c>
      <c r="U145">
        <v>4</v>
      </c>
    </row>
    <row r="146" spans="1:23">
      <c r="B146" t="s">
        <v>541</v>
      </c>
      <c r="C146">
        <f>C145*12</f>
        <v>48</v>
      </c>
      <c r="H146" t="s">
        <v>541</v>
      </c>
      <c r="I146">
        <f>I145*12</f>
        <v>48</v>
      </c>
      <c r="N146" t="s">
        <v>541</v>
      </c>
      <c r="O146">
        <f>O145*12</f>
        <v>48</v>
      </c>
      <c r="T146" t="s">
        <v>541</v>
      </c>
      <c r="U146">
        <f>U145*12</f>
        <v>48</v>
      </c>
    </row>
    <row r="148" spans="1:23">
      <c r="B148" t="s">
        <v>542</v>
      </c>
      <c r="C148" s="446">
        <f>-PMT(E140/12,C146,C144)</f>
        <v>0</v>
      </c>
      <c r="D148" t="s">
        <v>543</v>
      </c>
      <c r="E148">
        <f>C148*12</f>
        <v>0</v>
      </c>
      <c r="H148" t="s">
        <v>542</v>
      </c>
      <c r="I148" s="446">
        <f>-PMT(K140/12,I146,I144)</f>
        <v>0</v>
      </c>
      <c r="J148" t="s">
        <v>543</v>
      </c>
      <c r="K148">
        <f>I148*12</f>
        <v>0</v>
      </c>
      <c r="N148" t="s">
        <v>542</v>
      </c>
      <c r="O148" s="446">
        <f>-PMT(Q140/12,O146,O144)</f>
        <v>0</v>
      </c>
      <c r="P148" t="s">
        <v>543</v>
      </c>
      <c r="Q148">
        <f>O148*12</f>
        <v>0</v>
      </c>
      <c r="T148" t="s">
        <v>542</v>
      </c>
      <c r="U148" s="446">
        <f>-PMT(W140/12,U146,U144)</f>
        <v>0</v>
      </c>
      <c r="V148" t="s">
        <v>543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544</v>
      </c>
      <c r="C152">
        <f>C148*C146</f>
        <v>0</v>
      </c>
      <c r="H152" t="s">
        <v>544</v>
      </c>
      <c r="I152">
        <f>I148*I146</f>
        <v>0</v>
      </c>
      <c r="N152" t="s">
        <v>544</v>
      </c>
      <c r="O152">
        <f>O148*O146</f>
        <v>0</v>
      </c>
      <c r="T152" t="s">
        <v>544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442">
        <v>10</v>
      </c>
      <c r="B156" s="551" t="s">
        <v>533</v>
      </c>
      <c r="C156" s="551"/>
      <c r="D156" s="551"/>
      <c r="E156" s="551"/>
      <c r="G156" s="442">
        <v>10</v>
      </c>
      <c r="H156" s="551" t="s">
        <v>533</v>
      </c>
      <c r="I156" s="551"/>
      <c r="J156" s="551"/>
      <c r="K156" s="551"/>
      <c r="M156" s="442">
        <v>10</v>
      </c>
      <c r="N156" s="551" t="s">
        <v>533</v>
      </c>
      <c r="O156" s="551"/>
      <c r="P156" s="551"/>
      <c r="Q156" s="551"/>
      <c r="S156" s="442">
        <v>10</v>
      </c>
      <c r="T156" s="551" t="s">
        <v>533</v>
      </c>
      <c r="U156" s="551"/>
      <c r="V156" s="551"/>
      <c r="W156" s="551"/>
    </row>
    <row r="157" spans="1:23">
      <c r="B157" t="s">
        <v>534</v>
      </c>
      <c r="C157">
        <f>SUMIF(Equipos!$Q$6:$Q$55,A156,Equipos!$O$6:$O$55)</f>
        <v>0</v>
      </c>
      <c r="D157" t="s">
        <v>535</v>
      </c>
      <c r="E157" s="444">
        <v>0.11</v>
      </c>
      <c r="H157" t="s">
        <v>534</v>
      </c>
      <c r="I157">
        <f>SUMIF('Productos 2'!$P$6:$P$15,G156,'Productos 2'!$N$6:$N$15)</f>
        <v>0</v>
      </c>
      <c r="J157" t="s">
        <v>535</v>
      </c>
      <c r="K157" s="444">
        <v>0.11</v>
      </c>
      <c r="N157" t="s">
        <v>534</v>
      </c>
      <c r="O157">
        <f>SUMIF(MATERIALES!$P$6:$P$44,M156,MATERIALES!$N$6:$N$44)</f>
        <v>0</v>
      </c>
      <c r="P157" t="s">
        <v>535</v>
      </c>
      <c r="Q157" s="444">
        <v>0.11</v>
      </c>
      <c r="T157" t="s">
        <v>534</v>
      </c>
      <c r="U157">
        <f>SUMIF('OPEX GV'!$P$6:$P$15,S156,'OPEX GV'!$N$6:$N$15)</f>
        <v>0</v>
      </c>
      <c r="V157" t="s">
        <v>535</v>
      </c>
      <c r="W157" s="444">
        <v>0.11</v>
      </c>
    </row>
    <row r="158" spans="1:23">
      <c r="B158" t="s">
        <v>536</v>
      </c>
      <c r="C158">
        <v>0</v>
      </c>
      <c r="D158" t="s">
        <v>537</v>
      </c>
      <c r="E158" s="445">
        <v>0</v>
      </c>
      <c r="H158" t="s">
        <v>536</v>
      </c>
      <c r="I158">
        <v>0</v>
      </c>
      <c r="J158" t="s">
        <v>537</v>
      </c>
      <c r="K158" s="445">
        <v>0</v>
      </c>
      <c r="N158" t="s">
        <v>536</v>
      </c>
      <c r="O158">
        <v>0</v>
      </c>
      <c r="P158" t="s">
        <v>537</v>
      </c>
      <c r="Q158" s="445">
        <v>0</v>
      </c>
      <c r="T158" t="s">
        <v>536</v>
      </c>
      <c r="U158">
        <v>0</v>
      </c>
      <c r="V158" t="s">
        <v>537</v>
      </c>
      <c r="W158" s="445">
        <v>0</v>
      </c>
    </row>
    <row r="159" spans="1:23">
      <c r="B159" t="s">
        <v>538</v>
      </c>
      <c r="C159">
        <v>0</v>
      </c>
      <c r="H159" t="s">
        <v>538</v>
      </c>
      <c r="I159">
        <v>0</v>
      </c>
      <c r="N159" t="s">
        <v>538</v>
      </c>
      <c r="O159">
        <v>0</v>
      </c>
      <c r="T159" t="s">
        <v>538</v>
      </c>
      <c r="U159">
        <v>0</v>
      </c>
    </row>
    <row r="161" spans="1:23">
      <c r="B161" t="s">
        <v>539</v>
      </c>
      <c r="C161">
        <f>C157-C158-C159</f>
        <v>0</v>
      </c>
      <c r="H161" t="s">
        <v>539</v>
      </c>
      <c r="I161">
        <f>I157-I158-I159</f>
        <v>0</v>
      </c>
      <c r="N161" t="s">
        <v>539</v>
      </c>
      <c r="O161">
        <f>O157-O158-O159</f>
        <v>0</v>
      </c>
      <c r="T161" t="s">
        <v>539</v>
      </c>
      <c r="U161">
        <f>U157-U158-U159</f>
        <v>0</v>
      </c>
    </row>
    <row r="162" spans="1:23">
      <c r="B162" t="s">
        <v>540</v>
      </c>
      <c r="C162">
        <v>4</v>
      </c>
      <c r="H162" t="s">
        <v>540</v>
      </c>
      <c r="I162">
        <v>4</v>
      </c>
      <c r="N162" t="s">
        <v>540</v>
      </c>
      <c r="O162">
        <v>4</v>
      </c>
      <c r="T162" t="s">
        <v>540</v>
      </c>
      <c r="U162">
        <v>4</v>
      </c>
    </row>
    <row r="163" spans="1:23">
      <c r="B163" t="s">
        <v>541</v>
      </c>
      <c r="C163">
        <f>C162*12</f>
        <v>48</v>
      </c>
      <c r="H163" t="s">
        <v>541</v>
      </c>
      <c r="I163">
        <f>I162*12</f>
        <v>48</v>
      </c>
      <c r="N163" t="s">
        <v>541</v>
      </c>
      <c r="O163">
        <f>O162*12</f>
        <v>48</v>
      </c>
      <c r="T163" t="s">
        <v>541</v>
      </c>
      <c r="U163">
        <f>U162*12</f>
        <v>48</v>
      </c>
    </row>
    <row r="165" spans="1:23">
      <c r="B165" t="s">
        <v>542</v>
      </c>
      <c r="C165" s="446">
        <f>-PMT(E157/12,C163,C161)</f>
        <v>0</v>
      </c>
      <c r="D165" t="s">
        <v>543</v>
      </c>
      <c r="E165">
        <f>C165*12</f>
        <v>0</v>
      </c>
      <c r="H165" t="s">
        <v>542</v>
      </c>
      <c r="I165" s="446">
        <f>-PMT(K157/12,I163,I161)</f>
        <v>0</v>
      </c>
      <c r="J165" t="s">
        <v>543</v>
      </c>
      <c r="K165">
        <f>I165*12</f>
        <v>0</v>
      </c>
      <c r="N165" t="s">
        <v>542</v>
      </c>
      <c r="O165" s="446">
        <f>-PMT(Q157/12,O163,O161)</f>
        <v>0</v>
      </c>
      <c r="P165" t="s">
        <v>543</v>
      </c>
      <c r="Q165">
        <f>O165*12</f>
        <v>0</v>
      </c>
      <c r="T165" t="s">
        <v>542</v>
      </c>
      <c r="U165" s="446">
        <f>-PMT(W157/12,U163,U161)</f>
        <v>0</v>
      </c>
      <c r="V165" t="s">
        <v>543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544</v>
      </c>
      <c r="C169">
        <f>C165*C163</f>
        <v>0</v>
      </c>
      <c r="H169" t="s">
        <v>544</v>
      </c>
      <c r="I169">
        <f>I165*I163</f>
        <v>0</v>
      </c>
      <c r="N169" t="s">
        <v>544</v>
      </c>
      <c r="O169">
        <f>O165*O163</f>
        <v>0</v>
      </c>
      <c r="T169" t="s">
        <v>544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442">
        <v>11</v>
      </c>
      <c r="B173" s="551" t="s">
        <v>533</v>
      </c>
      <c r="C173" s="551"/>
      <c r="D173" s="551"/>
      <c r="E173" s="551"/>
      <c r="M173" s="442">
        <v>11</v>
      </c>
      <c r="N173" s="551" t="s">
        <v>533</v>
      </c>
      <c r="O173" s="551"/>
      <c r="P173" s="551"/>
      <c r="Q173" s="551"/>
    </row>
    <row r="174" spans="1:23">
      <c r="B174" t="s">
        <v>534</v>
      </c>
      <c r="C174">
        <f>SUMIF(Equipos!$Q$6:$Q$55,A173,Equipos!$O$6:$O$55)</f>
        <v>0</v>
      </c>
      <c r="D174" t="s">
        <v>535</v>
      </c>
      <c r="E174" s="444">
        <v>0.11</v>
      </c>
      <c r="N174" t="s">
        <v>534</v>
      </c>
      <c r="O174">
        <f>SUMIF(MATERIALES!$P$6:$P$44,M173,MATERIALES!$N$6:$N$44)</f>
        <v>0</v>
      </c>
      <c r="P174" t="s">
        <v>535</v>
      </c>
      <c r="Q174" s="444">
        <v>0.11</v>
      </c>
    </row>
    <row r="175" spans="1:23">
      <c r="B175" t="s">
        <v>536</v>
      </c>
      <c r="C175">
        <v>0</v>
      </c>
      <c r="D175" t="s">
        <v>537</v>
      </c>
      <c r="E175" s="445">
        <v>0</v>
      </c>
      <c r="N175" t="s">
        <v>536</v>
      </c>
      <c r="O175">
        <v>0</v>
      </c>
      <c r="P175" t="s">
        <v>537</v>
      </c>
      <c r="Q175" s="445">
        <v>0</v>
      </c>
    </row>
    <row r="176" spans="1:23">
      <c r="B176" t="s">
        <v>538</v>
      </c>
      <c r="C176">
        <v>0</v>
      </c>
      <c r="N176" t="s">
        <v>538</v>
      </c>
      <c r="O176">
        <v>0</v>
      </c>
    </row>
    <row r="178" spans="1:17">
      <c r="B178" t="s">
        <v>539</v>
      </c>
      <c r="C178">
        <f>C174-C175-C176</f>
        <v>0</v>
      </c>
      <c r="N178" t="s">
        <v>539</v>
      </c>
      <c r="O178">
        <f>O174-O175-O176</f>
        <v>0</v>
      </c>
    </row>
    <row r="179" spans="1:17">
      <c r="B179" t="s">
        <v>540</v>
      </c>
      <c r="C179">
        <v>4</v>
      </c>
      <c r="N179" t="s">
        <v>540</v>
      </c>
      <c r="O179">
        <v>4</v>
      </c>
    </row>
    <row r="180" spans="1:17">
      <c r="B180" t="s">
        <v>541</v>
      </c>
      <c r="C180">
        <f>C179*12</f>
        <v>48</v>
      </c>
      <c r="N180" t="s">
        <v>541</v>
      </c>
      <c r="O180">
        <f>O179*12</f>
        <v>48</v>
      </c>
    </row>
    <row r="182" spans="1:17">
      <c r="B182" t="s">
        <v>542</v>
      </c>
      <c r="C182" s="446">
        <f>-PMT(E174/12,C180,C178)</f>
        <v>0</v>
      </c>
      <c r="D182" t="s">
        <v>543</v>
      </c>
      <c r="E182">
        <f>C182*12</f>
        <v>0</v>
      </c>
      <c r="N182" t="s">
        <v>542</v>
      </c>
      <c r="O182" s="446">
        <f>-PMT(Q174/12,O180,O178)</f>
        <v>0</v>
      </c>
      <c r="P182" t="s">
        <v>543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544</v>
      </c>
      <c r="C186">
        <f>C182*C180</f>
        <v>0</v>
      </c>
      <c r="N186" t="s">
        <v>544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442">
        <v>12</v>
      </c>
      <c r="B190" s="551" t="s">
        <v>533</v>
      </c>
      <c r="C190" s="551"/>
      <c r="D190" s="551"/>
      <c r="E190" s="551"/>
      <c r="M190" s="442">
        <v>12</v>
      </c>
      <c r="N190" s="551" t="s">
        <v>533</v>
      </c>
      <c r="O190" s="551"/>
      <c r="P190" s="551"/>
      <c r="Q190" s="551"/>
    </row>
    <row r="191" spans="1:17">
      <c r="B191" t="s">
        <v>534</v>
      </c>
      <c r="C191">
        <f>SUMIF(Equipos!$Q$6:$Q$55,A190,Equipos!$O$6:$O$55)</f>
        <v>0</v>
      </c>
      <c r="D191" t="s">
        <v>535</v>
      </c>
      <c r="E191" s="444">
        <v>0.11</v>
      </c>
      <c r="N191" t="s">
        <v>534</v>
      </c>
      <c r="O191">
        <f>SUMIF(MATERIALES!$P$6:$P$44,M190,MATERIALES!$N$6:$N$44)</f>
        <v>0</v>
      </c>
      <c r="P191" t="s">
        <v>535</v>
      </c>
      <c r="Q191" s="444">
        <v>0.11</v>
      </c>
    </row>
    <row r="192" spans="1:17">
      <c r="B192" t="s">
        <v>536</v>
      </c>
      <c r="C192">
        <v>0</v>
      </c>
      <c r="D192" t="s">
        <v>537</v>
      </c>
      <c r="E192" s="445">
        <v>0</v>
      </c>
      <c r="N192" t="s">
        <v>536</v>
      </c>
      <c r="O192">
        <v>0</v>
      </c>
      <c r="P192" t="s">
        <v>537</v>
      </c>
      <c r="Q192" s="445">
        <v>0</v>
      </c>
    </row>
    <row r="193" spans="1:17">
      <c r="B193" t="s">
        <v>538</v>
      </c>
      <c r="C193">
        <v>0</v>
      </c>
      <c r="N193" t="s">
        <v>538</v>
      </c>
      <c r="O193">
        <v>0</v>
      </c>
    </row>
    <row r="195" spans="1:17">
      <c r="B195" t="s">
        <v>539</v>
      </c>
      <c r="C195">
        <f>C191-C192-C193</f>
        <v>0</v>
      </c>
      <c r="N195" t="s">
        <v>539</v>
      </c>
      <c r="O195">
        <f>O191-O192-O193</f>
        <v>0</v>
      </c>
    </row>
    <row r="196" spans="1:17">
      <c r="B196" t="s">
        <v>540</v>
      </c>
      <c r="C196">
        <v>4</v>
      </c>
      <c r="N196" t="s">
        <v>540</v>
      </c>
      <c r="O196">
        <v>4</v>
      </c>
    </row>
    <row r="197" spans="1:17">
      <c r="B197" t="s">
        <v>541</v>
      </c>
      <c r="C197">
        <f>C196*12</f>
        <v>48</v>
      </c>
      <c r="N197" t="s">
        <v>541</v>
      </c>
      <c r="O197">
        <f>O196*12</f>
        <v>48</v>
      </c>
    </row>
    <row r="199" spans="1:17">
      <c r="B199" t="s">
        <v>542</v>
      </c>
      <c r="C199" s="446">
        <f>-PMT(E191/12,C197,C195)</f>
        <v>0</v>
      </c>
      <c r="D199" t="s">
        <v>543</v>
      </c>
      <c r="E199">
        <f>C199*12</f>
        <v>0</v>
      </c>
      <c r="N199" t="s">
        <v>542</v>
      </c>
      <c r="O199" s="446">
        <f>-PMT(Q191/12,O197,O195)</f>
        <v>0</v>
      </c>
      <c r="P199" t="s">
        <v>543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544</v>
      </c>
      <c r="C203">
        <f>C199*C197</f>
        <v>0</v>
      </c>
      <c r="N203" t="s">
        <v>544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442">
        <v>13</v>
      </c>
      <c r="B207" s="551" t="s">
        <v>533</v>
      </c>
      <c r="C207" s="551"/>
      <c r="D207" s="551"/>
      <c r="E207" s="551"/>
      <c r="M207" s="442">
        <v>13</v>
      </c>
      <c r="N207" s="551" t="s">
        <v>533</v>
      </c>
      <c r="O207" s="551"/>
      <c r="P207" s="551"/>
      <c r="Q207" s="551"/>
    </row>
    <row r="208" spans="1:17">
      <c r="B208" t="s">
        <v>534</v>
      </c>
      <c r="C208">
        <f>SUMIF(Equipos!$Q$6:$Q$55,A207,Equipos!$O$6:$O$55)</f>
        <v>0</v>
      </c>
      <c r="D208" t="s">
        <v>535</v>
      </c>
      <c r="E208" s="444">
        <v>0.11</v>
      </c>
      <c r="N208" t="s">
        <v>534</v>
      </c>
      <c r="O208">
        <f>SUMIF(MATERIALES!$P$6:$P$44,M207,MATERIALES!$N$6:$N$44)</f>
        <v>0</v>
      </c>
      <c r="P208" t="s">
        <v>535</v>
      </c>
      <c r="Q208" s="444">
        <v>0.11</v>
      </c>
    </row>
    <row r="209" spans="1:17">
      <c r="B209" t="s">
        <v>536</v>
      </c>
      <c r="C209">
        <v>0</v>
      </c>
      <c r="D209" t="s">
        <v>537</v>
      </c>
      <c r="E209" s="445">
        <v>0</v>
      </c>
      <c r="N209" t="s">
        <v>536</v>
      </c>
      <c r="O209">
        <v>0</v>
      </c>
      <c r="P209" t="s">
        <v>537</v>
      </c>
      <c r="Q209" s="445">
        <v>0</v>
      </c>
    </row>
    <row r="210" spans="1:17">
      <c r="B210" t="s">
        <v>538</v>
      </c>
      <c r="C210">
        <v>0</v>
      </c>
      <c r="N210" t="s">
        <v>538</v>
      </c>
      <c r="O210">
        <v>0</v>
      </c>
    </row>
    <row r="212" spans="1:17">
      <c r="B212" t="s">
        <v>539</v>
      </c>
      <c r="C212">
        <f>C208-C209-C210</f>
        <v>0</v>
      </c>
      <c r="N212" t="s">
        <v>539</v>
      </c>
      <c r="O212">
        <f>O208-O209-O210</f>
        <v>0</v>
      </c>
    </row>
    <row r="213" spans="1:17">
      <c r="B213" t="s">
        <v>540</v>
      </c>
      <c r="C213">
        <v>4</v>
      </c>
      <c r="N213" t="s">
        <v>540</v>
      </c>
      <c r="O213">
        <v>4</v>
      </c>
    </row>
    <row r="214" spans="1:17">
      <c r="B214" t="s">
        <v>541</v>
      </c>
      <c r="C214">
        <f>C213*12</f>
        <v>48</v>
      </c>
      <c r="N214" t="s">
        <v>541</v>
      </c>
      <c r="O214">
        <f>O213*12</f>
        <v>48</v>
      </c>
    </row>
    <row r="216" spans="1:17">
      <c r="B216" t="s">
        <v>542</v>
      </c>
      <c r="C216" s="446">
        <f>-PMT(E208/12,C214,C212)</f>
        <v>0</v>
      </c>
      <c r="D216" t="s">
        <v>543</v>
      </c>
      <c r="E216">
        <f>C216*12</f>
        <v>0</v>
      </c>
      <c r="N216" t="s">
        <v>542</v>
      </c>
      <c r="O216" s="446">
        <f>-PMT(Q208/12,O214,O212)</f>
        <v>0</v>
      </c>
      <c r="P216" t="s">
        <v>543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544</v>
      </c>
      <c r="C220">
        <f>C216*C214</f>
        <v>0</v>
      </c>
      <c r="N220" t="s">
        <v>544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442">
        <v>14</v>
      </c>
      <c r="B224" s="551" t="s">
        <v>533</v>
      </c>
      <c r="C224" s="551"/>
      <c r="D224" s="551"/>
      <c r="E224" s="551"/>
      <c r="M224" s="442">
        <v>14</v>
      </c>
      <c r="N224" s="551" t="s">
        <v>533</v>
      </c>
      <c r="O224" s="551"/>
      <c r="P224" s="551"/>
      <c r="Q224" s="551"/>
    </row>
    <row r="225" spans="2:17">
      <c r="B225" t="s">
        <v>534</v>
      </c>
      <c r="C225">
        <f>SUMIF(Equipos!$Q$6:$Q$55,A224,Equipos!$O$6:$O$55)</f>
        <v>0</v>
      </c>
      <c r="D225" t="s">
        <v>535</v>
      </c>
      <c r="E225" s="444">
        <v>0.11</v>
      </c>
      <c r="N225" t="s">
        <v>534</v>
      </c>
      <c r="O225">
        <f>SUMIF(MATERIALES!$P$6:$P$44,M224,MATERIALES!$N$6:$N$44)</f>
        <v>0</v>
      </c>
      <c r="P225" t="s">
        <v>535</v>
      </c>
      <c r="Q225" s="444">
        <v>0.11</v>
      </c>
    </row>
    <row r="226" spans="2:17">
      <c r="B226" t="s">
        <v>536</v>
      </c>
      <c r="C226">
        <v>0</v>
      </c>
      <c r="D226" t="s">
        <v>537</v>
      </c>
      <c r="E226" s="445">
        <v>0</v>
      </c>
      <c r="N226" t="s">
        <v>536</v>
      </c>
      <c r="O226">
        <v>0</v>
      </c>
      <c r="P226" t="s">
        <v>537</v>
      </c>
      <c r="Q226" s="445">
        <v>0</v>
      </c>
    </row>
    <row r="227" spans="2:17">
      <c r="B227" t="s">
        <v>538</v>
      </c>
      <c r="C227">
        <v>0</v>
      </c>
      <c r="N227" t="s">
        <v>538</v>
      </c>
      <c r="O227">
        <v>0</v>
      </c>
    </row>
    <row r="229" spans="2:17">
      <c r="B229" t="s">
        <v>539</v>
      </c>
      <c r="C229">
        <f>C225-C226-C227</f>
        <v>0</v>
      </c>
      <c r="N229" t="s">
        <v>539</v>
      </c>
      <c r="O229">
        <f>O225-O226-O227</f>
        <v>0</v>
      </c>
    </row>
    <row r="230" spans="2:17">
      <c r="B230" t="s">
        <v>540</v>
      </c>
      <c r="C230">
        <v>4</v>
      </c>
      <c r="N230" t="s">
        <v>540</v>
      </c>
      <c r="O230">
        <v>4</v>
      </c>
    </row>
    <row r="231" spans="2:17">
      <c r="B231" t="s">
        <v>541</v>
      </c>
      <c r="C231">
        <f>C230*12</f>
        <v>48</v>
      </c>
      <c r="N231" t="s">
        <v>541</v>
      </c>
      <c r="O231">
        <f>O230*12</f>
        <v>48</v>
      </c>
    </row>
    <row r="233" spans="2:17">
      <c r="B233" t="s">
        <v>542</v>
      </c>
      <c r="C233" s="446">
        <f>-PMT(E225/12,C231,C229)</f>
        <v>0</v>
      </c>
      <c r="D233" t="s">
        <v>543</v>
      </c>
      <c r="E233">
        <f>C233*12</f>
        <v>0</v>
      </c>
      <c r="N233" t="s">
        <v>542</v>
      </c>
      <c r="O233" s="446">
        <f>-PMT(Q225/12,O231,O229)</f>
        <v>0</v>
      </c>
      <c r="P233" t="s">
        <v>543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544</v>
      </c>
      <c r="C237">
        <f>C233*C231</f>
        <v>0</v>
      </c>
      <c r="N237" t="s">
        <v>544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442">
        <v>15</v>
      </c>
      <c r="B241" s="551" t="s">
        <v>533</v>
      </c>
      <c r="C241" s="551"/>
      <c r="D241" s="551"/>
      <c r="E241" s="551"/>
      <c r="M241" s="442">
        <v>15</v>
      </c>
      <c r="N241" s="551" t="s">
        <v>533</v>
      </c>
      <c r="O241" s="551"/>
      <c r="P241" s="551"/>
      <c r="Q241" s="551"/>
    </row>
    <row r="242" spans="1:17">
      <c r="B242" t="s">
        <v>534</v>
      </c>
      <c r="C242">
        <f>SUMIF(Equipos!$Q$6:$Q$55,A241,Equipos!$O$6:$O$55)</f>
        <v>0</v>
      </c>
      <c r="D242" t="s">
        <v>535</v>
      </c>
      <c r="E242" s="444">
        <v>0.11</v>
      </c>
      <c r="N242" t="s">
        <v>534</v>
      </c>
      <c r="O242">
        <f>SUMIF(MATERIALES!$P$6:$P$44,M241,MATERIALES!$N$6:$N$44)</f>
        <v>0</v>
      </c>
      <c r="P242" t="s">
        <v>535</v>
      </c>
      <c r="Q242" s="444">
        <v>0.11</v>
      </c>
    </row>
    <row r="243" spans="1:17">
      <c r="B243" t="s">
        <v>536</v>
      </c>
      <c r="C243">
        <v>0</v>
      </c>
      <c r="D243" t="s">
        <v>537</v>
      </c>
      <c r="E243" s="445">
        <v>0</v>
      </c>
      <c r="N243" t="s">
        <v>536</v>
      </c>
      <c r="O243">
        <v>0</v>
      </c>
      <c r="P243" t="s">
        <v>537</v>
      </c>
      <c r="Q243" s="445">
        <v>0</v>
      </c>
    </row>
    <row r="244" spans="1:17">
      <c r="B244" t="s">
        <v>538</v>
      </c>
      <c r="C244">
        <v>0</v>
      </c>
      <c r="N244" t="s">
        <v>538</v>
      </c>
      <c r="O244">
        <v>0</v>
      </c>
    </row>
    <row r="246" spans="1:17">
      <c r="B246" t="s">
        <v>539</v>
      </c>
      <c r="C246">
        <f>C242-C243-C244</f>
        <v>0</v>
      </c>
      <c r="N246" t="s">
        <v>539</v>
      </c>
      <c r="O246">
        <f>O242-O243-O244</f>
        <v>0</v>
      </c>
    </row>
    <row r="247" spans="1:17">
      <c r="B247" t="s">
        <v>540</v>
      </c>
      <c r="C247">
        <v>4</v>
      </c>
      <c r="N247" t="s">
        <v>540</v>
      </c>
      <c r="O247">
        <v>4</v>
      </c>
    </row>
    <row r="248" spans="1:17">
      <c r="B248" t="s">
        <v>541</v>
      </c>
      <c r="C248">
        <f>C247*12</f>
        <v>48</v>
      </c>
      <c r="N248" t="s">
        <v>541</v>
      </c>
      <c r="O248">
        <f>O247*12</f>
        <v>48</v>
      </c>
    </row>
    <row r="250" spans="1:17">
      <c r="B250" t="s">
        <v>542</v>
      </c>
      <c r="C250" s="446">
        <f>-PMT(E242/12,C248,C246)</f>
        <v>0</v>
      </c>
      <c r="D250" t="s">
        <v>543</v>
      </c>
      <c r="E250">
        <f>C250*12</f>
        <v>0</v>
      </c>
      <c r="N250" t="s">
        <v>542</v>
      </c>
      <c r="O250" s="446">
        <f>-PMT(Q242/12,O248,O246)</f>
        <v>0</v>
      </c>
      <c r="P250" t="s">
        <v>543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544</v>
      </c>
      <c r="C254">
        <f>C250*C248</f>
        <v>0</v>
      </c>
      <c r="N254" t="s">
        <v>544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442">
        <v>16</v>
      </c>
      <c r="B258" s="551" t="s">
        <v>533</v>
      </c>
      <c r="C258" s="551"/>
      <c r="D258" s="551"/>
      <c r="E258" s="551"/>
      <c r="M258" s="442">
        <v>16</v>
      </c>
      <c r="N258" s="551" t="s">
        <v>533</v>
      </c>
      <c r="O258" s="551"/>
      <c r="P258" s="551"/>
      <c r="Q258" s="551"/>
    </row>
    <row r="259" spans="1:17">
      <c r="B259" t="s">
        <v>534</v>
      </c>
      <c r="C259">
        <f>SUMIF(Equipos!$Q$6:$Q$55,A258,Equipos!$O$6:$O$55)</f>
        <v>0</v>
      </c>
      <c r="D259" t="s">
        <v>535</v>
      </c>
      <c r="E259" s="444">
        <v>0.11</v>
      </c>
      <c r="N259" t="s">
        <v>534</v>
      </c>
      <c r="O259">
        <f>SUMIF(MATERIALES!$P$6:$P$44,M258,MATERIALES!$N$6:$N$44)</f>
        <v>0</v>
      </c>
      <c r="P259" t="s">
        <v>535</v>
      </c>
      <c r="Q259" s="444">
        <v>0.11</v>
      </c>
    </row>
    <row r="260" spans="1:17">
      <c r="B260" t="s">
        <v>536</v>
      </c>
      <c r="C260">
        <v>0</v>
      </c>
      <c r="D260" t="s">
        <v>537</v>
      </c>
      <c r="E260" s="445">
        <v>0</v>
      </c>
      <c r="N260" t="s">
        <v>536</v>
      </c>
      <c r="O260">
        <v>0</v>
      </c>
      <c r="P260" t="s">
        <v>537</v>
      </c>
      <c r="Q260" s="445">
        <v>0</v>
      </c>
    </row>
    <row r="261" spans="1:17">
      <c r="B261" t="s">
        <v>538</v>
      </c>
      <c r="C261">
        <v>0</v>
      </c>
      <c r="N261" t="s">
        <v>538</v>
      </c>
      <c r="O261">
        <v>0</v>
      </c>
    </row>
    <row r="263" spans="1:17">
      <c r="B263" t="s">
        <v>539</v>
      </c>
      <c r="C263">
        <f>C259-C260-C261</f>
        <v>0</v>
      </c>
      <c r="N263" t="s">
        <v>539</v>
      </c>
      <c r="O263">
        <f>O259-O260-O261</f>
        <v>0</v>
      </c>
    </row>
    <row r="264" spans="1:17">
      <c r="B264" t="s">
        <v>540</v>
      </c>
      <c r="C264">
        <v>4</v>
      </c>
      <c r="N264" t="s">
        <v>540</v>
      </c>
      <c r="O264">
        <v>4</v>
      </c>
    </row>
    <row r="265" spans="1:17">
      <c r="B265" t="s">
        <v>541</v>
      </c>
      <c r="C265">
        <f>C264*12</f>
        <v>48</v>
      </c>
      <c r="N265" t="s">
        <v>541</v>
      </c>
      <c r="O265">
        <f>O264*12</f>
        <v>48</v>
      </c>
    </row>
    <row r="267" spans="1:17">
      <c r="B267" t="s">
        <v>542</v>
      </c>
      <c r="C267" s="446">
        <f>-PMT(E259/12,C265,C263)</f>
        <v>0</v>
      </c>
      <c r="D267" t="s">
        <v>543</v>
      </c>
      <c r="E267">
        <f>C267*12</f>
        <v>0</v>
      </c>
      <c r="N267" t="s">
        <v>542</v>
      </c>
      <c r="O267" s="446">
        <f>-PMT(Q259/12,O265,O263)</f>
        <v>0</v>
      </c>
      <c r="P267" t="s">
        <v>543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544</v>
      </c>
      <c r="C271">
        <f>C267*C265</f>
        <v>0</v>
      </c>
      <c r="N271" t="s">
        <v>544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442">
        <v>17</v>
      </c>
      <c r="B275" s="551" t="s">
        <v>533</v>
      </c>
      <c r="C275" s="551"/>
      <c r="D275" s="551"/>
      <c r="E275" s="551"/>
      <c r="M275" s="442">
        <v>17</v>
      </c>
      <c r="N275" s="551" t="s">
        <v>533</v>
      </c>
      <c r="O275" s="551"/>
      <c r="P275" s="551"/>
      <c r="Q275" s="551"/>
    </row>
    <row r="276" spans="1:17">
      <c r="B276" t="s">
        <v>534</v>
      </c>
      <c r="C276">
        <f>SUMIF(Equipos!$Q$6:$Q$55,A275,Equipos!$O$6:$O$55)</f>
        <v>0</v>
      </c>
      <c r="D276" t="s">
        <v>535</v>
      </c>
      <c r="E276" s="444">
        <v>0.11</v>
      </c>
      <c r="N276" t="s">
        <v>534</v>
      </c>
      <c r="O276">
        <f>SUMIF(MATERIALES!$P$6:$P$44,M275,MATERIALES!$N$6:$N$44)</f>
        <v>0</v>
      </c>
      <c r="P276" t="s">
        <v>535</v>
      </c>
      <c r="Q276" s="444">
        <v>0.11</v>
      </c>
    </row>
    <row r="277" spans="1:17">
      <c r="B277" t="s">
        <v>536</v>
      </c>
      <c r="C277">
        <v>0</v>
      </c>
      <c r="D277" t="s">
        <v>537</v>
      </c>
      <c r="E277" s="445">
        <v>0</v>
      </c>
      <c r="N277" t="s">
        <v>536</v>
      </c>
      <c r="O277">
        <v>0</v>
      </c>
      <c r="P277" t="s">
        <v>537</v>
      </c>
      <c r="Q277" s="445">
        <v>0</v>
      </c>
    </row>
    <row r="278" spans="1:17">
      <c r="B278" t="s">
        <v>538</v>
      </c>
      <c r="C278">
        <v>0</v>
      </c>
      <c r="N278" t="s">
        <v>538</v>
      </c>
      <c r="O278">
        <v>0</v>
      </c>
    </row>
    <row r="280" spans="1:17">
      <c r="B280" t="s">
        <v>539</v>
      </c>
      <c r="C280">
        <f>C276-C277-C278</f>
        <v>0</v>
      </c>
      <c r="N280" t="s">
        <v>539</v>
      </c>
      <c r="O280">
        <f>O276-O277-O278</f>
        <v>0</v>
      </c>
    </row>
    <row r="281" spans="1:17">
      <c r="B281" t="s">
        <v>540</v>
      </c>
      <c r="C281">
        <v>4</v>
      </c>
      <c r="N281" t="s">
        <v>540</v>
      </c>
      <c r="O281">
        <v>4</v>
      </c>
    </row>
    <row r="282" spans="1:17">
      <c r="B282" t="s">
        <v>541</v>
      </c>
      <c r="C282">
        <f>C281*12</f>
        <v>48</v>
      </c>
      <c r="N282" t="s">
        <v>541</v>
      </c>
      <c r="O282">
        <f>O281*12</f>
        <v>48</v>
      </c>
    </row>
    <row r="284" spans="1:17">
      <c r="B284" t="s">
        <v>542</v>
      </c>
      <c r="C284" s="446">
        <f>-PMT(E276/12,C282,C280)</f>
        <v>0</v>
      </c>
      <c r="D284" t="s">
        <v>543</v>
      </c>
      <c r="E284">
        <f>C284*12</f>
        <v>0</v>
      </c>
      <c r="N284" t="s">
        <v>542</v>
      </c>
      <c r="O284" s="446">
        <f>-PMT(Q276/12,O282,O280)</f>
        <v>0</v>
      </c>
      <c r="P284" t="s">
        <v>543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544</v>
      </c>
      <c r="C288">
        <f>C284*C282</f>
        <v>0</v>
      </c>
      <c r="N288" t="s">
        <v>544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442">
        <v>18</v>
      </c>
      <c r="B292" s="551" t="s">
        <v>533</v>
      </c>
      <c r="C292" s="551"/>
      <c r="D292" s="551"/>
      <c r="E292" s="551"/>
      <c r="M292" s="442">
        <v>18</v>
      </c>
      <c r="N292" s="551" t="s">
        <v>533</v>
      </c>
      <c r="O292" s="551"/>
      <c r="P292" s="551"/>
      <c r="Q292" s="551"/>
    </row>
    <row r="293" spans="1:17">
      <c r="B293" t="s">
        <v>534</v>
      </c>
      <c r="C293">
        <f>SUMIF(Equipos!$Q$6:$Q$55,A292,Equipos!$O$6:$O$55)</f>
        <v>0</v>
      </c>
      <c r="D293" t="s">
        <v>535</v>
      </c>
      <c r="E293" s="444">
        <v>0.11</v>
      </c>
      <c r="N293" t="s">
        <v>534</v>
      </c>
      <c r="O293">
        <f>SUMIF(MATERIALES!$P$6:$P$44,M292,MATERIALES!$N$6:$N$44)</f>
        <v>0</v>
      </c>
      <c r="P293" t="s">
        <v>535</v>
      </c>
      <c r="Q293" s="444">
        <v>0.11</v>
      </c>
    </row>
    <row r="294" spans="1:17">
      <c r="B294" t="s">
        <v>536</v>
      </c>
      <c r="C294">
        <v>0</v>
      </c>
      <c r="D294" t="s">
        <v>537</v>
      </c>
      <c r="E294" s="445">
        <v>0</v>
      </c>
      <c r="N294" t="s">
        <v>536</v>
      </c>
      <c r="O294">
        <v>0</v>
      </c>
      <c r="P294" t="s">
        <v>537</v>
      </c>
      <c r="Q294" s="445">
        <v>0</v>
      </c>
    </row>
    <row r="295" spans="1:17">
      <c r="B295" t="s">
        <v>538</v>
      </c>
      <c r="C295">
        <v>0</v>
      </c>
      <c r="N295" t="s">
        <v>538</v>
      </c>
      <c r="O295">
        <v>0</v>
      </c>
    </row>
    <row r="297" spans="1:17">
      <c r="B297" t="s">
        <v>539</v>
      </c>
      <c r="C297">
        <f>C293-C294-C295</f>
        <v>0</v>
      </c>
      <c r="N297" t="s">
        <v>539</v>
      </c>
      <c r="O297">
        <f>O293-O294-O295</f>
        <v>0</v>
      </c>
    </row>
    <row r="298" spans="1:17">
      <c r="B298" t="s">
        <v>540</v>
      </c>
      <c r="C298">
        <v>4</v>
      </c>
      <c r="N298" t="s">
        <v>540</v>
      </c>
      <c r="O298">
        <v>4</v>
      </c>
    </row>
    <row r="299" spans="1:17">
      <c r="B299" t="s">
        <v>541</v>
      </c>
      <c r="C299">
        <f>C298*12</f>
        <v>48</v>
      </c>
      <c r="N299" t="s">
        <v>541</v>
      </c>
      <c r="O299">
        <f>O298*12</f>
        <v>48</v>
      </c>
    </row>
    <row r="301" spans="1:17">
      <c r="B301" t="s">
        <v>542</v>
      </c>
      <c r="C301" s="446">
        <f>-PMT(E293/12,C299,C297)</f>
        <v>0</v>
      </c>
      <c r="D301" t="s">
        <v>543</v>
      </c>
      <c r="E301">
        <f>C301*12</f>
        <v>0</v>
      </c>
      <c r="N301" t="s">
        <v>542</v>
      </c>
      <c r="O301" s="446">
        <f>-PMT(Q293/12,O299,O297)</f>
        <v>0</v>
      </c>
      <c r="P301" t="s">
        <v>543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544</v>
      </c>
      <c r="C305">
        <f>C301*C299</f>
        <v>0</v>
      </c>
      <c r="N305" t="s">
        <v>544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442">
        <v>19</v>
      </c>
      <c r="B309" s="551" t="s">
        <v>533</v>
      </c>
      <c r="C309" s="551"/>
      <c r="D309" s="551"/>
      <c r="E309" s="551"/>
      <c r="M309" s="442">
        <v>19</v>
      </c>
      <c r="N309" s="551" t="s">
        <v>533</v>
      </c>
      <c r="O309" s="551"/>
      <c r="P309" s="551"/>
      <c r="Q309" s="551"/>
    </row>
    <row r="310" spans="1:17">
      <c r="B310" t="s">
        <v>534</v>
      </c>
      <c r="C310">
        <f>SUMIF(Equipos!$Q$6:$Q$55,A309,Equipos!$O$6:$O$55)</f>
        <v>0</v>
      </c>
      <c r="D310" t="s">
        <v>535</v>
      </c>
      <c r="E310" s="444">
        <v>0.11</v>
      </c>
      <c r="N310" t="s">
        <v>534</v>
      </c>
      <c r="O310">
        <f>SUMIF(MATERIALES!$P$6:$P$44,M309,MATERIALES!$N$6:$N$44)</f>
        <v>0</v>
      </c>
      <c r="P310" t="s">
        <v>535</v>
      </c>
      <c r="Q310" s="444">
        <v>0.11</v>
      </c>
    </row>
    <row r="311" spans="1:17">
      <c r="B311" t="s">
        <v>536</v>
      </c>
      <c r="C311">
        <v>0</v>
      </c>
      <c r="D311" t="s">
        <v>537</v>
      </c>
      <c r="E311" s="445">
        <v>0</v>
      </c>
      <c r="N311" t="s">
        <v>536</v>
      </c>
      <c r="O311">
        <v>0</v>
      </c>
      <c r="P311" t="s">
        <v>537</v>
      </c>
      <c r="Q311" s="445">
        <v>0</v>
      </c>
    </row>
    <row r="312" spans="1:17">
      <c r="B312" t="s">
        <v>538</v>
      </c>
      <c r="C312">
        <v>0</v>
      </c>
      <c r="N312" t="s">
        <v>538</v>
      </c>
      <c r="O312">
        <v>0</v>
      </c>
    </row>
    <row r="314" spans="1:17">
      <c r="B314" t="s">
        <v>539</v>
      </c>
      <c r="C314">
        <f>C310-C311-C312</f>
        <v>0</v>
      </c>
      <c r="N314" t="s">
        <v>539</v>
      </c>
      <c r="O314">
        <f>O310-O311-O312</f>
        <v>0</v>
      </c>
    </row>
    <row r="315" spans="1:17">
      <c r="B315" t="s">
        <v>540</v>
      </c>
      <c r="C315">
        <v>4</v>
      </c>
      <c r="N315" t="s">
        <v>540</v>
      </c>
      <c r="O315">
        <v>4</v>
      </c>
    </row>
    <row r="316" spans="1:17">
      <c r="B316" t="s">
        <v>541</v>
      </c>
      <c r="C316">
        <f>C315*12</f>
        <v>48</v>
      </c>
      <c r="N316" t="s">
        <v>541</v>
      </c>
      <c r="O316">
        <f>O315*12</f>
        <v>48</v>
      </c>
    </row>
    <row r="318" spans="1:17">
      <c r="B318" t="s">
        <v>542</v>
      </c>
      <c r="C318" s="446">
        <f>-PMT(E310/12,C316,C314)</f>
        <v>0</v>
      </c>
      <c r="D318" t="s">
        <v>543</v>
      </c>
      <c r="E318">
        <f>C318*12</f>
        <v>0</v>
      </c>
      <c r="N318" t="s">
        <v>542</v>
      </c>
      <c r="O318" s="446">
        <f>-PMT(Q310/12,O316,O314)</f>
        <v>0</v>
      </c>
      <c r="P318" t="s">
        <v>543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544</v>
      </c>
      <c r="C322">
        <f>C318*C316</f>
        <v>0</v>
      </c>
      <c r="N322" t="s">
        <v>544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442">
        <v>20</v>
      </c>
      <c r="B326" s="551" t="s">
        <v>533</v>
      </c>
      <c r="C326" s="551"/>
      <c r="D326" s="551"/>
      <c r="E326" s="551"/>
      <c r="M326" s="442">
        <v>20</v>
      </c>
      <c r="N326" s="551" t="s">
        <v>533</v>
      </c>
      <c r="O326" s="551"/>
      <c r="P326" s="551"/>
      <c r="Q326" s="551"/>
    </row>
    <row r="327" spans="1:17">
      <c r="B327" t="s">
        <v>534</v>
      </c>
      <c r="C327">
        <f>SUMIF(Equipos!$Q$6:$Q$55,A326,Equipos!$O$6:$O$55)</f>
        <v>0</v>
      </c>
      <c r="D327" t="s">
        <v>535</v>
      </c>
      <c r="E327" s="444">
        <v>0.11</v>
      </c>
      <c r="N327" t="s">
        <v>534</v>
      </c>
      <c r="O327">
        <f>SUMIF(MATERIALES!$P$6:$P$44,M326,MATERIALES!$N$6:$N$44)</f>
        <v>0</v>
      </c>
      <c r="P327" t="s">
        <v>535</v>
      </c>
      <c r="Q327" s="444">
        <v>0.11</v>
      </c>
    </row>
    <row r="328" spans="1:17">
      <c r="B328" t="s">
        <v>536</v>
      </c>
      <c r="C328">
        <v>0</v>
      </c>
      <c r="D328" t="s">
        <v>537</v>
      </c>
      <c r="E328" s="445">
        <v>0</v>
      </c>
      <c r="N328" t="s">
        <v>536</v>
      </c>
      <c r="O328">
        <v>0</v>
      </c>
      <c r="P328" t="s">
        <v>537</v>
      </c>
      <c r="Q328" s="445">
        <v>0</v>
      </c>
    </row>
    <row r="329" spans="1:17">
      <c r="B329" t="s">
        <v>538</v>
      </c>
      <c r="C329">
        <v>0</v>
      </c>
      <c r="N329" t="s">
        <v>538</v>
      </c>
      <c r="O329">
        <v>0</v>
      </c>
    </row>
    <row r="331" spans="1:17">
      <c r="B331" t="s">
        <v>539</v>
      </c>
      <c r="C331">
        <f>C327-C328-C329</f>
        <v>0</v>
      </c>
      <c r="N331" t="s">
        <v>539</v>
      </c>
      <c r="O331">
        <f>O327-O328-O329</f>
        <v>0</v>
      </c>
    </row>
    <row r="332" spans="1:17">
      <c r="B332" t="s">
        <v>540</v>
      </c>
      <c r="C332">
        <v>4</v>
      </c>
      <c r="N332" t="s">
        <v>540</v>
      </c>
      <c r="O332">
        <v>4</v>
      </c>
    </row>
    <row r="333" spans="1:17">
      <c r="B333" t="s">
        <v>541</v>
      </c>
      <c r="C333">
        <f>C332*12</f>
        <v>48</v>
      </c>
      <c r="N333" t="s">
        <v>541</v>
      </c>
      <c r="O333">
        <f>O332*12</f>
        <v>48</v>
      </c>
    </row>
    <row r="335" spans="1:17">
      <c r="B335" t="s">
        <v>542</v>
      </c>
      <c r="C335" s="446">
        <f>-PMT(E327/12,C333,C331)</f>
        <v>0</v>
      </c>
      <c r="D335" t="s">
        <v>543</v>
      </c>
      <c r="E335">
        <f>C335*12</f>
        <v>0</v>
      </c>
      <c r="N335" t="s">
        <v>542</v>
      </c>
      <c r="O335" s="446">
        <f>-PMT(Q327/12,O333,O331)</f>
        <v>0</v>
      </c>
      <c r="P335" t="s">
        <v>543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544</v>
      </c>
      <c r="C339">
        <f>C335*C333</f>
        <v>0</v>
      </c>
      <c r="N339" t="s">
        <v>544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442">
        <v>21</v>
      </c>
      <c r="B343" s="551" t="s">
        <v>533</v>
      </c>
      <c r="C343" s="551"/>
      <c r="D343" s="551"/>
      <c r="E343" s="551"/>
      <c r="M343" s="442">
        <v>21</v>
      </c>
      <c r="N343" s="551" t="s">
        <v>533</v>
      </c>
      <c r="O343" s="551"/>
      <c r="P343" s="551"/>
      <c r="Q343" s="551"/>
    </row>
    <row r="344" spans="1:17">
      <c r="B344" t="s">
        <v>534</v>
      </c>
      <c r="C344">
        <f>SUMIF(Equipos!$Q$6:$Q$55,A343,Equipos!$O$6:$O$55)</f>
        <v>0</v>
      </c>
      <c r="D344" t="s">
        <v>535</v>
      </c>
      <c r="E344" s="444">
        <v>0.11</v>
      </c>
      <c r="N344" t="s">
        <v>534</v>
      </c>
      <c r="O344">
        <f>SUMIF(MATERIALES!$P$6:$P$44,M343,MATERIALES!$N$6:$N$44)</f>
        <v>0</v>
      </c>
      <c r="P344" t="s">
        <v>535</v>
      </c>
      <c r="Q344" s="444">
        <v>0.11</v>
      </c>
    </row>
    <row r="345" spans="1:17">
      <c r="B345" t="s">
        <v>536</v>
      </c>
      <c r="C345">
        <v>0</v>
      </c>
      <c r="D345" t="s">
        <v>537</v>
      </c>
      <c r="E345" s="445">
        <v>0</v>
      </c>
      <c r="N345" t="s">
        <v>536</v>
      </c>
      <c r="O345">
        <v>0</v>
      </c>
      <c r="P345" t="s">
        <v>537</v>
      </c>
      <c r="Q345" s="445">
        <v>0</v>
      </c>
    </row>
    <row r="346" spans="1:17">
      <c r="B346" t="s">
        <v>538</v>
      </c>
      <c r="C346">
        <v>0</v>
      </c>
      <c r="N346" t="s">
        <v>538</v>
      </c>
      <c r="O346">
        <v>0</v>
      </c>
    </row>
    <row r="348" spans="1:17">
      <c r="B348" t="s">
        <v>539</v>
      </c>
      <c r="C348">
        <f>C344-C345-C346</f>
        <v>0</v>
      </c>
      <c r="N348" t="s">
        <v>539</v>
      </c>
      <c r="O348">
        <f>O344-O345-O346</f>
        <v>0</v>
      </c>
    </row>
    <row r="349" spans="1:17">
      <c r="B349" t="s">
        <v>540</v>
      </c>
      <c r="C349">
        <v>4</v>
      </c>
      <c r="N349" t="s">
        <v>540</v>
      </c>
      <c r="O349">
        <v>4</v>
      </c>
    </row>
    <row r="350" spans="1:17">
      <c r="B350" t="s">
        <v>541</v>
      </c>
      <c r="C350">
        <f>C349*12</f>
        <v>48</v>
      </c>
      <c r="N350" t="s">
        <v>541</v>
      </c>
      <c r="O350">
        <f>O349*12</f>
        <v>48</v>
      </c>
    </row>
    <row r="352" spans="1:17">
      <c r="B352" t="s">
        <v>542</v>
      </c>
      <c r="C352" s="446">
        <f>-PMT(E344/12,C350,C348)</f>
        <v>0</v>
      </c>
      <c r="D352" t="s">
        <v>543</v>
      </c>
      <c r="E352">
        <f>C352*12</f>
        <v>0</v>
      </c>
      <c r="N352" t="s">
        <v>542</v>
      </c>
      <c r="O352" s="446">
        <f>-PMT(Q344/12,O350,O348)</f>
        <v>0</v>
      </c>
      <c r="P352" t="s">
        <v>543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544</v>
      </c>
      <c r="C356">
        <f>C352*C350</f>
        <v>0</v>
      </c>
      <c r="N356" t="s">
        <v>544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442">
        <v>22</v>
      </c>
      <c r="B360" s="551" t="s">
        <v>533</v>
      </c>
      <c r="C360" s="551"/>
      <c r="D360" s="551"/>
      <c r="E360" s="551"/>
      <c r="M360" s="442">
        <v>22</v>
      </c>
      <c r="N360" s="551" t="s">
        <v>533</v>
      </c>
      <c r="O360" s="551"/>
      <c r="P360" s="551"/>
      <c r="Q360" s="551"/>
    </row>
    <row r="361" spans="1:17">
      <c r="B361" t="s">
        <v>534</v>
      </c>
      <c r="C361">
        <f>SUMIF(Equipos!$Q$6:$Q$55,A360,Equipos!$O$6:$O$55)</f>
        <v>0</v>
      </c>
      <c r="D361" t="s">
        <v>535</v>
      </c>
      <c r="E361" s="444">
        <v>0.11</v>
      </c>
      <c r="N361" t="s">
        <v>534</v>
      </c>
      <c r="O361">
        <f>SUMIF(MATERIALES!$P$6:$P$44,M360,MATERIALES!$N$6:$N$44)</f>
        <v>0</v>
      </c>
      <c r="P361" t="s">
        <v>535</v>
      </c>
      <c r="Q361" s="444">
        <v>0.11</v>
      </c>
    </row>
    <row r="362" spans="1:17">
      <c r="B362" t="s">
        <v>536</v>
      </c>
      <c r="C362">
        <v>0</v>
      </c>
      <c r="D362" t="s">
        <v>537</v>
      </c>
      <c r="E362" s="445">
        <v>0</v>
      </c>
      <c r="N362" t="s">
        <v>536</v>
      </c>
      <c r="O362">
        <v>0</v>
      </c>
      <c r="P362" t="s">
        <v>537</v>
      </c>
      <c r="Q362" s="445">
        <v>0</v>
      </c>
    </row>
    <row r="363" spans="1:17">
      <c r="B363" t="s">
        <v>538</v>
      </c>
      <c r="C363">
        <v>0</v>
      </c>
      <c r="N363" t="s">
        <v>538</v>
      </c>
      <c r="O363">
        <v>0</v>
      </c>
    </row>
    <row r="365" spans="1:17">
      <c r="B365" t="s">
        <v>539</v>
      </c>
      <c r="C365">
        <f>C361-C362-C363</f>
        <v>0</v>
      </c>
      <c r="N365" t="s">
        <v>539</v>
      </c>
      <c r="O365">
        <f>O361-O362-O363</f>
        <v>0</v>
      </c>
    </row>
    <row r="366" spans="1:17">
      <c r="B366" t="s">
        <v>540</v>
      </c>
      <c r="C366">
        <v>4</v>
      </c>
      <c r="N366" t="s">
        <v>540</v>
      </c>
      <c r="O366">
        <v>4</v>
      </c>
    </row>
    <row r="367" spans="1:17">
      <c r="B367" t="s">
        <v>541</v>
      </c>
      <c r="C367">
        <f>C366*12</f>
        <v>48</v>
      </c>
      <c r="N367" t="s">
        <v>541</v>
      </c>
      <c r="O367">
        <f>O366*12</f>
        <v>48</v>
      </c>
    </row>
    <row r="369" spans="1:17">
      <c r="B369" t="s">
        <v>542</v>
      </c>
      <c r="C369" s="446">
        <f>-PMT(E361/12,C367,C365)</f>
        <v>0</v>
      </c>
      <c r="D369" t="s">
        <v>543</v>
      </c>
      <c r="E369">
        <f>C369*12</f>
        <v>0</v>
      </c>
      <c r="N369" t="s">
        <v>542</v>
      </c>
      <c r="O369" s="446">
        <f>-PMT(Q361/12,O367,O365)</f>
        <v>0</v>
      </c>
      <c r="P369" t="s">
        <v>543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544</v>
      </c>
      <c r="C373">
        <f>C369*C367</f>
        <v>0</v>
      </c>
      <c r="N373" t="s">
        <v>544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442">
        <v>23</v>
      </c>
      <c r="B377" s="551" t="s">
        <v>533</v>
      </c>
      <c r="C377" s="551"/>
      <c r="D377" s="551"/>
      <c r="E377" s="551"/>
      <c r="M377" s="442">
        <v>23</v>
      </c>
      <c r="N377" s="551" t="s">
        <v>533</v>
      </c>
      <c r="O377" s="551"/>
      <c r="P377" s="551"/>
      <c r="Q377" s="551"/>
    </row>
    <row r="378" spans="1:17">
      <c r="B378" t="s">
        <v>534</v>
      </c>
      <c r="C378">
        <f>SUMIF(Equipos!$Q$6:$Q$55,A377,Equipos!$O$6:$O$55)</f>
        <v>0</v>
      </c>
      <c r="D378" t="s">
        <v>535</v>
      </c>
      <c r="E378" s="444">
        <v>0.11</v>
      </c>
      <c r="N378" t="s">
        <v>534</v>
      </c>
      <c r="O378">
        <f>SUMIF(MATERIALES!$P$6:$P$44,M377,MATERIALES!$N$6:$N$44)</f>
        <v>0</v>
      </c>
      <c r="P378" t="s">
        <v>535</v>
      </c>
      <c r="Q378" s="444">
        <v>0.11</v>
      </c>
    </row>
    <row r="379" spans="1:17">
      <c r="B379" t="s">
        <v>536</v>
      </c>
      <c r="C379">
        <v>0</v>
      </c>
      <c r="D379" t="s">
        <v>537</v>
      </c>
      <c r="E379" s="445">
        <v>0</v>
      </c>
      <c r="N379" t="s">
        <v>536</v>
      </c>
      <c r="O379">
        <v>0</v>
      </c>
      <c r="P379" t="s">
        <v>537</v>
      </c>
      <c r="Q379" s="445">
        <v>0</v>
      </c>
    </row>
    <row r="380" spans="1:17">
      <c r="B380" t="s">
        <v>538</v>
      </c>
      <c r="C380">
        <v>0</v>
      </c>
      <c r="N380" t="s">
        <v>538</v>
      </c>
      <c r="O380">
        <v>0</v>
      </c>
    </row>
    <row r="382" spans="1:17">
      <c r="B382" t="s">
        <v>539</v>
      </c>
      <c r="C382">
        <f>C378-C379-C380</f>
        <v>0</v>
      </c>
      <c r="N382" t="s">
        <v>539</v>
      </c>
      <c r="O382">
        <f>O378-O379-O380</f>
        <v>0</v>
      </c>
    </row>
    <row r="383" spans="1:17">
      <c r="B383" t="s">
        <v>540</v>
      </c>
      <c r="C383">
        <v>4</v>
      </c>
      <c r="N383" t="s">
        <v>540</v>
      </c>
      <c r="O383">
        <v>4</v>
      </c>
    </row>
    <row r="384" spans="1:17">
      <c r="B384" t="s">
        <v>541</v>
      </c>
      <c r="C384">
        <f>C383*12</f>
        <v>48</v>
      </c>
      <c r="N384" t="s">
        <v>541</v>
      </c>
      <c r="O384">
        <f>O383*12</f>
        <v>48</v>
      </c>
    </row>
    <row r="386" spans="1:17">
      <c r="B386" t="s">
        <v>542</v>
      </c>
      <c r="C386" s="446">
        <f>-PMT(E378/12,C384,C382)</f>
        <v>0</v>
      </c>
      <c r="D386" t="s">
        <v>543</v>
      </c>
      <c r="E386">
        <f>C386*12</f>
        <v>0</v>
      </c>
      <c r="N386" t="s">
        <v>542</v>
      </c>
      <c r="O386" s="446">
        <f>-PMT(Q378/12,O384,O382)</f>
        <v>0</v>
      </c>
      <c r="P386" t="s">
        <v>543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544</v>
      </c>
      <c r="C390">
        <f>C386*C384</f>
        <v>0</v>
      </c>
      <c r="N390" t="s">
        <v>544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442">
        <v>24</v>
      </c>
      <c r="B394" s="551" t="s">
        <v>533</v>
      </c>
      <c r="C394" s="551"/>
      <c r="D394" s="551"/>
      <c r="E394" s="551"/>
      <c r="M394" s="442">
        <v>24</v>
      </c>
      <c r="N394" s="551" t="s">
        <v>533</v>
      </c>
      <c r="O394" s="551"/>
      <c r="P394" s="551"/>
      <c r="Q394" s="551"/>
    </row>
    <row r="395" spans="1:17">
      <c r="B395" t="s">
        <v>534</v>
      </c>
      <c r="C395">
        <f>SUMIF(Equipos!$Q$6:$Q$55,A394,Equipos!$O$6:$O$55)</f>
        <v>0</v>
      </c>
      <c r="D395" t="s">
        <v>535</v>
      </c>
      <c r="E395" s="444">
        <v>0.11</v>
      </c>
      <c r="N395" t="s">
        <v>534</v>
      </c>
      <c r="O395">
        <f>SUMIF(MATERIALES!$P$6:$P$44,M394,MATERIALES!$N$6:$N$44)</f>
        <v>0</v>
      </c>
      <c r="P395" t="s">
        <v>535</v>
      </c>
      <c r="Q395" s="444">
        <v>0.11</v>
      </c>
    </row>
    <row r="396" spans="1:17">
      <c r="B396" t="s">
        <v>536</v>
      </c>
      <c r="C396">
        <v>0</v>
      </c>
      <c r="D396" t="s">
        <v>537</v>
      </c>
      <c r="E396" s="445">
        <v>0</v>
      </c>
      <c r="N396" t="s">
        <v>536</v>
      </c>
      <c r="O396">
        <v>0</v>
      </c>
      <c r="P396" t="s">
        <v>537</v>
      </c>
      <c r="Q396" s="445">
        <v>0</v>
      </c>
    </row>
    <row r="397" spans="1:17">
      <c r="B397" t="s">
        <v>538</v>
      </c>
      <c r="C397">
        <v>0</v>
      </c>
      <c r="N397" t="s">
        <v>538</v>
      </c>
      <c r="O397">
        <v>0</v>
      </c>
    </row>
    <row r="399" spans="1:17">
      <c r="B399" t="s">
        <v>539</v>
      </c>
      <c r="C399">
        <f>C395-C396-C397</f>
        <v>0</v>
      </c>
      <c r="N399" t="s">
        <v>539</v>
      </c>
      <c r="O399">
        <f>O395-O396-O397</f>
        <v>0</v>
      </c>
    </row>
    <row r="400" spans="1:17">
      <c r="B400" t="s">
        <v>540</v>
      </c>
      <c r="C400">
        <v>4</v>
      </c>
      <c r="N400" t="s">
        <v>540</v>
      </c>
      <c r="O400">
        <v>4</v>
      </c>
    </row>
    <row r="401" spans="1:17">
      <c r="B401" t="s">
        <v>541</v>
      </c>
      <c r="C401">
        <f>C400*12</f>
        <v>48</v>
      </c>
      <c r="N401" t="s">
        <v>541</v>
      </c>
      <c r="O401">
        <f>O400*12</f>
        <v>48</v>
      </c>
    </row>
    <row r="403" spans="1:17">
      <c r="B403" t="s">
        <v>542</v>
      </c>
      <c r="C403" s="446">
        <f>-PMT(E395/12,C401,C399)</f>
        <v>0</v>
      </c>
      <c r="D403" t="s">
        <v>543</v>
      </c>
      <c r="E403">
        <f>C403*12</f>
        <v>0</v>
      </c>
      <c r="N403" t="s">
        <v>542</v>
      </c>
      <c r="O403" s="446">
        <f>-PMT(Q395/12,O401,O399)</f>
        <v>0</v>
      </c>
      <c r="P403" t="s">
        <v>543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544</v>
      </c>
      <c r="C407">
        <f>C403*C401</f>
        <v>0</v>
      </c>
      <c r="N407" t="s">
        <v>544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442">
        <v>25</v>
      </c>
      <c r="B411" s="551" t="s">
        <v>533</v>
      </c>
      <c r="C411" s="551"/>
      <c r="D411" s="551"/>
      <c r="E411" s="551"/>
      <c r="M411" s="442">
        <v>25</v>
      </c>
      <c r="N411" s="551" t="s">
        <v>533</v>
      </c>
      <c r="O411" s="551"/>
      <c r="P411" s="551"/>
      <c r="Q411" s="551"/>
    </row>
    <row r="412" spans="1:17">
      <c r="B412" t="s">
        <v>534</v>
      </c>
      <c r="C412">
        <f>SUMIF(Equipos!$Q$6:$Q$55,A411,Equipos!$O$6:$O$55)</f>
        <v>0</v>
      </c>
      <c r="D412" t="s">
        <v>535</v>
      </c>
      <c r="E412" s="444">
        <v>0.11</v>
      </c>
      <c r="N412" t="s">
        <v>534</v>
      </c>
      <c r="O412">
        <f>SUMIF(MATERIALES!$P$6:$P$44,M411,MATERIALES!$N$6:$N$44)</f>
        <v>0</v>
      </c>
      <c r="P412" t="s">
        <v>535</v>
      </c>
      <c r="Q412" s="444">
        <v>0.11</v>
      </c>
    </row>
    <row r="413" spans="1:17">
      <c r="B413" t="s">
        <v>536</v>
      </c>
      <c r="C413">
        <v>0</v>
      </c>
      <c r="D413" t="s">
        <v>537</v>
      </c>
      <c r="E413" s="445">
        <v>0</v>
      </c>
      <c r="N413" t="s">
        <v>536</v>
      </c>
      <c r="O413">
        <v>0</v>
      </c>
      <c r="P413" t="s">
        <v>537</v>
      </c>
      <c r="Q413" s="445">
        <v>0</v>
      </c>
    </row>
    <row r="414" spans="1:17">
      <c r="B414" t="s">
        <v>538</v>
      </c>
      <c r="C414">
        <v>0</v>
      </c>
      <c r="N414" t="s">
        <v>538</v>
      </c>
      <c r="O414">
        <v>0</v>
      </c>
    </row>
    <row r="416" spans="1:17">
      <c r="B416" t="s">
        <v>539</v>
      </c>
      <c r="C416">
        <f>C412-C413-C414</f>
        <v>0</v>
      </c>
      <c r="N416" t="s">
        <v>539</v>
      </c>
      <c r="O416">
        <f>O412-O413-O414</f>
        <v>0</v>
      </c>
    </row>
    <row r="417" spans="1:17">
      <c r="B417" t="s">
        <v>540</v>
      </c>
      <c r="C417">
        <v>4</v>
      </c>
      <c r="N417" t="s">
        <v>540</v>
      </c>
      <c r="O417">
        <v>4</v>
      </c>
    </row>
    <row r="418" spans="1:17">
      <c r="B418" t="s">
        <v>541</v>
      </c>
      <c r="C418">
        <f>C417*12</f>
        <v>48</v>
      </c>
      <c r="N418" t="s">
        <v>541</v>
      </c>
      <c r="O418">
        <f>O417*12</f>
        <v>48</v>
      </c>
    </row>
    <row r="420" spans="1:17">
      <c r="B420" t="s">
        <v>542</v>
      </c>
      <c r="C420" s="446">
        <f>-PMT(E412/12,C418,C416)</f>
        <v>0</v>
      </c>
      <c r="D420" t="s">
        <v>543</v>
      </c>
      <c r="E420">
        <f>C420*12</f>
        <v>0</v>
      </c>
      <c r="N420" t="s">
        <v>542</v>
      </c>
      <c r="O420" s="446">
        <f>-PMT(Q412/12,O418,O416)</f>
        <v>0</v>
      </c>
      <c r="P420" t="s">
        <v>543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544</v>
      </c>
      <c r="C424">
        <f>C420*C418</f>
        <v>0</v>
      </c>
      <c r="N424" t="s">
        <v>544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442">
        <v>26</v>
      </c>
      <c r="B428" s="551" t="s">
        <v>533</v>
      </c>
      <c r="C428" s="551"/>
      <c r="D428" s="551"/>
      <c r="E428" s="551"/>
      <c r="M428" s="442">
        <v>26</v>
      </c>
      <c r="N428" s="551" t="s">
        <v>533</v>
      </c>
      <c r="O428" s="551"/>
      <c r="P428" s="551"/>
      <c r="Q428" s="551"/>
    </row>
    <row r="429" spans="1:17">
      <c r="B429" t="s">
        <v>534</v>
      </c>
      <c r="C429">
        <f>SUMIF(Equipos!$Q$6:$Q$55,A428,Equipos!$O$6:$O$55)</f>
        <v>0</v>
      </c>
      <c r="D429" t="s">
        <v>535</v>
      </c>
      <c r="E429" s="444">
        <v>0.11</v>
      </c>
      <c r="N429" t="s">
        <v>534</v>
      </c>
      <c r="O429">
        <f>SUMIF(MATERIALES!$P$6:$P$44,M428,MATERIALES!$N$6:$N$44)</f>
        <v>0</v>
      </c>
      <c r="P429" t="s">
        <v>535</v>
      </c>
      <c r="Q429" s="444">
        <v>0.11</v>
      </c>
    </row>
    <row r="430" spans="1:17">
      <c r="B430" t="s">
        <v>536</v>
      </c>
      <c r="C430">
        <v>0</v>
      </c>
      <c r="D430" t="s">
        <v>537</v>
      </c>
      <c r="E430" s="445">
        <v>0</v>
      </c>
      <c r="N430" t="s">
        <v>536</v>
      </c>
      <c r="O430">
        <v>0</v>
      </c>
      <c r="P430" t="s">
        <v>537</v>
      </c>
      <c r="Q430" s="445">
        <v>0</v>
      </c>
    </row>
    <row r="431" spans="1:17">
      <c r="B431" t="s">
        <v>538</v>
      </c>
      <c r="C431">
        <v>0</v>
      </c>
      <c r="N431" t="s">
        <v>538</v>
      </c>
      <c r="O431">
        <v>0</v>
      </c>
    </row>
    <row r="433" spans="1:17">
      <c r="B433" t="s">
        <v>539</v>
      </c>
      <c r="C433">
        <f>C429-C430-C431</f>
        <v>0</v>
      </c>
      <c r="N433" t="s">
        <v>539</v>
      </c>
      <c r="O433">
        <f>O429-O430-O431</f>
        <v>0</v>
      </c>
    </row>
    <row r="434" spans="1:17">
      <c r="B434" t="s">
        <v>540</v>
      </c>
      <c r="C434">
        <v>4</v>
      </c>
      <c r="N434" t="s">
        <v>540</v>
      </c>
      <c r="O434">
        <v>4</v>
      </c>
    </row>
    <row r="435" spans="1:17">
      <c r="B435" t="s">
        <v>541</v>
      </c>
      <c r="C435">
        <f>C434*12</f>
        <v>48</v>
      </c>
      <c r="N435" t="s">
        <v>541</v>
      </c>
      <c r="O435">
        <f>O434*12</f>
        <v>48</v>
      </c>
    </row>
    <row r="437" spans="1:17">
      <c r="B437" t="s">
        <v>542</v>
      </c>
      <c r="C437" s="446">
        <f>-PMT(E429/12,C435,C433)</f>
        <v>0</v>
      </c>
      <c r="D437" t="s">
        <v>543</v>
      </c>
      <c r="E437">
        <f>C437*12</f>
        <v>0</v>
      </c>
      <c r="N437" t="s">
        <v>542</v>
      </c>
      <c r="O437" s="446">
        <f>-PMT(Q429/12,O435,O433)</f>
        <v>0</v>
      </c>
      <c r="P437" t="s">
        <v>543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544</v>
      </c>
      <c r="C441">
        <f>C437*C435</f>
        <v>0</v>
      </c>
      <c r="N441" t="s">
        <v>544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442">
        <v>27</v>
      </c>
      <c r="B445" s="551" t="s">
        <v>533</v>
      </c>
      <c r="C445" s="551"/>
      <c r="D445" s="551"/>
      <c r="E445" s="551"/>
      <c r="M445" s="442">
        <v>27</v>
      </c>
      <c r="N445" s="551" t="s">
        <v>533</v>
      </c>
      <c r="O445" s="551"/>
      <c r="P445" s="551"/>
      <c r="Q445" s="551"/>
    </row>
    <row r="446" spans="1:17">
      <c r="B446" t="s">
        <v>534</v>
      </c>
      <c r="C446">
        <f>SUMIF(Equipos!$Q$6:$Q$55,A445,Equipos!$O$6:$O$55)</f>
        <v>0</v>
      </c>
      <c r="D446" t="s">
        <v>535</v>
      </c>
      <c r="E446" s="444">
        <v>0.11</v>
      </c>
      <c r="N446" t="s">
        <v>534</v>
      </c>
      <c r="O446">
        <f>SUMIF(MATERIALES!$P$6:$P$44,M445,MATERIALES!$N$6:$N$44)</f>
        <v>0</v>
      </c>
      <c r="P446" t="s">
        <v>535</v>
      </c>
      <c r="Q446" s="444">
        <v>0.11</v>
      </c>
    </row>
    <row r="447" spans="1:17">
      <c r="B447" t="s">
        <v>536</v>
      </c>
      <c r="C447">
        <v>0</v>
      </c>
      <c r="D447" t="s">
        <v>537</v>
      </c>
      <c r="E447" s="445">
        <v>0</v>
      </c>
      <c r="N447" t="s">
        <v>536</v>
      </c>
      <c r="O447">
        <v>0</v>
      </c>
      <c r="P447" t="s">
        <v>537</v>
      </c>
      <c r="Q447" s="445">
        <v>0</v>
      </c>
    </row>
    <row r="448" spans="1:17">
      <c r="B448" t="s">
        <v>538</v>
      </c>
      <c r="C448">
        <v>0</v>
      </c>
      <c r="N448" t="s">
        <v>538</v>
      </c>
      <c r="O448">
        <v>0</v>
      </c>
    </row>
    <row r="450" spans="1:17">
      <c r="B450" t="s">
        <v>539</v>
      </c>
      <c r="C450">
        <f>C446-C447-C448</f>
        <v>0</v>
      </c>
      <c r="N450" t="s">
        <v>539</v>
      </c>
      <c r="O450">
        <f>O446-O447-O448</f>
        <v>0</v>
      </c>
    </row>
    <row r="451" spans="1:17">
      <c r="B451" t="s">
        <v>540</v>
      </c>
      <c r="C451">
        <v>4</v>
      </c>
      <c r="N451" t="s">
        <v>540</v>
      </c>
      <c r="O451">
        <v>4</v>
      </c>
    </row>
    <row r="452" spans="1:17">
      <c r="B452" t="s">
        <v>541</v>
      </c>
      <c r="C452">
        <f>C451*12</f>
        <v>48</v>
      </c>
      <c r="N452" t="s">
        <v>541</v>
      </c>
      <c r="O452">
        <f>O451*12</f>
        <v>48</v>
      </c>
    </row>
    <row r="454" spans="1:17">
      <c r="B454" t="s">
        <v>542</v>
      </c>
      <c r="C454" s="446">
        <f>-PMT(E446/12,C452,C450)</f>
        <v>0</v>
      </c>
      <c r="D454" t="s">
        <v>543</v>
      </c>
      <c r="E454">
        <f>C454*12</f>
        <v>0</v>
      </c>
      <c r="N454" t="s">
        <v>542</v>
      </c>
      <c r="O454" s="446">
        <f>-PMT(Q446/12,O452,O450)</f>
        <v>0</v>
      </c>
      <c r="P454" t="s">
        <v>543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544</v>
      </c>
      <c r="C458">
        <f>C454*C452</f>
        <v>0</v>
      </c>
      <c r="N458" t="s">
        <v>544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442">
        <v>28</v>
      </c>
      <c r="B462" s="551" t="s">
        <v>533</v>
      </c>
      <c r="C462" s="551"/>
      <c r="D462" s="551"/>
      <c r="E462" s="551"/>
      <c r="M462" s="442">
        <v>28</v>
      </c>
      <c r="N462" s="551" t="s">
        <v>533</v>
      </c>
      <c r="O462" s="551"/>
      <c r="P462" s="551"/>
      <c r="Q462" s="551"/>
    </row>
    <row r="463" spans="1:17">
      <c r="B463" t="s">
        <v>534</v>
      </c>
      <c r="C463">
        <f>SUMIF(Equipos!$Q$6:$Q$55,A462,Equipos!$O$6:$O$55)</f>
        <v>0</v>
      </c>
      <c r="D463" t="s">
        <v>535</v>
      </c>
      <c r="E463" s="444">
        <v>0.11</v>
      </c>
      <c r="N463" t="s">
        <v>534</v>
      </c>
      <c r="O463">
        <f>SUMIF(MATERIALES!$P$6:$P$44,M462,MATERIALES!$N$6:$N$44)</f>
        <v>0</v>
      </c>
      <c r="P463" t="s">
        <v>535</v>
      </c>
      <c r="Q463" s="444">
        <v>0.11</v>
      </c>
    </row>
    <row r="464" spans="1:17">
      <c r="B464" t="s">
        <v>536</v>
      </c>
      <c r="C464">
        <v>0</v>
      </c>
      <c r="D464" t="s">
        <v>537</v>
      </c>
      <c r="E464" s="445">
        <v>0</v>
      </c>
      <c r="N464" t="s">
        <v>536</v>
      </c>
      <c r="O464">
        <v>0</v>
      </c>
      <c r="P464" t="s">
        <v>537</v>
      </c>
      <c r="Q464" s="445">
        <v>0</v>
      </c>
    </row>
    <row r="465" spans="1:17">
      <c r="B465" t="s">
        <v>538</v>
      </c>
      <c r="C465">
        <v>0</v>
      </c>
      <c r="N465" t="s">
        <v>538</v>
      </c>
      <c r="O465">
        <v>0</v>
      </c>
    </row>
    <row r="467" spans="1:17">
      <c r="B467" t="s">
        <v>539</v>
      </c>
      <c r="C467">
        <f>C463-C464-C465</f>
        <v>0</v>
      </c>
      <c r="N467" t="s">
        <v>539</v>
      </c>
      <c r="O467">
        <f>O463-O464-O465</f>
        <v>0</v>
      </c>
    </row>
    <row r="468" spans="1:17">
      <c r="B468" t="s">
        <v>540</v>
      </c>
      <c r="C468">
        <v>4</v>
      </c>
      <c r="N468" t="s">
        <v>540</v>
      </c>
      <c r="O468">
        <v>4</v>
      </c>
    </row>
    <row r="469" spans="1:17">
      <c r="B469" t="s">
        <v>541</v>
      </c>
      <c r="C469">
        <f>C468*12</f>
        <v>48</v>
      </c>
      <c r="N469" t="s">
        <v>541</v>
      </c>
      <c r="O469">
        <f>O468*12</f>
        <v>48</v>
      </c>
    </row>
    <row r="471" spans="1:17">
      <c r="B471" t="s">
        <v>542</v>
      </c>
      <c r="C471" s="446">
        <f>-PMT(E463/12,C469,C467)</f>
        <v>0</v>
      </c>
      <c r="D471" t="s">
        <v>543</v>
      </c>
      <c r="E471">
        <f>C471*12</f>
        <v>0</v>
      </c>
      <c r="N471" t="s">
        <v>542</v>
      </c>
      <c r="O471" s="446">
        <f>-PMT(Q463/12,O469,O467)</f>
        <v>0</v>
      </c>
      <c r="P471" t="s">
        <v>543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544</v>
      </c>
      <c r="C475">
        <f>C471*C469</f>
        <v>0</v>
      </c>
      <c r="N475" t="s">
        <v>544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442">
        <v>29</v>
      </c>
      <c r="B479" s="551" t="s">
        <v>533</v>
      </c>
      <c r="C479" s="551"/>
      <c r="D479" s="551"/>
      <c r="E479" s="551"/>
      <c r="M479" s="442">
        <v>29</v>
      </c>
      <c r="N479" s="551" t="s">
        <v>533</v>
      </c>
      <c r="O479" s="551"/>
      <c r="P479" s="551"/>
      <c r="Q479" s="551"/>
    </row>
    <row r="480" spans="1:17">
      <c r="B480" t="s">
        <v>534</v>
      </c>
      <c r="C480">
        <f>SUMIF(Equipos!$Q$6:$Q$55,A479,Equipos!$O$6:$O$55)</f>
        <v>0</v>
      </c>
      <c r="D480" t="s">
        <v>535</v>
      </c>
      <c r="E480" s="444">
        <v>0.11</v>
      </c>
      <c r="N480" t="s">
        <v>534</v>
      </c>
      <c r="O480">
        <f>SUMIF(MATERIALES!$P$6:$P$44,M479,MATERIALES!$N$6:$N$44)</f>
        <v>0</v>
      </c>
      <c r="P480" t="s">
        <v>535</v>
      </c>
      <c r="Q480" s="444">
        <v>0.11</v>
      </c>
    </row>
    <row r="481" spans="1:17">
      <c r="B481" t="s">
        <v>536</v>
      </c>
      <c r="C481">
        <v>0</v>
      </c>
      <c r="D481" t="s">
        <v>537</v>
      </c>
      <c r="E481" s="445">
        <v>0</v>
      </c>
      <c r="N481" t="s">
        <v>536</v>
      </c>
      <c r="O481">
        <v>0</v>
      </c>
      <c r="P481" t="s">
        <v>537</v>
      </c>
      <c r="Q481" s="445">
        <v>0</v>
      </c>
    </row>
    <row r="482" spans="1:17">
      <c r="B482" t="s">
        <v>538</v>
      </c>
      <c r="C482">
        <v>0</v>
      </c>
      <c r="N482" t="s">
        <v>538</v>
      </c>
      <c r="O482">
        <v>0</v>
      </c>
    </row>
    <row r="484" spans="1:17">
      <c r="B484" t="s">
        <v>539</v>
      </c>
      <c r="C484">
        <f>C480-C481-C482</f>
        <v>0</v>
      </c>
      <c r="N484" t="s">
        <v>539</v>
      </c>
      <c r="O484">
        <f>O480-O481-O482</f>
        <v>0</v>
      </c>
    </row>
    <row r="485" spans="1:17">
      <c r="B485" t="s">
        <v>540</v>
      </c>
      <c r="C485">
        <v>4</v>
      </c>
      <c r="N485" t="s">
        <v>540</v>
      </c>
      <c r="O485">
        <v>4</v>
      </c>
    </row>
    <row r="486" spans="1:17">
      <c r="B486" t="s">
        <v>541</v>
      </c>
      <c r="C486">
        <f>C485*12</f>
        <v>48</v>
      </c>
      <c r="N486" t="s">
        <v>541</v>
      </c>
      <c r="O486">
        <f>O485*12</f>
        <v>48</v>
      </c>
    </row>
    <row r="488" spans="1:17">
      <c r="B488" t="s">
        <v>542</v>
      </c>
      <c r="C488" s="446">
        <f>-PMT(E480/12,C486,C484)</f>
        <v>0</v>
      </c>
      <c r="D488" t="s">
        <v>543</v>
      </c>
      <c r="E488">
        <f>C488*12</f>
        <v>0</v>
      </c>
      <c r="N488" t="s">
        <v>542</v>
      </c>
      <c r="O488" s="446">
        <f>-PMT(Q480/12,O486,O484)</f>
        <v>0</v>
      </c>
      <c r="P488" t="s">
        <v>543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544</v>
      </c>
      <c r="C492">
        <f>C488*C486</f>
        <v>0</v>
      </c>
      <c r="N492" t="s">
        <v>544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442">
        <v>30</v>
      </c>
      <c r="B496" s="551" t="s">
        <v>533</v>
      </c>
      <c r="C496" s="551"/>
      <c r="D496" s="551"/>
      <c r="E496" s="551"/>
      <c r="M496" s="442">
        <v>30</v>
      </c>
      <c r="N496" s="551" t="s">
        <v>533</v>
      </c>
      <c r="O496" s="551"/>
      <c r="P496" s="551"/>
      <c r="Q496" s="551"/>
    </row>
    <row r="497" spans="2:17">
      <c r="B497" t="s">
        <v>534</v>
      </c>
      <c r="C497">
        <f>SUMIF(Equipos!$Q$6:$Q$55,A496,Equipos!$O$6:$O$55)</f>
        <v>0</v>
      </c>
      <c r="D497" t="s">
        <v>535</v>
      </c>
      <c r="E497" s="444">
        <v>0.11</v>
      </c>
      <c r="N497" t="s">
        <v>534</v>
      </c>
      <c r="O497">
        <f>SUMIF(MATERIALES!$P$6:$P$44,M496,MATERIALES!$N$6:$N$44)</f>
        <v>0</v>
      </c>
      <c r="P497" t="s">
        <v>535</v>
      </c>
      <c r="Q497" s="444">
        <v>0.11</v>
      </c>
    </row>
    <row r="498" spans="2:17">
      <c r="B498" t="s">
        <v>536</v>
      </c>
      <c r="C498">
        <v>0</v>
      </c>
      <c r="D498" t="s">
        <v>537</v>
      </c>
      <c r="E498" s="445">
        <v>0</v>
      </c>
      <c r="N498" t="s">
        <v>536</v>
      </c>
      <c r="O498">
        <v>0</v>
      </c>
      <c r="P498" t="s">
        <v>537</v>
      </c>
      <c r="Q498" s="445">
        <v>0</v>
      </c>
    </row>
    <row r="499" spans="2:17">
      <c r="B499" t="s">
        <v>538</v>
      </c>
      <c r="C499">
        <v>0</v>
      </c>
      <c r="N499" t="s">
        <v>538</v>
      </c>
      <c r="O499">
        <v>0</v>
      </c>
    </row>
    <row r="501" spans="2:17">
      <c r="B501" t="s">
        <v>539</v>
      </c>
      <c r="C501">
        <f>C497-C498-C499</f>
        <v>0</v>
      </c>
      <c r="N501" t="s">
        <v>539</v>
      </c>
      <c r="O501">
        <f>O497-O498-O499</f>
        <v>0</v>
      </c>
    </row>
    <row r="502" spans="2:17">
      <c r="B502" t="s">
        <v>540</v>
      </c>
      <c r="C502">
        <v>4</v>
      </c>
      <c r="N502" t="s">
        <v>540</v>
      </c>
      <c r="O502">
        <v>4</v>
      </c>
    </row>
    <row r="503" spans="2:17">
      <c r="B503" t="s">
        <v>541</v>
      </c>
      <c r="C503">
        <f>C502*12</f>
        <v>48</v>
      </c>
      <c r="N503" t="s">
        <v>541</v>
      </c>
      <c r="O503">
        <f>O502*12</f>
        <v>48</v>
      </c>
    </row>
    <row r="505" spans="2:17">
      <c r="B505" t="s">
        <v>542</v>
      </c>
      <c r="C505" s="446">
        <f>-PMT(E497/12,C503,C501)</f>
        <v>0</v>
      </c>
      <c r="D505" t="s">
        <v>543</v>
      </c>
      <c r="E505">
        <f>C505*12</f>
        <v>0</v>
      </c>
      <c r="N505" t="s">
        <v>542</v>
      </c>
      <c r="O505" s="446">
        <f>-PMT(Q497/12,O503,O501)</f>
        <v>0</v>
      </c>
      <c r="P505" t="s">
        <v>543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544</v>
      </c>
      <c r="C509">
        <f>C505*C503</f>
        <v>0</v>
      </c>
      <c r="N509" t="s">
        <v>544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442">
        <v>31</v>
      </c>
      <c r="B513" s="551" t="s">
        <v>533</v>
      </c>
      <c r="C513" s="551"/>
      <c r="D513" s="551"/>
      <c r="E513" s="551"/>
      <c r="M513" s="442">
        <v>31</v>
      </c>
      <c r="N513" s="551" t="s">
        <v>533</v>
      </c>
      <c r="O513" s="551"/>
      <c r="P513" s="551"/>
      <c r="Q513" s="551"/>
    </row>
    <row r="514" spans="1:17">
      <c r="B514" t="s">
        <v>534</v>
      </c>
      <c r="C514">
        <f>SUMIF(Equipos!$Q$6:$Q$55,A513,Equipos!$O$6:$O$55)</f>
        <v>0</v>
      </c>
      <c r="D514" t="s">
        <v>535</v>
      </c>
      <c r="E514" s="444">
        <v>0.11</v>
      </c>
      <c r="N514" t="s">
        <v>534</v>
      </c>
      <c r="O514">
        <f>SUMIF(MATERIALES!$P$6:$P$44,M513,MATERIALES!$N$6:$N$44)</f>
        <v>0</v>
      </c>
      <c r="P514" t="s">
        <v>535</v>
      </c>
      <c r="Q514" s="444">
        <v>0.11</v>
      </c>
    </row>
    <row r="515" spans="1:17">
      <c r="B515" t="s">
        <v>536</v>
      </c>
      <c r="C515">
        <v>0</v>
      </c>
      <c r="D515" t="s">
        <v>537</v>
      </c>
      <c r="E515" s="445">
        <v>0</v>
      </c>
      <c r="N515" t="s">
        <v>536</v>
      </c>
      <c r="O515">
        <v>0</v>
      </c>
      <c r="P515" t="s">
        <v>537</v>
      </c>
      <c r="Q515" s="445">
        <v>0</v>
      </c>
    </row>
    <row r="516" spans="1:17">
      <c r="B516" t="s">
        <v>538</v>
      </c>
      <c r="C516">
        <v>0</v>
      </c>
      <c r="N516" t="s">
        <v>538</v>
      </c>
      <c r="O516">
        <v>0</v>
      </c>
    </row>
    <row r="518" spans="1:17">
      <c r="B518" t="s">
        <v>539</v>
      </c>
      <c r="C518">
        <f>C514-C515-C516</f>
        <v>0</v>
      </c>
      <c r="N518" t="s">
        <v>539</v>
      </c>
      <c r="O518">
        <f>O514-O515-O516</f>
        <v>0</v>
      </c>
    </row>
    <row r="519" spans="1:17">
      <c r="B519" t="s">
        <v>540</v>
      </c>
      <c r="C519">
        <v>4</v>
      </c>
      <c r="N519" t="s">
        <v>540</v>
      </c>
      <c r="O519">
        <v>4</v>
      </c>
    </row>
    <row r="520" spans="1:17">
      <c r="B520" t="s">
        <v>541</v>
      </c>
      <c r="C520">
        <f>C519*12</f>
        <v>48</v>
      </c>
      <c r="N520" t="s">
        <v>541</v>
      </c>
      <c r="O520">
        <f>O519*12</f>
        <v>48</v>
      </c>
    </row>
    <row r="522" spans="1:17">
      <c r="B522" t="s">
        <v>542</v>
      </c>
      <c r="C522" s="446">
        <f>-PMT(E514/12,C520,C518)</f>
        <v>0</v>
      </c>
      <c r="D522" t="s">
        <v>543</v>
      </c>
      <c r="E522">
        <f>C522*12</f>
        <v>0</v>
      </c>
      <c r="N522" t="s">
        <v>542</v>
      </c>
      <c r="O522" s="446">
        <f>-PMT(Q514/12,O520,O518)</f>
        <v>0</v>
      </c>
      <c r="P522" t="s">
        <v>543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544</v>
      </c>
      <c r="C526">
        <f>C522*C520</f>
        <v>0</v>
      </c>
      <c r="N526" t="s">
        <v>544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442">
        <v>32</v>
      </c>
      <c r="B530" s="551" t="s">
        <v>533</v>
      </c>
      <c r="C530" s="551"/>
      <c r="D530" s="551"/>
      <c r="E530" s="551"/>
      <c r="M530" s="442">
        <v>32</v>
      </c>
      <c r="N530" s="551" t="s">
        <v>533</v>
      </c>
      <c r="O530" s="551"/>
      <c r="P530" s="551"/>
      <c r="Q530" s="551"/>
    </row>
    <row r="531" spans="1:17">
      <c r="B531" t="s">
        <v>534</v>
      </c>
      <c r="C531">
        <f>SUMIF(Equipos!$Q$6:$Q$55,A530,Equipos!$O$6:$O$55)</f>
        <v>0</v>
      </c>
      <c r="D531" t="s">
        <v>535</v>
      </c>
      <c r="E531" s="444">
        <v>0.11</v>
      </c>
      <c r="N531" t="s">
        <v>534</v>
      </c>
      <c r="O531">
        <f>SUMIF(MATERIALES!$P$6:$P$44,M530,MATERIALES!$N$6:$N$44)</f>
        <v>0</v>
      </c>
      <c r="P531" t="s">
        <v>535</v>
      </c>
      <c r="Q531" s="444">
        <v>0.11</v>
      </c>
    </row>
    <row r="532" spans="1:17">
      <c r="B532" t="s">
        <v>536</v>
      </c>
      <c r="C532">
        <v>0</v>
      </c>
      <c r="D532" t="s">
        <v>537</v>
      </c>
      <c r="E532" s="445">
        <v>0</v>
      </c>
      <c r="N532" t="s">
        <v>536</v>
      </c>
      <c r="O532">
        <v>0</v>
      </c>
      <c r="P532" t="s">
        <v>537</v>
      </c>
      <c r="Q532" s="445">
        <v>0</v>
      </c>
    </row>
    <row r="533" spans="1:17">
      <c r="B533" t="s">
        <v>538</v>
      </c>
      <c r="C533">
        <v>0</v>
      </c>
      <c r="N533" t="s">
        <v>538</v>
      </c>
      <c r="O533">
        <v>0</v>
      </c>
    </row>
    <row r="535" spans="1:17">
      <c r="B535" t="s">
        <v>539</v>
      </c>
      <c r="C535">
        <f>C531-C532-C533</f>
        <v>0</v>
      </c>
      <c r="N535" t="s">
        <v>539</v>
      </c>
      <c r="O535">
        <f>O531-O532-O533</f>
        <v>0</v>
      </c>
    </row>
    <row r="536" spans="1:17">
      <c r="B536" t="s">
        <v>540</v>
      </c>
      <c r="C536">
        <v>4</v>
      </c>
      <c r="N536" t="s">
        <v>540</v>
      </c>
      <c r="O536">
        <v>4</v>
      </c>
    </row>
    <row r="537" spans="1:17">
      <c r="B537" t="s">
        <v>541</v>
      </c>
      <c r="C537">
        <f>C536*12</f>
        <v>48</v>
      </c>
      <c r="N537" t="s">
        <v>541</v>
      </c>
      <c r="O537">
        <f>O536*12</f>
        <v>48</v>
      </c>
    </row>
    <row r="539" spans="1:17">
      <c r="B539" t="s">
        <v>542</v>
      </c>
      <c r="C539" s="446">
        <f>-PMT(E531/12,C537,C535)</f>
        <v>0</v>
      </c>
      <c r="D539" t="s">
        <v>543</v>
      </c>
      <c r="E539">
        <f>C539*12</f>
        <v>0</v>
      </c>
      <c r="N539" t="s">
        <v>542</v>
      </c>
      <c r="O539" s="446">
        <f>-PMT(Q531/12,O537,O535)</f>
        <v>0</v>
      </c>
      <c r="P539" t="s">
        <v>543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544</v>
      </c>
      <c r="C543">
        <f>C539*C537</f>
        <v>0</v>
      </c>
      <c r="N543" t="s">
        <v>544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442">
        <v>33</v>
      </c>
      <c r="B547" s="551" t="s">
        <v>533</v>
      </c>
      <c r="C547" s="551"/>
      <c r="D547" s="551"/>
      <c r="E547" s="551"/>
      <c r="M547" s="442">
        <v>33</v>
      </c>
      <c r="N547" s="551" t="s">
        <v>533</v>
      </c>
      <c r="O547" s="551"/>
      <c r="P547" s="551"/>
      <c r="Q547" s="551"/>
    </row>
    <row r="548" spans="1:17">
      <c r="B548" t="s">
        <v>534</v>
      </c>
      <c r="C548">
        <f>SUMIF(Equipos!$Q$6:$Q$55,A547,Equipos!$O$6:$O$55)</f>
        <v>0</v>
      </c>
      <c r="D548" t="s">
        <v>535</v>
      </c>
      <c r="E548" s="444">
        <v>0.11</v>
      </c>
      <c r="N548" t="s">
        <v>534</v>
      </c>
      <c r="O548">
        <f>SUMIF(MATERIALES!$P$6:$P$44,M547,MATERIALES!$N$6:$N$44)</f>
        <v>0</v>
      </c>
      <c r="P548" t="s">
        <v>535</v>
      </c>
      <c r="Q548" s="444">
        <v>0.11</v>
      </c>
    </row>
    <row r="549" spans="1:17">
      <c r="B549" t="s">
        <v>536</v>
      </c>
      <c r="C549">
        <v>0</v>
      </c>
      <c r="D549" t="s">
        <v>537</v>
      </c>
      <c r="E549" s="445">
        <v>0</v>
      </c>
      <c r="N549" t="s">
        <v>536</v>
      </c>
      <c r="O549">
        <v>0</v>
      </c>
      <c r="P549" t="s">
        <v>537</v>
      </c>
      <c r="Q549" s="445">
        <v>0</v>
      </c>
    </row>
    <row r="550" spans="1:17">
      <c r="B550" t="s">
        <v>538</v>
      </c>
      <c r="C550">
        <v>0</v>
      </c>
      <c r="N550" t="s">
        <v>538</v>
      </c>
      <c r="O550">
        <v>0</v>
      </c>
    </row>
    <row r="552" spans="1:17">
      <c r="B552" t="s">
        <v>539</v>
      </c>
      <c r="C552">
        <f>C548-C549-C550</f>
        <v>0</v>
      </c>
      <c r="N552" t="s">
        <v>539</v>
      </c>
      <c r="O552">
        <f>O548-O549-O550</f>
        <v>0</v>
      </c>
    </row>
    <row r="553" spans="1:17">
      <c r="B553" t="s">
        <v>540</v>
      </c>
      <c r="C553">
        <v>4</v>
      </c>
      <c r="N553" t="s">
        <v>540</v>
      </c>
      <c r="O553">
        <v>4</v>
      </c>
    </row>
    <row r="554" spans="1:17">
      <c r="B554" t="s">
        <v>541</v>
      </c>
      <c r="C554">
        <f>C553*12</f>
        <v>48</v>
      </c>
      <c r="N554" t="s">
        <v>541</v>
      </c>
      <c r="O554">
        <f>O553*12</f>
        <v>48</v>
      </c>
    </row>
    <row r="556" spans="1:17">
      <c r="B556" t="s">
        <v>542</v>
      </c>
      <c r="C556" s="446">
        <f>-PMT(E548/12,C554,C552)</f>
        <v>0</v>
      </c>
      <c r="D556" t="s">
        <v>543</v>
      </c>
      <c r="E556">
        <f>C556*12</f>
        <v>0</v>
      </c>
      <c r="N556" t="s">
        <v>542</v>
      </c>
      <c r="O556" s="446">
        <f>-PMT(Q548/12,O554,O552)</f>
        <v>0</v>
      </c>
      <c r="P556" t="s">
        <v>543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544</v>
      </c>
      <c r="C560">
        <f>C556*C554</f>
        <v>0</v>
      </c>
      <c r="N560" t="s">
        <v>544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442">
        <v>34</v>
      </c>
      <c r="B564" s="551" t="s">
        <v>533</v>
      </c>
      <c r="C564" s="551"/>
      <c r="D564" s="551"/>
      <c r="E564" s="551"/>
      <c r="M564" s="442">
        <v>34</v>
      </c>
      <c r="N564" s="551" t="s">
        <v>533</v>
      </c>
      <c r="O564" s="551"/>
      <c r="P564" s="551"/>
      <c r="Q564" s="551"/>
    </row>
    <row r="565" spans="1:17">
      <c r="B565" t="s">
        <v>534</v>
      </c>
      <c r="C565">
        <f>SUMIF(Equipos!$Q$6:$Q$55,A564,Equipos!$O$6:$O$55)</f>
        <v>0</v>
      </c>
      <c r="D565" t="s">
        <v>535</v>
      </c>
      <c r="E565" s="444">
        <v>0.11</v>
      </c>
      <c r="N565" t="s">
        <v>534</v>
      </c>
      <c r="O565">
        <f>SUMIF(MATERIALES!$P$6:$P$44,M564,MATERIALES!$N$6:$N$44)</f>
        <v>0</v>
      </c>
      <c r="P565" t="s">
        <v>535</v>
      </c>
      <c r="Q565" s="444">
        <v>0.11</v>
      </c>
    </row>
    <row r="566" spans="1:17">
      <c r="B566" t="s">
        <v>536</v>
      </c>
      <c r="C566">
        <v>0</v>
      </c>
      <c r="D566" t="s">
        <v>537</v>
      </c>
      <c r="E566" s="445">
        <v>0</v>
      </c>
      <c r="N566" t="s">
        <v>536</v>
      </c>
      <c r="O566">
        <v>0</v>
      </c>
      <c r="P566" t="s">
        <v>537</v>
      </c>
      <c r="Q566" s="445">
        <v>0</v>
      </c>
    </row>
    <row r="567" spans="1:17">
      <c r="B567" t="s">
        <v>538</v>
      </c>
      <c r="C567">
        <v>0</v>
      </c>
      <c r="N567" t="s">
        <v>538</v>
      </c>
      <c r="O567">
        <v>0</v>
      </c>
    </row>
    <row r="569" spans="1:17">
      <c r="B569" t="s">
        <v>539</v>
      </c>
      <c r="C569">
        <f>C565-C566-C567</f>
        <v>0</v>
      </c>
      <c r="N569" t="s">
        <v>539</v>
      </c>
      <c r="O569">
        <f>O565-O566-O567</f>
        <v>0</v>
      </c>
    </row>
    <row r="570" spans="1:17">
      <c r="B570" t="s">
        <v>540</v>
      </c>
      <c r="C570">
        <v>4</v>
      </c>
      <c r="N570" t="s">
        <v>540</v>
      </c>
      <c r="O570">
        <v>4</v>
      </c>
    </row>
    <row r="571" spans="1:17">
      <c r="B571" t="s">
        <v>541</v>
      </c>
      <c r="C571">
        <f>C570*12</f>
        <v>48</v>
      </c>
      <c r="N571" t="s">
        <v>541</v>
      </c>
      <c r="O571">
        <f>O570*12</f>
        <v>48</v>
      </c>
    </row>
    <row r="573" spans="1:17">
      <c r="B573" t="s">
        <v>542</v>
      </c>
      <c r="C573" s="446">
        <f>-PMT(E565/12,C571,C569)</f>
        <v>0</v>
      </c>
      <c r="D573" t="s">
        <v>543</v>
      </c>
      <c r="E573">
        <f>C573*12</f>
        <v>0</v>
      </c>
      <c r="N573" t="s">
        <v>542</v>
      </c>
      <c r="O573" s="446">
        <f>-PMT(Q565/12,O571,O569)</f>
        <v>0</v>
      </c>
      <c r="P573" t="s">
        <v>543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544</v>
      </c>
      <c r="C577">
        <f>C573*C571</f>
        <v>0</v>
      </c>
      <c r="N577" t="s">
        <v>544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442">
        <v>35</v>
      </c>
      <c r="B581" s="551" t="s">
        <v>533</v>
      </c>
      <c r="C581" s="551"/>
      <c r="D581" s="551"/>
      <c r="E581" s="551"/>
      <c r="M581" s="442">
        <v>35</v>
      </c>
      <c r="N581" s="551" t="s">
        <v>533</v>
      </c>
      <c r="O581" s="551"/>
      <c r="P581" s="551"/>
      <c r="Q581" s="551"/>
    </row>
    <row r="582" spans="1:17">
      <c r="B582" t="s">
        <v>534</v>
      </c>
      <c r="C582">
        <f>SUMIF(Equipos!$Q$6:$Q$55,A581,Equipos!$O$6:$O$55)</f>
        <v>0</v>
      </c>
      <c r="D582" t="s">
        <v>535</v>
      </c>
      <c r="E582" s="444">
        <v>0.11</v>
      </c>
      <c r="N582" t="s">
        <v>534</v>
      </c>
      <c r="O582">
        <f>SUMIF(MATERIALES!$P$6:$P$44,M581,MATERIALES!$N$6:$N$44)</f>
        <v>0</v>
      </c>
      <c r="P582" t="s">
        <v>535</v>
      </c>
      <c r="Q582" s="444">
        <v>0.11</v>
      </c>
    </row>
    <row r="583" spans="1:17">
      <c r="B583" t="s">
        <v>536</v>
      </c>
      <c r="C583">
        <v>0</v>
      </c>
      <c r="D583" t="s">
        <v>537</v>
      </c>
      <c r="E583" s="445">
        <v>0</v>
      </c>
      <c r="N583" t="s">
        <v>536</v>
      </c>
      <c r="O583">
        <v>0</v>
      </c>
      <c r="P583" t="s">
        <v>537</v>
      </c>
      <c r="Q583" s="445">
        <v>0</v>
      </c>
    </row>
    <row r="584" spans="1:17">
      <c r="B584" t="s">
        <v>538</v>
      </c>
      <c r="C584">
        <v>0</v>
      </c>
      <c r="N584" t="s">
        <v>538</v>
      </c>
      <c r="O584">
        <v>0</v>
      </c>
    </row>
    <row r="586" spans="1:17">
      <c r="B586" t="s">
        <v>539</v>
      </c>
      <c r="C586">
        <f>C582-C583-C584</f>
        <v>0</v>
      </c>
      <c r="N586" t="s">
        <v>539</v>
      </c>
      <c r="O586">
        <f>O582-O583-O584</f>
        <v>0</v>
      </c>
    </row>
    <row r="587" spans="1:17">
      <c r="B587" t="s">
        <v>540</v>
      </c>
      <c r="C587">
        <v>4</v>
      </c>
      <c r="N587" t="s">
        <v>540</v>
      </c>
      <c r="O587">
        <v>4</v>
      </c>
    </row>
    <row r="588" spans="1:17">
      <c r="B588" t="s">
        <v>541</v>
      </c>
      <c r="C588">
        <f>C587*12</f>
        <v>48</v>
      </c>
      <c r="N588" t="s">
        <v>541</v>
      </c>
      <c r="O588">
        <f>O587*12</f>
        <v>48</v>
      </c>
    </row>
    <row r="590" spans="1:17">
      <c r="B590" t="s">
        <v>542</v>
      </c>
      <c r="C590" s="446">
        <f>-PMT(E582/12,C588,C586)</f>
        <v>0</v>
      </c>
      <c r="D590" t="s">
        <v>543</v>
      </c>
      <c r="E590">
        <f>C590*12</f>
        <v>0</v>
      </c>
      <c r="N590" t="s">
        <v>542</v>
      </c>
      <c r="O590" s="446">
        <f>-PMT(Q582/12,O588,O586)</f>
        <v>0</v>
      </c>
      <c r="P590" t="s">
        <v>543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544</v>
      </c>
      <c r="C594">
        <f>C590*C588</f>
        <v>0</v>
      </c>
      <c r="N594" t="s">
        <v>544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442">
        <v>36</v>
      </c>
      <c r="B598" s="551" t="s">
        <v>533</v>
      </c>
      <c r="C598" s="551"/>
      <c r="D598" s="551"/>
      <c r="E598" s="551"/>
      <c r="M598" s="442">
        <v>36</v>
      </c>
      <c r="N598" s="551" t="s">
        <v>533</v>
      </c>
      <c r="O598" s="551"/>
      <c r="P598" s="551"/>
      <c r="Q598" s="551"/>
    </row>
    <row r="599" spans="1:17">
      <c r="B599" t="s">
        <v>534</v>
      </c>
      <c r="C599">
        <f>SUMIF(Equipos!$Q$6:$Q$55,A598,Equipos!$O$6:$O$55)</f>
        <v>0</v>
      </c>
      <c r="D599" t="s">
        <v>535</v>
      </c>
      <c r="E599" s="444">
        <v>0.11</v>
      </c>
      <c r="N599" t="s">
        <v>534</v>
      </c>
      <c r="O599">
        <f>SUMIF(MATERIALES!$P$6:$P$44,M598,MATERIALES!$N$6:$N$44)</f>
        <v>0</v>
      </c>
      <c r="P599" t="s">
        <v>535</v>
      </c>
      <c r="Q599" s="444">
        <v>0.11</v>
      </c>
    </row>
    <row r="600" spans="1:17">
      <c r="B600" t="s">
        <v>536</v>
      </c>
      <c r="C600">
        <v>0</v>
      </c>
      <c r="D600" t="s">
        <v>537</v>
      </c>
      <c r="E600" s="445">
        <v>0</v>
      </c>
      <c r="N600" t="s">
        <v>536</v>
      </c>
      <c r="O600">
        <v>0</v>
      </c>
      <c r="P600" t="s">
        <v>537</v>
      </c>
      <c r="Q600" s="445">
        <v>0</v>
      </c>
    </row>
    <row r="601" spans="1:17">
      <c r="B601" t="s">
        <v>538</v>
      </c>
      <c r="C601">
        <v>0</v>
      </c>
      <c r="N601" t="s">
        <v>538</v>
      </c>
      <c r="O601">
        <v>0</v>
      </c>
    </row>
    <row r="603" spans="1:17">
      <c r="B603" t="s">
        <v>539</v>
      </c>
      <c r="C603">
        <f>C599-C600-C601</f>
        <v>0</v>
      </c>
      <c r="N603" t="s">
        <v>539</v>
      </c>
      <c r="O603">
        <f>O599-O600-O601</f>
        <v>0</v>
      </c>
    </row>
    <row r="604" spans="1:17">
      <c r="B604" t="s">
        <v>540</v>
      </c>
      <c r="C604">
        <v>4</v>
      </c>
      <c r="N604" t="s">
        <v>540</v>
      </c>
      <c r="O604">
        <v>4</v>
      </c>
    </row>
    <row r="605" spans="1:17">
      <c r="B605" t="s">
        <v>541</v>
      </c>
      <c r="C605">
        <f>C604*12</f>
        <v>48</v>
      </c>
      <c r="N605" t="s">
        <v>541</v>
      </c>
      <c r="O605">
        <f>O604*12</f>
        <v>48</v>
      </c>
    </row>
    <row r="607" spans="1:17">
      <c r="B607" t="s">
        <v>542</v>
      </c>
      <c r="C607" s="446">
        <f>-PMT(E599/12,C605,C603)</f>
        <v>0</v>
      </c>
      <c r="D607" t="s">
        <v>543</v>
      </c>
      <c r="E607">
        <f>C607*12</f>
        <v>0</v>
      </c>
      <c r="N607" t="s">
        <v>542</v>
      </c>
      <c r="O607" s="446">
        <f>-PMT(Q599/12,O605,O603)</f>
        <v>0</v>
      </c>
      <c r="P607" t="s">
        <v>543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544</v>
      </c>
      <c r="C611">
        <f>C607*C605</f>
        <v>0</v>
      </c>
      <c r="N611" t="s">
        <v>544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442">
        <v>37</v>
      </c>
      <c r="B615" s="551" t="s">
        <v>533</v>
      </c>
      <c r="C615" s="551"/>
      <c r="D615" s="551"/>
      <c r="E615" s="551"/>
      <c r="M615" s="442">
        <v>37</v>
      </c>
      <c r="N615" s="551" t="s">
        <v>533</v>
      </c>
      <c r="O615" s="551"/>
      <c r="P615" s="551"/>
      <c r="Q615" s="551"/>
    </row>
    <row r="616" spans="1:17">
      <c r="B616" t="s">
        <v>534</v>
      </c>
      <c r="C616">
        <f>SUMIF(Equipos!$Q$6:$Q$55,A615,Equipos!$O$6:$O$55)</f>
        <v>0</v>
      </c>
      <c r="D616" t="s">
        <v>535</v>
      </c>
      <c r="E616" s="444">
        <v>0.11</v>
      </c>
      <c r="N616" t="s">
        <v>534</v>
      </c>
      <c r="O616">
        <f>SUMIF(MATERIALES!$P$6:$P$44,M615,MATERIALES!$N$6:$N$44)</f>
        <v>0</v>
      </c>
      <c r="P616" t="s">
        <v>535</v>
      </c>
      <c r="Q616" s="444">
        <v>0.11</v>
      </c>
    </row>
    <row r="617" spans="1:17">
      <c r="B617" t="s">
        <v>536</v>
      </c>
      <c r="C617">
        <v>0</v>
      </c>
      <c r="D617" t="s">
        <v>537</v>
      </c>
      <c r="E617" s="445">
        <v>0</v>
      </c>
      <c r="N617" t="s">
        <v>536</v>
      </c>
      <c r="O617">
        <v>0</v>
      </c>
      <c r="P617" t="s">
        <v>537</v>
      </c>
      <c r="Q617" s="445">
        <v>0</v>
      </c>
    </row>
    <row r="618" spans="1:17">
      <c r="B618" t="s">
        <v>538</v>
      </c>
      <c r="C618">
        <v>0</v>
      </c>
      <c r="N618" t="s">
        <v>538</v>
      </c>
      <c r="O618">
        <v>0</v>
      </c>
    </row>
    <row r="620" spans="1:17">
      <c r="B620" t="s">
        <v>539</v>
      </c>
      <c r="C620">
        <f>C616-C617-C618</f>
        <v>0</v>
      </c>
      <c r="N620" t="s">
        <v>539</v>
      </c>
      <c r="O620">
        <f>O616-O617-O618</f>
        <v>0</v>
      </c>
    </row>
    <row r="621" spans="1:17">
      <c r="B621" t="s">
        <v>540</v>
      </c>
      <c r="C621">
        <v>4</v>
      </c>
      <c r="N621" t="s">
        <v>540</v>
      </c>
      <c r="O621">
        <v>4</v>
      </c>
    </row>
    <row r="622" spans="1:17">
      <c r="B622" t="s">
        <v>541</v>
      </c>
      <c r="C622">
        <f>C621*12</f>
        <v>48</v>
      </c>
      <c r="N622" t="s">
        <v>541</v>
      </c>
      <c r="O622">
        <f>O621*12</f>
        <v>48</v>
      </c>
    </row>
    <row r="624" spans="1:17">
      <c r="B624" t="s">
        <v>542</v>
      </c>
      <c r="C624" s="446">
        <f>-PMT(E616/12,C622,C620)</f>
        <v>0</v>
      </c>
      <c r="D624" t="s">
        <v>543</v>
      </c>
      <c r="E624">
        <f>C624*12</f>
        <v>0</v>
      </c>
      <c r="N624" t="s">
        <v>542</v>
      </c>
      <c r="O624" s="446">
        <f>-PMT(Q616/12,O622,O620)</f>
        <v>0</v>
      </c>
      <c r="P624" t="s">
        <v>543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544</v>
      </c>
      <c r="C628">
        <f>C624*C622</f>
        <v>0</v>
      </c>
      <c r="N628" t="s">
        <v>544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442">
        <v>38</v>
      </c>
      <c r="B632" s="551" t="s">
        <v>533</v>
      </c>
      <c r="C632" s="551"/>
      <c r="D632" s="551"/>
      <c r="E632" s="551"/>
      <c r="M632" s="442">
        <v>38</v>
      </c>
      <c r="N632" s="551" t="s">
        <v>533</v>
      </c>
      <c r="O632" s="551"/>
      <c r="P632" s="551"/>
      <c r="Q632" s="551"/>
    </row>
    <row r="633" spans="1:17">
      <c r="B633" t="s">
        <v>534</v>
      </c>
      <c r="C633">
        <f>SUMIF(Equipos!$Q$6:$Q$55,A632,Equipos!$O$6:$O$55)</f>
        <v>0</v>
      </c>
      <c r="D633" t="s">
        <v>535</v>
      </c>
      <c r="E633" s="444">
        <v>0.11</v>
      </c>
      <c r="N633" t="s">
        <v>534</v>
      </c>
      <c r="O633">
        <f>SUMIF(MATERIALES!$P$6:$P$44,M632,MATERIALES!$N$6:$N$44)</f>
        <v>0</v>
      </c>
      <c r="P633" t="s">
        <v>535</v>
      </c>
      <c r="Q633" s="444">
        <v>0.11</v>
      </c>
    </row>
    <row r="634" spans="1:17">
      <c r="B634" t="s">
        <v>536</v>
      </c>
      <c r="C634">
        <v>0</v>
      </c>
      <c r="D634" t="s">
        <v>537</v>
      </c>
      <c r="E634" s="445">
        <v>0</v>
      </c>
      <c r="N634" t="s">
        <v>536</v>
      </c>
      <c r="O634">
        <v>0</v>
      </c>
      <c r="P634" t="s">
        <v>537</v>
      </c>
      <c r="Q634" s="445">
        <v>0</v>
      </c>
    </row>
    <row r="635" spans="1:17">
      <c r="B635" t="s">
        <v>538</v>
      </c>
      <c r="C635">
        <v>0</v>
      </c>
      <c r="N635" t="s">
        <v>538</v>
      </c>
      <c r="O635">
        <v>0</v>
      </c>
    </row>
    <row r="637" spans="1:17">
      <c r="B637" t="s">
        <v>539</v>
      </c>
      <c r="C637">
        <f>C633-C634-C635</f>
        <v>0</v>
      </c>
      <c r="N637" t="s">
        <v>539</v>
      </c>
      <c r="O637">
        <f>O633-O634-O635</f>
        <v>0</v>
      </c>
    </row>
    <row r="638" spans="1:17">
      <c r="B638" t="s">
        <v>540</v>
      </c>
      <c r="C638">
        <v>4</v>
      </c>
      <c r="N638" t="s">
        <v>540</v>
      </c>
      <c r="O638">
        <v>4</v>
      </c>
    </row>
    <row r="639" spans="1:17">
      <c r="B639" t="s">
        <v>541</v>
      </c>
      <c r="C639">
        <f>C638*12</f>
        <v>48</v>
      </c>
      <c r="N639" t="s">
        <v>541</v>
      </c>
      <c r="O639">
        <f>O638*12</f>
        <v>48</v>
      </c>
    </row>
    <row r="641" spans="1:17">
      <c r="B641" t="s">
        <v>542</v>
      </c>
      <c r="C641" s="446">
        <f>-PMT(E633/12,C639,C637)</f>
        <v>0</v>
      </c>
      <c r="D641" t="s">
        <v>543</v>
      </c>
      <c r="E641">
        <f>C641*12</f>
        <v>0</v>
      </c>
      <c r="N641" t="s">
        <v>542</v>
      </c>
      <c r="O641" s="446">
        <f>-PMT(Q633/12,O639,O637)</f>
        <v>0</v>
      </c>
      <c r="P641" t="s">
        <v>543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544</v>
      </c>
      <c r="C645">
        <f>C641*C639</f>
        <v>0</v>
      </c>
      <c r="N645" t="s">
        <v>544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442">
        <v>39</v>
      </c>
      <c r="B649" s="551" t="s">
        <v>533</v>
      </c>
      <c r="C649" s="551"/>
      <c r="D649" s="551"/>
      <c r="E649" s="551"/>
      <c r="M649" s="442">
        <v>39</v>
      </c>
      <c r="N649" s="551" t="s">
        <v>533</v>
      </c>
      <c r="O649" s="551"/>
      <c r="P649" s="551"/>
      <c r="Q649" s="551"/>
    </row>
    <row r="650" spans="1:17">
      <c r="B650" t="s">
        <v>534</v>
      </c>
      <c r="C650">
        <f>SUMIF(Equipos!$Q$6:$Q$55,A649,Equipos!$O$6:$O$55)</f>
        <v>0</v>
      </c>
      <c r="D650" t="s">
        <v>535</v>
      </c>
      <c r="E650" s="444">
        <v>0.11</v>
      </c>
      <c r="N650" t="s">
        <v>534</v>
      </c>
      <c r="O650">
        <f>SUMIF(MATERIALES!$P$6:$P$44,M649,MATERIALES!$N$6:$N$44)</f>
        <v>0</v>
      </c>
      <c r="P650" t="s">
        <v>535</v>
      </c>
      <c r="Q650" s="444">
        <v>0.11</v>
      </c>
    </row>
    <row r="651" spans="1:17">
      <c r="B651" t="s">
        <v>536</v>
      </c>
      <c r="C651">
        <v>0</v>
      </c>
      <c r="D651" t="s">
        <v>537</v>
      </c>
      <c r="E651" s="445">
        <v>0</v>
      </c>
      <c r="N651" t="s">
        <v>536</v>
      </c>
      <c r="O651">
        <v>0</v>
      </c>
      <c r="P651" t="s">
        <v>537</v>
      </c>
      <c r="Q651" s="445">
        <v>0</v>
      </c>
    </row>
    <row r="652" spans="1:17">
      <c r="B652" t="s">
        <v>538</v>
      </c>
      <c r="C652">
        <v>0</v>
      </c>
      <c r="N652" t="s">
        <v>538</v>
      </c>
      <c r="O652">
        <v>0</v>
      </c>
    </row>
    <row r="654" spans="1:17">
      <c r="B654" t="s">
        <v>539</v>
      </c>
      <c r="C654">
        <f>C650-C651-C652</f>
        <v>0</v>
      </c>
      <c r="N654" t="s">
        <v>539</v>
      </c>
      <c r="O654">
        <f>O650-O651-O652</f>
        <v>0</v>
      </c>
    </row>
    <row r="655" spans="1:17">
      <c r="B655" t="s">
        <v>540</v>
      </c>
      <c r="C655">
        <v>4</v>
      </c>
      <c r="N655" t="s">
        <v>540</v>
      </c>
      <c r="O655">
        <v>4</v>
      </c>
    </row>
    <row r="656" spans="1:17">
      <c r="B656" t="s">
        <v>541</v>
      </c>
      <c r="C656">
        <f>C655*12</f>
        <v>48</v>
      </c>
      <c r="N656" t="s">
        <v>541</v>
      </c>
      <c r="O656">
        <f>O655*12</f>
        <v>48</v>
      </c>
    </row>
    <row r="658" spans="1:17">
      <c r="B658" t="s">
        <v>542</v>
      </c>
      <c r="C658" s="446">
        <f>-PMT(E650/12,C656,C654)</f>
        <v>0</v>
      </c>
      <c r="D658" t="s">
        <v>543</v>
      </c>
      <c r="E658">
        <f>C658*12</f>
        <v>0</v>
      </c>
      <c r="N658" t="s">
        <v>542</v>
      </c>
      <c r="O658" s="446">
        <f>-PMT(Q650/12,O656,O654)</f>
        <v>0</v>
      </c>
      <c r="P658" t="s">
        <v>543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544</v>
      </c>
      <c r="C662">
        <f>C658*C656</f>
        <v>0</v>
      </c>
      <c r="N662" t="s">
        <v>544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442">
        <v>40</v>
      </c>
      <c r="B666" s="551" t="s">
        <v>533</v>
      </c>
      <c r="C666" s="551"/>
      <c r="D666" s="551"/>
      <c r="E666" s="551"/>
    </row>
    <row r="667" spans="1:17">
      <c r="B667" t="s">
        <v>534</v>
      </c>
      <c r="C667">
        <f>SUMIF(Equipos!$Q$6:$Q$55,A666,Equipos!$O$6:$O$55)</f>
        <v>0</v>
      </c>
      <c r="D667" t="s">
        <v>535</v>
      </c>
      <c r="E667" s="444">
        <v>0.11</v>
      </c>
    </row>
    <row r="668" spans="1:17">
      <c r="B668" t="s">
        <v>536</v>
      </c>
      <c r="C668">
        <v>0</v>
      </c>
      <c r="D668" t="s">
        <v>537</v>
      </c>
      <c r="E668" s="445">
        <v>0</v>
      </c>
    </row>
    <row r="669" spans="1:17">
      <c r="B669" t="s">
        <v>538</v>
      </c>
      <c r="C669">
        <v>0</v>
      </c>
    </row>
    <row r="671" spans="1:17">
      <c r="B671" t="s">
        <v>539</v>
      </c>
      <c r="C671">
        <f>C667-C668-C669</f>
        <v>0</v>
      </c>
    </row>
    <row r="672" spans="1:17">
      <c r="B672" t="s">
        <v>540</v>
      </c>
      <c r="C672">
        <v>4</v>
      </c>
    </row>
    <row r="673" spans="1:5">
      <c r="B673" t="s">
        <v>541</v>
      </c>
      <c r="C673">
        <f>C672*12</f>
        <v>48</v>
      </c>
    </row>
    <row r="675" spans="1:5">
      <c r="B675" t="s">
        <v>542</v>
      </c>
      <c r="C675" s="446">
        <f>-PMT(E667/12,C673,C671)</f>
        <v>0</v>
      </c>
      <c r="D675" t="s">
        <v>543</v>
      </c>
      <c r="E675">
        <f>C675*12</f>
        <v>0</v>
      </c>
    </row>
    <row r="678" spans="1:5">
      <c r="B678" t="s">
        <v>241</v>
      </c>
    </row>
    <row r="679" spans="1:5">
      <c r="B679" t="s">
        <v>544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442">
        <v>41</v>
      </c>
      <c r="B683" s="551" t="s">
        <v>533</v>
      </c>
      <c r="C683" s="551"/>
      <c r="D683" s="551"/>
      <c r="E683" s="551"/>
    </row>
    <row r="684" spans="1:5">
      <c r="B684" t="s">
        <v>534</v>
      </c>
      <c r="C684">
        <f>SUMIF(Equipos!$Q$6:$Q$55,A683,Equipos!$O$6:$O$55)</f>
        <v>0</v>
      </c>
      <c r="D684" t="s">
        <v>535</v>
      </c>
      <c r="E684" s="444">
        <v>0.11</v>
      </c>
    </row>
    <row r="685" spans="1:5">
      <c r="B685" t="s">
        <v>536</v>
      </c>
      <c r="C685">
        <v>0</v>
      </c>
      <c r="D685" t="s">
        <v>537</v>
      </c>
      <c r="E685" s="445">
        <v>0</v>
      </c>
    </row>
    <row r="686" spans="1:5">
      <c r="B686" t="s">
        <v>538</v>
      </c>
      <c r="C686">
        <v>0</v>
      </c>
    </row>
    <row r="688" spans="1:5">
      <c r="B688" t="s">
        <v>539</v>
      </c>
      <c r="C688">
        <f>C684-C685-C686</f>
        <v>0</v>
      </c>
    </row>
    <row r="689" spans="1:5">
      <c r="B689" t="s">
        <v>540</v>
      </c>
      <c r="C689">
        <v>4</v>
      </c>
    </row>
    <row r="690" spans="1:5">
      <c r="B690" t="s">
        <v>541</v>
      </c>
      <c r="C690">
        <f>C689*12</f>
        <v>48</v>
      </c>
    </row>
    <row r="692" spans="1:5">
      <c r="B692" t="s">
        <v>542</v>
      </c>
      <c r="C692" s="446">
        <f>-PMT(E684/12,C690,C688)</f>
        <v>0</v>
      </c>
      <c r="D692" t="s">
        <v>543</v>
      </c>
      <c r="E692">
        <f>C692*12</f>
        <v>0</v>
      </c>
    </row>
    <row r="695" spans="1:5">
      <c r="B695" t="s">
        <v>241</v>
      </c>
    </row>
    <row r="696" spans="1:5">
      <c r="B696" t="s">
        <v>544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442">
        <v>42</v>
      </c>
      <c r="B700" s="551" t="s">
        <v>533</v>
      </c>
      <c r="C700" s="551"/>
      <c r="D700" s="551"/>
      <c r="E700" s="551"/>
    </row>
    <row r="701" spans="1:5">
      <c r="B701" t="s">
        <v>534</v>
      </c>
      <c r="C701">
        <f>SUMIF(Equipos!$Q$6:$Q$55,A700,Equipos!$O$6:$O$55)</f>
        <v>0</v>
      </c>
      <c r="D701" t="s">
        <v>535</v>
      </c>
      <c r="E701" s="444">
        <v>0.11</v>
      </c>
    </row>
    <row r="702" spans="1:5">
      <c r="B702" t="s">
        <v>536</v>
      </c>
      <c r="C702">
        <v>0</v>
      </c>
      <c r="D702" t="s">
        <v>537</v>
      </c>
      <c r="E702" s="445">
        <v>0</v>
      </c>
    </row>
    <row r="703" spans="1:5">
      <c r="B703" t="s">
        <v>538</v>
      </c>
      <c r="C703">
        <v>0</v>
      </c>
    </row>
    <row r="705" spans="1:5">
      <c r="B705" t="s">
        <v>539</v>
      </c>
      <c r="C705">
        <f>C701-C702-C703</f>
        <v>0</v>
      </c>
    </row>
    <row r="706" spans="1:5">
      <c r="B706" t="s">
        <v>540</v>
      </c>
      <c r="C706">
        <v>4</v>
      </c>
    </row>
    <row r="707" spans="1:5">
      <c r="B707" t="s">
        <v>541</v>
      </c>
      <c r="C707">
        <f>C706*12</f>
        <v>48</v>
      </c>
    </row>
    <row r="709" spans="1:5">
      <c r="B709" t="s">
        <v>542</v>
      </c>
      <c r="C709" s="446">
        <f>-PMT(E701/12,C707,C705)</f>
        <v>0</v>
      </c>
      <c r="D709" t="s">
        <v>543</v>
      </c>
      <c r="E709">
        <f>C709*12</f>
        <v>0</v>
      </c>
    </row>
    <row r="712" spans="1:5">
      <c r="B712" t="s">
        <v>241</v>
      </c>
    </row>
    <row r="713" spans="1:5">
      <c r="B713" t="s">
        <v>544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442">
        <v>43</v>
      </c>
      <c r="B717" s="551" t="s">
        <v>533</v>
      </c>
      <c r="C717" s="551"/>
      <c r="D717" s="551"/>
      <c r="E717" s="551"/>
    </row>
    <row r="718" spans="1:5">
      <c r="B718" t="s">
        <v>534</v>
      </c>
      <c r="C718">
        <f>SUMIF(Equipos!$Q$6:$Q$55,A717,Equipos!$O$6:$O$55)</f>
        <v>0</v>
      </c>
      <c r="D718" t="s">
        <v>535</v>
      </c>
      <c r="E718" s="444">
        <v>0.11</v>
      </c>
    </row>
    <row r="719" spans="1:5">
      <c r="B719" t="s">
        <v>536</v>
      </c>
      <c r="C719">
        <v>0</v>
      </c>
      <c r="D719" t="s">
        <v>537</v>
      </c>
      <c r="E719" s="445">
        <v>0</v>
      </c>
    </row>
    <row r="720" spans="1:5">
      <c r="B720" t="s">
        <v>538</v>
      </c>
      <c r="C720">
        <v>0</v>
      </c>
    </row>
    <row r="722" spans="1:5">
      <c r="B722" t="s">
        <v>539</v>
      </c>
      <c r="C722">
        <f>C718-C719-C720</f>
        <v>0</v>
      </c>
    </row>
    <row r="723" spans="1:5">
      <c r="B723" t="s">
        <v>540</v>
      </c>
      <c r="C723">
        <v>4</v>
      </c>
    </row>
    <row r="724" spans="1:5">
      <c r="B724" t="s">
        <v>541</v>
      </c>
      <c r="C724">
        <f>C723*12</f>
        <v>48</v>
      </c>
    </row>
    <row r="726" spans="1:5">
      <c r="B726" t="s">
        <v>542</v>
      </c>
      <c r="C726" s="446">
        <f>-PMT(E718/12,C724,C722)</f>
        <v>0</v>
      </c>
      <c r="D726" t="s">
        <v>543</v>
      </c>
      <c r="E726">
        <f>C726*12</f>
        <v>0</v>
      </c>
    </row>
    <row r="729" spans="1:5">
      <c r="B729" t="s">
        <v>241</v>
      </c>
    </row>
    <row r="730" spans="1:5">
      <c r="B730" t="s">
        <v>544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442">
        <v>44</v>
      </c>
      <c r="B734" s="551" t="s">
        <v>533</v>
      </c>
      <c r="C734" s="551"/>
      <c r="D734" s="551"/>
      <c r="E734" s="551"/>
    </row>
    <row r="735" spans="1:5">
      <c r="B735" t="s">
        <v>534</v>
      </c>
      <c r="C735">
        <f>SUMIF(Equipos!$Q$6:$Q$55,A734,Equipos!$O$6:$O$55)</f>
        <v>0</v>
      </c>
      <c r="D735" t="s">
        <v>535</v>
      </c>
      <c r="E735" s="444">
        <v>0.11</v>
      </c>
    </row>
    <row r="736" spans="1:5">
      <c r="B736" t="s">
        <v>536</v>
      </c>
      <c r="C736">
        <v>0</v>
      </c>
      <c r="D736" t="s">
        <v>537</v>
      </c>
      <c r="E736" s="445">
        <v>0</v>
      </c>
    </row>
    <row r="737" spans="1:5">
      <c r="B737" t="s">
        <v>538</v>
      </c>
      <c r="C737">
        <v>0</v>
      </c>
    </row>
    <row r="739" spans="1:5">
      <c r="B739" t="s">
        <v>539</v>
      </c>
      <c r="C739">
        <f>C735-C736-C737</f>
        <v>0</v>
      </c>
    </row>
    <row r="740" spans="1:5">
      <c r="B740" t="s">
        <v>540</v>
      </c>
      <c r="C740">
        <v>4</v>
      </c>
    </row>
    <row r="741" spans="1:5">
      <c r="B741" t="s">
        <v>541</v>
      </c>
      <c r="C741">
        <f>C740*12</f>
        <v>48</v>
      </c>
    </row>
    <row r="743" spans="1:5">
      <c r="B743" t="s">
        <v>542</v>
      </c>
      <c r="C743" s="446">
        <f>-PMT(E735/12,C741,C739)</f>
        <v>0</v>
      </c>
      <c r="D743" t="s">
        <v>543</v>
      </c>
      <c r="E743">
        <f>C743*12</f>
        <v>0</v>
      </c>
    </row>
    <row r="746" spans="1:5">
      <c r="B746" t="s">
        <v>241</v>
      </c>
    </row>
    <row r="747" spans="1:5">
      <c r="B747" t="s">
        <v>544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442">
        <v>45</v>
      </c>
      <c r="B751" s="551" t="s">
        <v>533</v>
      </c>
      <c r="C751" s="551"/>
      <c r="D751" s="551"/>
      <c r="E751" s="551"/>
    </row>
    <row r="752" spans="1:5">
      <c r="B752" t="s">
        <v>534</v>
      </c>
      <c r="C752">
        <f>SUMIF(Equipos!$Q$6:$Q$55,A751,Equipos!$O$6:$O$55)</f>
        <v>0</v>
      </c>
      <c r="D752" t="s">
        <v>535</v>
      </c>
      <c r="E752" s="444">
        <v>0.11</v>
      </c>
    </row>
    <row r="753" spans="1:5">
      <c r="B753" t="s">
        <v>536</v>
      </c>
      <c r="C753">
        <v>0</v>
      </c>
      <c r="D753" t="s">
        <v>537</v>
      </c>
      <c r="E753" s="445">
        <v>0</v>
      </c>
    </row>
    <row r="754" spans="1:5">
      <c r="B754" t="s">
        <v>538</v>
      </c>
      <c r="C754">
        <v>0</v>
      </c>
    </row>
    <row r="756" spans="1:5">
      <c r="B756" t="s">
        <v>539</v>
      </c>
      <c r="C756">
        <f>C752-C753-C754</f>
        <v>0</v>
      </c>
    </row>
    <row r="757" spans="1:5">
      <c r="B757" t="s">
        <v>540</v>
      </c>
      <c r="C757">
        <v>4</v>
      </c>
    </row>
    <row r="758" spans="1:5">
      <c r="B758" t="s">
        <v>541</v>
      </c>
      <c r="C758">
        <f>C757*12</f>
        <v>48</v>
      </c>
    </row>
    <row r="760" spans="1:5">
      <c r="B760" t="s">
        <v>542</v>
      </c>
      <c r="C760" s="446">
        <f>-PMT(E752/12,C758,C756)</f>
        <v>0</v>
      </c>
      <c r="D760" t="s">
        <v>543</v>
      </c>
      <c r="E760">
        <f>C760*12</f>
        <v>0</v>
      </c>
    </row>
    <row r="763" spans="1:5">
      <c r="B763" t="s">
        <v>241</v>
      </c>
    </row>
    <row r="764" spans="1:5">
      <c r="B764" t="s">
        <v>544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442">
        <v>46</v>
      </c>
      <c r="B768" s="551" t="s">
        <v>533</v>
      </c>
      <c r="C768" s="551"/>
      <c r="D768" s="551"/>
      <c r="E768" s="551"/>
    </row>
    <row r="769" spans="2:5">
      <c r="B769" t="s">
        <v>534</v>
      </c>
      <c r="C769">
        <f>SUMIF(Equipos!$Q$6:$Q$55,A768,Equipos!$O$6:$O$55)</f>
        <v>0</v>
      </c>
      <c r="D769" t="s">
        <v>535</v>
      </c>
      <c r="E769" s="444">
        <v>0.11</v>
      </c>
    </row>
    <row r="770" spans="2:5">
      <c r="B770" t="s">
        <v>536</v>
      </c>
      <c r="C770">
        <v>0</v>
      </c>
      <c r="D770" t="s">
        <v>537</v>
      </c>
      <c r="E770" s="445">
        <v>0</v>
      </c>
    </row>
    <row r="771" spans="2:5">
      <c r="B771" t="s">
        <v>538</v>
      </c>
      <c r="C771">
        <v>0</v>
      </c>
    </row>
    <row r="773" spans="2:5">
      <c r="B773" t="s">
        <v>539</v>
      </c>
      <c r="C773">
        <f>C769-C770-C771</f>
        <v>0</v>
      </c>
    </row>
    <row r="774" spans="2:5">
      <c r="B774" t="s">
        <v>540</v>
      </c>
      <c r="C774">
        <v>4</v>
      </c>
    </row>
    <row r="775" spans="2:5">
      <c r="B775" t="s">
        <v>541</v>
      </c>
      <c r="C775">
        <f>C774*12</f>
        <v>48</v>
      </c>
    </row>
    <row r="777" spans="2:5">
      <c r="B777" t="s">
        <v>542</v>
      </c>
      <c r="C777" s="446">
        <f>-PMT(E769/12,C775,C773)</f>
        <v>0</v>
      </c>
      <c r="D777" t="s">
        <v>543</v>
      </c>
      <c r="E777">
        <f>C777*12</f>
        <v>0</v>
      </c>
    </row>
    <row r="780" spans="2:5">
      <c r="B780" t="s">
        <v>241</v>
      </c>
    </row>
    <row r="781" spans="2:5">
      <c r="B781" t="s">
        <v>544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442">
        <v>47</v>
      </c>
      <c r="B785" s="551" t="s">
        <v>533</v>
      </c>
      <c r="C785" s="551"/>
      <c r="D785" s="551"/>
      <c r="E785" s="551"/>
    </row>
    <row r="786" spans="1:5">
      <c r="B786" t="s">
        <v>534</v>
      </c>
      <c r="C786">
        <f>SUMIF(Equipos!$Q$6:$Q$55,A785,Equipos!$O$6:$O$55)</f>
        <v>0</v>
      </c>
      <c r="D786" t="s">
        <v>535</v>
      </c>
      <c r="E786" s="444">
        <v>0.11</v>
      </c>
    </row>
    <row r="787" spans="1:5">
      <c r="B787" t="s">
        <v>536</v>
      </c>
      <c r="C787">
        <v>0</v>
      </c>
      <c r="D787" t="s">
        <v>537</v>
      </c>
      <c r="E787" s="445">
        <v>0</v>
      </c>
    </row>
    <row r="788" spans="1:5">
      <c r="B788" t="s">
        <v>538</v>
      </c>
      <c r="C788">
        <v>0</v>
      </c>
    </row>
    <row r="790" spans="1:5">
      <c r="B790" t="s">
        <v>539</v>
      </c>
      <c r="C790">
        <f>C786-C787-C788</f>
        <v>0</v>
      </c>
    </row>
    <row r="791" spans="1:5">
      <c r="B791" t="s">
        <v>540</v>
      </c>
      <c r="C791">
        <v>4</v>
      </c>
    </row>
    <row r="792" spans="1:5">
      <c r="B792" t="s">
        <v>541</v>
      </c>
      <c r="C792">
        <f>C791*12</f>
        <v>48</v>
      </c>
    </row>
    <row r="794" spans="1:5">
      <c r="B794" t="s">
        <v>542</v>
      </c>
      <c r="C794" s="446">
        <f>-PMT(E786/12,C792,C790)</f>
        <v>0</v>
      </c>
      <c r="D794" t="s">
        <v>543</v>
      </c>
      <c r="E794">
        <f>C794*12</f>
        <v>0</v>
      </c>
    </row>
    <row r="797" spans="1:5">
      <c r="B797" t="s">
        <v>241</v>
      </c>
    </row>
    <row r="798" spans="1:5">
      <c r="B798" t="s">
        <v>544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442">
        <v>48</v>
      </c>
      <c r="B802" s="551" t="s">
        <v>533</v>
      </c>
      <c r="C802" s="551"/>
      <c r="D802" s="551"/>
      <c r="E802" s="551"/>
    </row>
    <row r="803" spans="1:5">
      <c r="B803" t="s">
        <v>534</v>
      </c>
      <c r="C803">
        <f>SUMIF(Equipos!$Q$6:$Q$55,A802,Equipos!$O$6:$O$55)</f>
        <v>0</v>
      </c>
      <c r="D803" t="s">
        <v>535</v>
      </c>
      <c r="E803" s="444">
        <v>0.11</v>
      </c>
    </row>
    <row r="804" spans="1:5">
      <c r="B804" t="s">
        <v>536</v>
      </c>
      <c r="C804">
        <v>0</v>
      </c>
      <c r="D804" t="s">
        <v>537</v>
      </c>
      <c r="E804" s="445">
        <v>0</v>
      </c>
    </row>
    <row r="805" spans="1:5">
      <c r="B805" t="s">
        <v>538</v>
      </c>
      <c r="C805">
        <v>0</v>
      </c>
    </row>
    <row r="807" spans="1:5">
      <c r="B807" t="s">
        <v>539</v>
      </c>
      <c r="C807">
        <f>C803-C804-C805</f>
        <v>0</v>
      </c>
    </row>
    <row r="808" spans="1:5">
      <c r="B808" t="s">
        <v>540</v>
      </c>
      <c r="C808">
        <v>4</v>
      </c>
    </row>
    <row r="809" spans="1:5">
      <c r="B809" t="s">
        <v>541</v>
      </c>
      <c r="C809">
        <f>C808*12</f>
        <v>48</v>
      </c>
    </row>
    <row r="811" spans="1:5">
      <c r="B811" t="s">
        <v>542</v>
      </c>
      <c r="C811" s="446">
        <f>-PMT(E803/12,C809,C807)</f>
        <v>0</v>
      </c>
      <c r="D811" t="s">
        <v>543</v>
      </c>
      <c r="E811">
        <f>C811*12</f>
        <v>0</v>
      </c>
    </row>
    <row r="814" spans="1:5">
      <c r="B814" t="s">
        <v>241</v>
      </c>
    </row>
    <row r="815" spans="1:5">
      <c r="B815" t="s">
        <v>544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442">
        <v>49</v>
      </c>
      <c r="B819" s="551" t="s">
        <v>533</v>
      </c>
      <c r="C819" s="551"/>
      <c r="D819" s="551"/>
      <c r="E819" s="551"/>
    </row>
    <row r="820" spans="1:5">
      <c r="B820" t="s">
        <v>534</v>
      </c>
      <c r="C820">
        <f>SUMIF(Equipos!$Q$6:$Q$55,A819,Equipos!$O$6:$O$55)</f>
        <v>0</v>
      </c>
      <c r="D820" t="s">
        <v>535</v>
      </c>
      <c r="E820" s="444">
        <v>0.11</v>
      </c>
    </row>
    <row r="821" spans="1:5">
      <c r="B821" t="s">
        <v>536</v>
      </c>
      <c r="C821">
        <v>0</v>
      </c>
      <c r="D821" t="s">
        <v>537</v>
      </c>
      <c r="E821" s="445">
        <v>0</v>
      </c>
    </row>
    <row r="822" spans="1:5">
      <c r="B822" t="s">
        <v>538</v>
      </c>
      <c r="C822">
        <v>0</v>
      </c>
    </row>
    <row r="824" spans="1:5">
      <c r="B824" t="s">
        <v>539</v>
      </c>
      <c r="C824">
        <f>C820-C821-C822</f>
        <v>0</v>
      </c>
    </row>
    <row r="825" spans="1:5">
      <c r="B825" t="s">
        <v>540</v>
      </c>
      <c r="C825">
        <v>4</v>
      </c>
    </row>
    <row r="826" spans="1:5">
      <c r="B826" t="s">
        <v>541</v>
      </c>
      <c r="C826">
        <f>C825*12</f>
        <v>48</v>
      </c>
    </row>
    <row r="828" spans="1:5">
      <c r="B828" t="s">
        <v>542</v>
      </c>
      <c r="C828" s="446">
        <f>-PMT(E820/12,C826,C824)</f>
        <v>0</v>
      </c>
      <c r="D828" t="s">
        <v>543</v>
      </c>
      <c r="E828">
        <f>C828*12</f>
        <v>0</v>
      </c>
    </row>
    <row r="831" spans="1:5">
      <c r="B831" t="s">
        <v>241</v>
      </c>
    </row>
    <row r="832" spans="1:5">
      <c r="B832" t="s">
        <v>544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442">
        <v>50</v>
      </c>
      <c r="B836" s="551" t="s">
        <v>533</v>
      </c>
      <c r="C836" s="551"/>
      <c r="D836" s="551"/>
      <c r="E836" s="551"/>
    </row>
    <row r="837" spans="1:5">
      <c r="B837" t="s">
        <v>534</v>
      </c>
      <c r="C837">
        <f>SUMIF(Equipos!$Q$6:$Q$55,A836,Equipos!$O$6:$O$55)</f>
        <v>0</v>
      </c>
      <c r="D837" t="s">
        <v>535</v>
      </c>
      <c r="E837" s="444">
        <v>0.11</v>
      </c>
    </row>
    <row r="838" spans="1:5">
      <c r="B838" t="s">
        <v>536</v>
      </c>
      <c r="C838">
        <v>0</v>
      </c>
      <c r="D838" t="s">
        <v>537</v>
      </c>
      <c r="E838" s="445">
        <v>0</v>
      </c>
    </row>
    <row r="839" spans="1:5">
      <c r="B839" t="s">
        <v>538</v>
      </c>
      <c r="C839">
        <v>0</v>
      </c>
    </row>
    <row r="841" spans="1:5">
      <c r="B841" t="s">
        <v>539</v>
      </c>
      <c r="C841">
        <f>C837-C838-C839</f>
        <v>0</v>
      </c>
    </row>
    <row r="842" spans="1:5">
      <c r="B842" t="s">
        <v>540</v>
      </c>
      <c r="C842">
        <v>4</v>
      </c>
    </row>
    <row r="843" spans="1:5">
      <c r="B843" t="s">
        <v>541</v>
      </c>
      <c r="C843">
        <f>C842*12</f>
        <v>48</v>
      </c>
    </row>
    <row r="845" spans="1:5">
      <c r="B845" t="s">
        <v>542</v>
      </c>
      <c r="C845" s="446">
        <f>-PMT(E837/12,C843,C841)</f>
        <v>0</v>
      </c>
      <c r="D845" t="s">
        <v>543</v>
      </c>
      <c r="E845">
        <f>C845*12</f>
        <v>0</v>
      </c>
    </row>
    <row r="848" spans="1:5">
      <c r="B848" t="s">
        <v>241</v>
      </c>
    </row>
    <row r="849" spans="2:3">
      <c r="B849" t="s">
        <v>544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447" t="s">
        <v>545</v>
      </c>
    </row>
    <row r="4" spans="1:11" ht="13">
      <c r="B4" s="442" t="s">
        <v>546</v>
      </c>
      <c r="I4" s="442" t="s">
        <v>547</v>
      </c>
    </row>
    <row r="5" spans="1:11">
      <c r="C5" t="s">
        <v>548</v>
      </c>
      <c r="D5">
        <v>0</v>
      </c>
      <c r="I5" t="s">
        <v>556</v>
      </c>
      <c r="J5" s="446">
        <f>-PMT(D6/D8,D12,D5)</f>
        <v>0</v>
      </c>
    </row>
    <row r="6" spans="1:11">
      <c r="C6" t="s">
        <v>549</v>
      </c>
      <c r="D6" s="444">
        <v>0.11</v>
      </c>
      <c r="I6" t="s">
        <v>557</v>
      </c>
      <c r="J6">
        <f>D12</f>
        <v>48</v>
      </c>
    </row>
    <row r="7" spans="1:11">
      <c r="C7" t="s">
        <v>550</v>
      </c>
      <c r="D7">
        <v>4</v>
      </c>
      <c r="I7" t="s">
        <v>558</v>
      </c>
      <c r="J7">
        <f>D8</f>
        <v>12</v>
      </c>
    </row>
    <row r="8" spans="1:11">
      <c r="C8" t="s">
        <v>551</v>
      </c>
      <c r="D8">
        <v>12</v>
      </c>
      <c r="I8" t="s">
        <v>559</v>
      </c>
      <c r="J8">
        <f>SUM(E19:E118)</f>
        <v>0</v>
      </c>
    </row>
    <row r="9" spans="1:11">
      <c r="C9" t="s">
        <v>552</v>
      </c>
      <c r="D9" s="448">
        <v>46279</v>
      </c>
      <c r="I9" t="s">
        <v>560</v>
      </c>
      <c r="J9">
        <f>SUM(H19:H118)</f>
        <v>0</v>
      </c>
    </row>
    <row r="10" spans="1:11">
      <c r="C10" t="s">
        <v>553</v>
      </c>
      <c r="D10">
        <v>0</v>
      </c>
    </row>
    <row r="11" spans="1:11">
      <c r="C11" t="s">
        <v>554</v>
      </c>
      <c r="D11">
        <v>0</v>
      </c>
    </row>
    <row r="12" spans="1:11">
      <c r="C12" t="s">
        <v>555</v>
      </c>
      <c r="D12">
        <f>D7*D8</f>
        <v>48</v>
      </c>
      <c r="I12" t="s">
        <v>561</v>
      </c>
      <c r="K12">
        <f>D5+J9</f>
        <v>0</v>
      </c>
    </row>
    <row r="17" spans="1:10" ht="13">
      <c r="A17" s="442" t="s">
        <v>562</v>
      </c>
      <c r="B17" s="442" t="s">
        <v>563</v>
      </c>
      <c r="C17" s="442" t="s">
        <v>564</v>
      </c>
      <c r="D17" s="442" t="s">
        <v>556</v>
      </c>
      <c r="E17" s="442" t="s">
        <v>565</v>
      </c>
      <c r="F17" s="442" t="s">
        <v>566</v>
      </c>
      <c r="G17" s="442" t="s">
        <v>567</v>
      </c>
      <c r="H17" s="442" t="s">
        <v>568</v>
      </c>
      <c r="I17" s="442" t="s">
        <v>569</v>
      </c>
      <c r="J17" s="442" t="s">
        <v>570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412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413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414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415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416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417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418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419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47" t="s">
        <v>355</v>
      </c>
      <c r="B1" s="547"/>
      <c r="C1" s="547"/>
      <c r="D1" s="547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50" t="s">
        <v>420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510" t="s">
        <v>243</v>
      </c>
      <c r="C2" s="510"/>
      <c r="D2" s="510"/>
      <c r="E2" s="510"/>
      <c r="F2" s="510"/>
      <c r="G2" s="510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511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512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Tabla24[[#This Row],[Costo]]/(1-Tabla24[[#This Row],[% de venta]])</f>
        <v>0</v>
      </c>
      <c r="G5" s="398">
        <f>+Tabla24[[#This Row],[P. Venta ]]-Tabla24[[#This Row],[Costo]]</f>
        <v>0</v>
      </c>
      <c r="H5" s="234"/>
    </row>
    <row r="6" spans="1:11" ht="16" customHeight="1">
      <c r="A6" s="512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Tabla24[[#This Row],[Costo]]/(1-Tabla24[[#This Row],[% de venta]])</f>
        <v>0</v>
      </c>
      <c r="G6" s="398">
        <f>+Tabla24[[#This Row],[P. Venta ]]-Tabla24[[#This Row],[Costo]]</f>
        <v>0</v>
      </c>
      <c r="H6" s="234"/>
    </row>
    <row r="7" spans="1:11" ht="16" customHeight="1">
      <c r="A7" s="512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Tabla24[[#This Row],[Costo]]/(1-Tabla24[[#This Row],[% de venta]])</f>
        <v>0</v>
      </c>
      <c r="G7" s="398">
        <f>+Tabla24[[#This Row],[P. Venta ]]-Tabla24[[#This Row],[Costo]]</f>
        <v>0</v>
      </c>
      <c r="H7" s="234"/>
    </row>
    <row r="8" spans="1:11" ht="16" customHeight="1" thickBot="1">
      <c r="A8" s="513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400" t="str">
        <f>+'OPEX GV'!A3</f>
        <v>OPEX GV</v>
      </c>
      <c r="C10" s="401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507" t="s">
        <v>287</v>
      </c>
      <c r="I14" s="508"/>
      <c r="J14" s="508"/>
      <c r="K14" s="509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504" t="s">
        <v>304</v>
      </c>
      <c r="C32" s="505"/>
      <c r="D32" s="506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47" t="s">
        <v>355</v>
      </c>
      <c r="B1" s="547"/>
      <c r="C1" s="547"/>
      <c r="D1" s="547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50" t="s">
        <v>421</v>
      </c>
      <c r="B3" s="550"/>
      <c r="C3" s="550"/>
      <c r="D3" s="550"/>
      <c r="E3" s="550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 t="s">
        <v>520</v>
      </c>
      <c r="B6" s="409" t="s">
        <v>369</v>
      </c>
      <c r="C6" s="425">
        <v>0</v>
      </c>
      <c r="D6" s="426">
        <f>+'MANO DE OBRA '!G9+'MANO DE OBRA '!K9</f>
        <v>0</v>
      </c>
      <c r="E6" s="411">
        <f>+D6*C6</f>
        <v>0</v>
      </c>
      <c r="F6" s="422">
        <f>IF(B6="si",D6*$F$4,0)</f>
        <v>0</v>
      </c>
      <c r="G6" s="426">
        <f>(D6+F6)*$G$4</f>
        <v>0</v>
      </c>
      <c r="H6" s="422">
        <f>(D6+F6+G6)*$H$4</f>
        <v>0</v>
      </c>
      <c r="I6" s="422">
        <f>IF(B6="si",(D6+F6+G6+H6)*$I$4,0)</f>
        <v>0</v>
      </c>
      <c r="J6" s="422">
        <f>D6+F6+G6+H6+I6</f>
        <v>0</v>
      </c>
      <c r="K6" s="422">
        <f>J6*$K$4</f>
        <v>0</v>
      </c>
      <c r="L6" s="405">
        <f>(J6+K6)*C6</f>
        <v>0</v>
      </c>
      <c r="M6" s="422">
        <f>(J6+K6)*$M$4/(1-$M$4)</f>
        <v>0</v>
      </c>
      <c r="N6" s="422">
        <f>M6+J6+K6</f>
        <v>0</v>
      </c>
      <c r="O6" s="422">
        <f>N6*C6</f>
        <v>0</v>
      </c>
      <c r="P6" s="10"/>
    </row>
    <row r="7" spans="1:17">
      <c r="A7" s="409" t="s">
        <v>422</v>
      </c>
      <c r="B7" s="409" t="s">
        <v>369</v>
      </c>
      <c r="C7" s="425">
        <v>0</v>
      </c>
      <c r="D7" s="426">
        <v>100</v>
      </c>
      <c r="E7" s="411">
        <f>+D7*C7</f>
        <v>0</v>
      </c>
      <c r="F7" s="422">
        <f t="shared" ref="F7:F15" si="0">IF(B7="si",D7*$F$4,0)</f>
        <v>0</v>
      </c>
      <c r="G7" s="426">
        <f>(D7+F7)*$G$4</f>
        <v>3</v>
      </c>
      <c r="H7" s="426">
        <f>(D7+F7+G7)*$H$4</f>
        <v>0</v>
      </c>
      <c r="I7" s="422">
        <f t="shared" ref="I7:I15" si="1">IF(B7="si",(D7+F7+G7+H7)*$I$4,0)</f>
        <v>0</v>
      </c>
      <c r="J7" s="426">
        <f>D7+F7+G7+H7+I7</f>
        <v>103</v>
      </c>
      <c r="K7" s="422">
        <f t="shared" ref="K7:K15" si="2">J7*$K$4</f>
        <v>3.09</v>
      </c>
      <c r="L7" s="405">
        <f t="shared" ref="L7:L15" si="3">(J7+K7)*C7</f>
        <v>0</v>
      </c>
      <c r="M7" s="422">
        <f t="shared" ref="M7:M15" si="4">(J7+K7)*$M$4/(1-$M$4)</f>
        <v>40.039476584022047</v>
      </c>
      <c r="N7" s="422">
        <f t="shared" ref="N7:N15" si="5">M7+J7+K7</f>
        <v>146.12947658402206</v>
      </c>
      <c r="O7" s="426">
        <f>N7*C7</f>
        <v>0</v>
      </c>
    </row>
    <row r="8" spans="1:17">
      <c r="A8" s="412" t="s">
        <v>423</v>
      </c>
      <c r="B8" s="409" t="s">
        <v>369</v>
      </c>
      <c r="C8" s="425">
        <v>0</v>
      </c>
      <c r="D8" s="426">
        <v>100</v>
      </c>
      <c r="E8" s="411">
        <f t="shared" ref="E8:E10" si="6">+D8*C8</f>
        <v>0</v>
      </c>
      <c r="F8" s="422">
        <f t="shared" si="0"/>
        <v>0</v>
      </c>
      <c r="G8" s="426">
        <f t="shared" ref="G8:G10" si="7">(D8+F8)*$G$4</f>
        <v>3</v>
      </c>
      <c r="H8" s="426">
        <f t="shared" ref="H8:H10" si="8">(D8+F8+G8)*$H$4</f>
        <v>0</v>
      </c>
      <c r="I8" s="422">
        <f t="shared" si="1"/>
        <v>0</v>
      </c>
      <c r="J8" s="426">
        <f t="shared" ref="J8:J10" si="9">D8+F8+G8+H8+I8</f>
        <v>103</v>
      </c>
      <c r="K8" s="422">
        <f t="shared" si="2"/>
        <v>3.09</v>
      </c>
      <c r="L8" s="405">
        <f t="shared" si="3"/>
        <v>0</v>
      </c>
      <c r="M8" s="422">
        <f t="shared" si="4"/>
        <v>40.039476584022047</v>
      </c>
      <c r="N8" s="422">
        <f t="shared" si="5"/>
        <v>146.12947658402206</v>
      </c>
      <c r="O8" s="426">
        <f t="shared" ref="O8:O10" si="10">N8*C8</f>
        <v>0</v>
      </c>
    </row>
    <row r="9" spans="1:17">
      <c r="A9" s="414" t="s">
        <v>425</v>
      </c>
      <c r="B9" s="409" t="s">
        <v>369</v>
      </c>
      <c r="C9" s="425">
        <v>0</v>
      </c>
      <c r="D9" s="426">
        <v>100</v>
      </c>
      <c r="E9" s="411">
        <f t="shared" si="6"/>
        <v>0</v>
      </c>
      <c r="F9" s="422">
        <f t="shared" si="0"/>
        <v>0</v>
      </c>
      <c r="G9" s="426">
        <f t="shared" si="7"/>
        <v>3</v>
      </c>
      <c r="H9" s="426">
        <f t="shared" si="8"/>
        <v>0</v>
      </c>
      <c r="I9" s="422">
        <f t="shared" si="1"/>
        <v>0</v>
      </c>
      <c r="J9" s="426">
        <f t="shared" si="9"/>
        <v>103</v>
      </c>
      <c r="K9" s="422">
        <f t="shared" si="2"/>
        <v>3.09</v>
      </c>
      <c r="L9" s="405">
        <f t="shared" si="3"/>
        <v>0</v>
      </c>
      <c r="M9" s="422">
        <f t="shared" si="4"/>
        <v>40.039476584022047</v>
      </c>
      <c r="N9" s="422">
        <f t="shared" si="5"/>
        <v>146.12947658402206</v>
      </c>
      <c r="O9" s="426">
        <f t="shared" si="10"/>
        <v>0</v>
      </c>
    </row>
    <row r="10" spans="1:17">
      <c r="A10" s="210" t="s">
        <v>517</v>
      </c>
      <c r="B10" s="409" t="s">
        <v>369</v>
      </c>
      <c r="C10" s="425">
        <v>0</v>
      </c>
      <c r="D10" s="426">
        <v>100</v>
      </c>
      <c r="E10" s="411">
        <f t="shared" si="6"/>
        <v>0</v>
      </c>
      <c r="F10" s="422">
        <f t="shared" si="0"/>
        <v>0</v>
      </c>
      <c r="G10" s="426">
        <f t="shared" si="7"/>
        <v>3</v>
      </c>
      <c r="H10" s="426">
        <f t="shared" si="8"/>
        <v>0</v>
      </c>
      <c r="I10" s="422">
        <f t="shared" si="1"/>
        <v>0</v>
      </c>
      <c r="J10" s="426">
        <f t="shared" si="9"/>
        <v>103</v>
      </c>
      <c r="K10" s="422">
        <f t="shared" si="2"/>
        <v>3.09</v>
      </c>
      <c r="L10" s="405">
        <f t="shared" si="3"/>
        <v>0</v>
      </c>
      <c r="M10" s="403">
        <f t="shared" si="4"/>
        <v>40.039476584022047</v>
      </c>
      <c r="N10" s="403">
        <f t="shared" si="5"/>
        <v>146.12947658402206</v>
      </c>
      <c r="O10" s="413">
        <f t="shared" si="10"/>
        <v>0</v>
      </c>
    </row>
    <row r="11" spans="1:17">
      <c r="A11" s="409"/>
      <c r="B11" s="409" t="s">
        <v>369</v>
      </c>
      <c r="C11" s="425">
        <v>0</v>
      </c>
      <c r="D11" s="426">
        <v>100</v>
      </c>
      <c r="E11" s="404">
        <f>+C11*D11*(1-C18)</f>
        <v>0</v>
      </c>
      <c r="F11" s="422">
        <f t="shared" si="0"/>
        <v>0</v>
      </c>
      <c r="G11" s="422">
        <f t="shared" ref="G11:G15" si="11">(D11+F11)*$G$4</f>
        <v>3</v>
      </c>
      <c r="H11" s="422">
        <f t="shared" ref="H11:H15" si="12">(D11+F11+G11)*$H$4</f>
        <v>0</v>
      </c>
      <c r="I11" s="422">
        <f t="shared" si="1"/>
        <v>0</v>
      </c>
      <c r="J11" s="422">
        <f t="shared" ref="J11:J15" si="13">D11+F11+G11+H11+I11</f>
        <v>103</v>
      </c>
      <c r="K11" s="422">
        <f t="shared" si="2"/>
        <v>3.09</v>
      </c>
      <c r="L11" s="405">
        <f t="shared" si="3"/>
        <v>0</v>
      </c>
      <c r="M11" s="403">
        <f t="shared" si="4"/>
        <v>40.039476584022047</v>
      </c>
      <c r="N11" s="403">
        <f t="shared" si="5"/>
        <v>146.12947658402206</v>
      </c>
      <c r="O11" s="403">
        <f t="shared" ref="O11:O15" si="14">N11*C11</f>
        <v>0</v>
      </c>
    </row>
    <row r="12" spans="1:17">
      <c r="A12" s="415"/>
      <c r="B12" s="409" t="s">
        <v>369</v>
      </c>
      <c r="C12" s="425">
        <v>0</v>
      </c>
      <c r="D12" s="424">
        <v>100</v>
      </c>
      <c r="E12" s="404">
        <f>+C12*D12</f>
        <v>0</v>
      </c>
      <c r="F12" s="403">
        <f t="shared" si="0"/>
        <v>0</v>
      </c>
      <c r="G12" s="403">
        <f t="shared" si="11"/>
        <v>3</v>
      </c>
      <c r="H12" s="403">
        <f t="shared" si="12"/>
        <v>0</v>
      </c>
      <c r="I12" s="403">
        <f t="shared" si="1"/>
        <v>0</v>
      </c>
      <c r="J12" s="403">
        <f t="shared" si="13"/>
        <v>103</v>
      </c>
      <c r="K12" s="403">
        <f t="shared" si="2"/>
        <v>3.09</v>
      </c>
      <c r="L12" s="405">
        <f t="shared" si="3"/>
        <v>0</v>
      </c>
      <c r="M12" s="403">
        <f t="shared" si="4"/>
        <v>40.039476584022047</v>
      </c>
      <c r="N12" s="403">
        <f t="shared" si="5"/>
        <v>146.12947658402206</v>
      </c>
      <c r="O12" s="403">
        <f t="shared" si="14"/>
        <v>0</v>
      </c>
    </row>
    <row r="13" spans="1:17">
      <c r="A13" s="415"/>
      <c r="B13" s="409" t="s">
        <v>369</v>
      </c>
      <c r="C13" s="425">
        <v>0</v>
      </c>
      <c r="D13" s="424">
        <v>100</v>
      </c>
      <c r="E13" s="404">
        <f>+C13*D13</f>
        <v>0</v>
      </c>
      <c r="F13" s="403">
        <f t="shared" si="0"/>
        <v>0</v>
      </c>
      <c r="G13" s="403">
        <f t="shared" si="11"/>
        <v>3</v>
      </c>
      <c r="H13" s="403">
        <f t="shared" si="12"/>
        <v>0</v>
      </c>
      <c r="I13" s="403">
        <f t="shared" si="1"/>
        <v>0</v>
      </c>
      <c r="J13" s="403">
        <f t="shared" si="13"/>
        <v>103</v>
      </c>
      <c r="K13" s="403">
        <f t="shared" si="2"/>
        <v>3.09</v>
      </c>
      <c r="L13" s="405">
        <f t="shared" si="3"/>
        <v>0</v>
      </c>
      <c r="M13" s="403">
        <f t="shared" si="4"/>
        <v>40.039476584022047</v>
      </c>
      <c r="N13" s="403">
        <f t="shared" si="5"/>
        <v>146.12947658402206</v>
      </c>
      <c r="O13" s="403">
        <f t="shared" si="14"/>
        <v>0</v>
      </c>
    </row>
    <row r="14" spans="1:17">
      <c r="A14" s="416"/>
      <c r="B14" s="409" t="s">
        <v>369</v>
      </c>
      <c r="C14" s="425">
        <v>0</v>
      </c>
      <c r="D14" s="424">
        <v>100</v>
      </c>
      <c r="E14" s="404">
        <f>+C14*D14</f>
        <v>0</v>
      </c>
      <c r="F14" s="403">
        <f t="shared" si="0"/>
        <v>0</v>
      </c>
      <c r="G14" s="403">
        <f t="shared" si="11"/>
        <v>3</v>
      </c>
      <c r="H14" s="403">
        <f t="shared" si="12"/>
        <v>0</v>
      </c>
      <c r="I14" s="403">
        <f t="shared" si="1"/>
        <v>0</v>
      </c>
      <c r="J14" s="403">
        <f t="shared" si="13"/>
        <v>103</v>
      </c>
      <c r="K14" s="403">
        <f t="shared" si="2"/>
        <v>3.09</v>
      </c>
      <c r="L14" s="405">
        <f t="shared" si="3"/>
        <v>0</v>
      </c>
      <c r="M14" s="403">
        <f t="shared" si="4"/>
        <v>40.039476584022047</v>
      </c>
      <c r="N14" s="403">
        <f t="shared" si="5"/>
        <v>146.12947658402206</v>
      </c>
      <c r="O14" s="403">
        <f t="shared" si="14"/>
        <v>0</v>
      </c>
    </row>
    <row r="15" spans="1:17">
      <c r="A15" s="416"/>
      <c r="B15" s="409" t="s">
        <v>369</v>
      </c>
      <c r="C15" s="425">
        <v>0</v>
      </c>
      <c r="D15" s="424">
        <v>100</v>
      </c>
      <c r="E15" s="404">
        <f>+C15*D15</f>
        <v>0</v>
      </c>
      <c r="F15" s="403">
        <f t="shared" si="0"/>
        <v>0</v>
      </c>
      <c r="G15" s="403">
        <f t="shared" si="11"/>
        <v>3</v>
      </c>
      <c r="H15" s="403">
        <f t="shared" si="12"/>
        <v>0</v>
      </c>
      <c r="I15" s="403">
        <f t="shared" si="1"/>
        <v>0</v>
      </c>
      <c r="J15" s="403">
        <f t="shared" si="13"/>
        <v>103</v>
      </c>
      <c r="K15" s="403">
        <f t="shared" si="2"/>
        <v>3.09</v>
      </c>
      <c r="L15" s="405">
        <f t="shared" si="3"/>
        <v>0</v>
      </c>
      <c r="M15" s="403">
        <f t="shared" si="4"/>
        <v>40.039476584022047</v>
      </c>
      <c r="N15" s="403">
        <f t="shared" si="5"/>
        <v>146.12947658402206</v>
      </c>
      <c r="O15" s="403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60" t="s">
        <v>530</v>
      </c>
      <c r="C2" s="561"/>
      <c r="D2" s="561"/>
      <c r="E2" s="561"/>
      <c r="F2" s="561"/>
      <c r="G2" s="561"/>
      <c r="H2" s="561"/>
      <c r="I2" s="561"/>
      <c r="J2" s="561"/>
      <c r="K2" s="561"/>
      <c r="M2" s="562" t="s">
        <v>439</v>
      </c>
      <c r="N2" s="563"/>
    </row>
    <row r="3" spans="2:14" ht="14.5">
      <c r="B3" s="564" t="s">
        <v>440</v>
      </c>
      <c r="C3" s="565" t="s">
        <v>441</v>
      </c>
      <c r="D3" s="565"/>
      <c r="E3" s="565"/>
      <c r="F3" s="565"/>
      <c r="G3" s="565"/>
      <c r="H3" s="566" t="s">
        <v>442</v>
      </c>
      <c r="I3" s="566"/>
      <c r="J3" s="566"/>
      <c r="K3" s="566"/>
      <c r="M3" s="308" t="s">
        <v>441</v>
      </c>
      <c r="N3" s="309">
        <v>237600.00000000003</v>
      </c>
    </row>
    <row r="4" spans="2:14" ht="14">
      <c r="B4" s="564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2">
        <f>+Transporte!I3</f>
        <v>21.599999999999998</v>
      </c>
      <c r="J5" s="315">
        <v>0</v>
      </c>
      <c r="K5" s="316">
        <f>(H5*E5*F5) + (I5*E5)+(J5*E5)</f>
        <v>0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(H6*E6*F6)+(I6*E6)+(J6*E6)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>(H7*E7*F7)+(I7*E7)+(J7*E7)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>(H8*E8*F8)+(I8*E8)+(J8*E8)</f>
        <v>0</v>
      </c>
      <c r="M8" s="487" t="s">
        <v>899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0</v>
      </c>
    </row>
    <row r="10" spans="2:14" ht="13">
      <c r="M10" s="488" t="s">
        <v>900</v>
      </c>
    </row>
    <row r="11" spans="2:14" ht="14">
      <c r="B11" s="310" t="s">
        <v>455</v>
      </c>
      <c r="C11" s="310" t="s">
        <v>445</v>
      </c>
      <c r="D11" s="310" t="s">
        <v>456</v>
      </c>
      <c r="M11" s="487" t="s">
        <v>901</v>
      </c>
    </row>
    <row r="12" spans="2:14" ht="14">
      <c r="B12" s="322" t="s">
        <v>457</v>
      </c>
      <c r="C12" s="323">
        <v>0</v>
      </c>
      <c r="D12" s="313">
        <f>C12/5</f>
        <v>0</v>
      </c>
      <c r="M12" s="487" t="s">
        <v>902</v>
      </c>
    </row>
    <row r="13" spans="2:14" ht="14">
      <c r="B13" s="322" t="s">
        <v>458</v>
      </c>
      <c r="C13" s="323">
        <v>0</v>
      </c>
      <c r="D13" s="313">
        <f>C13/5</f>
        <v>0</v>
      </c>
      <c r="M13" s="487" t="s">
        <v>903</v>
      </c>
    </row>
    <row r="14" spans="2:14" ht="14">
      <c r="B14" s="322" t="s">
        <v>459</v>
      </c>
      <c r="C14" s="323">
        <v>0</v>
      </c>
      <c r="D14" s="313">
        <f>C14/5</f>
        <v>0</v>
      </c>
      <c r="M14" s="487" t="s">
        <v>904</v>
      </c>
    </row>
    <row r="15" spans="2:14" ht="14">
      <c r="B15" s="322" t="s">
        <v>460</v>
      </c>
      <c r="C15" s="323">
        <v>0</v>
      </c>
      <c r="D15" s="313">
        <f>C15/5</f>
        <v>0</v>
      </c>
      <c r="M15" s="487" t="s">
        <v>905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  <c r="M16" s="487" t="s">
        <v>906</v>
      </c>
    </row>
    <row r="17" spans="2:14" ht="13">
      <c r="M17" s="487" t="s">
        <v>907</v>
      </c>
    </row>
    <row r="18" spans="2:14" ht="14.5">
      <c r="B18" s="567" t="s">
        <v>529</v>
      </c>
      <c r="C18" s="568"/>
      <c r="D18" s="568"/>
      <c r="E18" s="568"/>
      <c r="F18" s="568"/>
      <c r="G18" s="568"/>
      <c r="H18" s="568"/>
      <c r="I18" s="568"/>
      <c r="J18" s="568"/>
      <c r="K18" s="568"/>
      <c r="M18" s="569" t="s">
        <v>439</v>
      </c>
      <c r="N18" s="569"/>
    </row>
    <row r="19" spans="2:14" ht="14.5">
      <c r="B19" s="564" t="s">
        <v>440</v>
      </c>
      <c r="C19" s="565" t="s">
        <v>441</v>
      </c>
      <c r="D19" s="565"/>
      <c r="E19" s="565"/>
      <c r="F19" s="565"/>
      <c r="G19" s="565"/>
      <c r="H19" s="566" t="s">
        <v>442</v>
      </c>
      <c r="I19" s="566"/>
      <c r="J19" s="566"/>
      <c r="K19" s="566"/>
      <c r="M19" s="308" t="s">
        <v>441</v>
      </c>
      <c r="N19" s="309">
        <v>79200.000000000015</v>
      </c>
    </row>
    <row r="20" spans="2:14" ht="14">
      <c r="B20" s="564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60" t="s">
        <v>529</v>
      </c>
      <c r="C34" s="561"/>
      <c r="D34" s="561"/>
      <c r="E34" s="561"/>
      <c r="F34" s="561"/>
      <c r="G34" s="561"/>
      <c r="H34" s="561"/>
      <c r="I34" s="561"/>
      <c r="J34" s="561"/>
      <c r="K34" s="561"/>
      <c r="L34" s="570"/>
      <c r="M34" s="562" t="s">
        <v>439</v>
      </c>
      <c r="N34" s="563"/>
    </row>
    <row r="35" spans="2:14" ht="14.5">
      <c r="B35" s="552" t="s">
        <v>440</v>
      </c>
      <c r="C35" s="554" t="s">
        <v>441</v>
      </c>
      <c r="D35" s="555"/>
      <c r="E35" s="555"/>
      <c r="F35" s="555"/>
      <c r="G35" s="556"/>
      <c r="H35" s="557" t="s">
        <v>442</v>
      </c>
      <c r="I35" s="558"/>
      <c r="J35" s="558"/>
      <c r="K35" s="558"/>
      <c r="L35" s="559"/>
      <c r="M35" s="308" t="s">
        <v>441</v>
      </c>
      <c r="N35" s="309">
        <v>237600.00000000003</v>
      </c>
    </row>
    <row r="36" spans="2:14" ht="14">
      <c r="B36" s="553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67" t="s">
        <v>529</v>
      </c>
      <c r="C50" s="568"/>
      <c r="D50" s="568"/>
      <c r="E50" s="568"/>
      <c r="F50" s="568"/>
      <c r="G50" s="568"/>
      <c r="H50" s="568"/>
      <c r="I50" s="568"/>
      <c r="J50" s="568"/>
      <c r="K50" s="568"/>
      <c r="M50" s="569" t="s">
        <v>439</v>
      </c>
      <c r="N50" s="569"/>
    </row>
    <row r="51" spans="2:14" ht="14.5">
      <c r="B51" s="564" t="s">
        <v>440</v>
      </c>
      <c r="C51" s="565" t="s">
        <v>441</v>
      </c>
      <c r="D51" s="565"/>
      <c r="E51" s="565"/>
      <c r="F51" s="565"/>
      <c r="G51" s="565"/>
      <c r="H51" s="566" t="s">
        <v>442</v>
      </c>
      <c r="I51" s="566"/>
      <c r="J51" s="566"/>
      <c r="K51" s="566"/>
      <c r="M51" s="308" t="s">
        <v>441</v>
      </c>
      <c r="N51" s="309">
        <v>79200.000000000015</v>
      </c>
    </row>
    <row r="52" spans="2:14" ht="14">
      <c r="B52" s="564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71" t="s">
        <v>464</v>
      </c>
      <c r="C69" s="571"/>
      <c r="D69" s="571"/>
      <c r="E69" s="571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0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0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0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0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0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0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0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71" t="s">
        <v>474</v>
      </c>
      <c r="C81" s="571"/>
      <c r="D81" s="571"/>
      <c r="E81" s="571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60" t="s">
        <v>481</v>
      </c>
      <c r="C91" s="561"/>
      <c r="D91" s="561"/>
      <c r="E91" s="561"/>
      <c r="F91" s="561"/>
      <c r="G91" s="561"/>
      <c r="H91" s="561"/>
      <c r="I91" s="561"/>
      <c r="J91" s="561"/>
      <c r="K91" s="561"/>
    </row>
    <row r="92" spans="2:11" ht="14.5">
      <c r="B92" s="564" t="s">
        <v>440</v>
      </c>
      <c r="C92" s="565" t="s">
        <v>441</v>
      </c>
      <c r="D92" s="565"/>
      <c r="E92" s="565"/>
      <c r="F92" s="565"/>
      <c r="G92" s="565"/>
      <c r="H92" s="566" t="s">
        <v>442</v>
      </c>
      <c r="I92" s="566"/>
      <c r="J92" s="566"/>
      <c r="K92" s="566"/>
    </row>
    <row r="93" spans="2:11" ht="14">
      <c r="B93" s="564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67" t="s">
        <v>482</v>
      </c>
      <c r="C107" s="568"/>
      <c r="D107" s="568"/>
      <c r="E107" s="568"/>
      <c r="F107" s="568"/>
      <c r="G107" s="568"/>
      <c r="H107" s="568"/>
      <c r="I107" s="568"/>
      <c r="J107" s="568"/>
      <c r="K107" s="568"/>
    </row>
    <row r="108" spans="2:11" ht="14.5">
      <c r="B108" s="564" t="s">
        <v>440</v>
      </c>
      <c r="C108" s="565" t="s">
        <v>441</v>
      </c>
      <c r="D108" s="565"/>
      <c r="E108" s="565"/>
      <c r="F108" s="565"/>
      <c r="G108" s="565"/>
      <c r="H108" s="566" t="s">
        <v>442</v>
      </c>
      <c r="I108" s="566"/>
      <c r="J108" s="566"/>
      <c r="K108" s="566"/>
    </row>
    <row r="109" spans="2:11" ht="14">
      <c r="B109" s="564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60" t="s">
        <v>483</v>
      </c>
      <c r="C123" s="561"/>
      <c r="D123" s="561"/>
      <c r="E123" s="561"/>
      <c r="F123" s="561"/>
      <c r="G123" s="561"/>
      <c r="H123" s="561"/>
      <c r="I123" s="561"/>
      <c r="J123" s="561"/>
      <c r="K123" s="561"/>
    </row>
    <row r="124" spans="2:11" ht="14.5">
      <c r="B124" s="564" t="s">
        <v>440</v>
      </c>
      <c r="C124" s="565" t="s">
        <v>441</v>
      </c>
      <c r="D124" s="565"/>
      <c r="E124" s="565"/>
      <c r="F124" s="565"/>
      <c r="G124" s="565"/>
      <c r="H124" s="566" t="s">
        <v>442</v>
      </c>
      <c r="I124" s="566"/>
      <c r="J124" s="566"/>
      <c r="K124" s="566"/>
    </row>
    <row r="125" spans="2:11" ht="14">
      <c r="B125" s="564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67" t="s">
        <v>484</v>
      </c>
      <c r="C139" s="568"/>
      <c r="D139" s="568"/>
      <c r="E139" s="568"/>
      <c r="F139" s="568"/>
      <c r="G139" s="568"/>
      <c r="H139" s="568"/>
      <c r="I139" s="568"/>
      <c r="J139" s="568"/>
      <c r="K139" s="568"/>
    </row>
    <row r="140" spans="2:11" ht="14.5">
      <c r="B140" s="564" t="s">
        <v>440</v>
      </c>
      <c r="C140" s="565" t="s">
        <v>441</v>
      </c>
      <c r="D140" s="565"/>
      <c r="E140" s="565"/>
      <c r="F140" s="565"/>
      <c r="G140" s="565"/>
      <c r="H140" s="566" t="s">
        <v>442</v>
      </c>
      <c r="I140" s="566"/>
      <c r="J140" s="566"/>
      <c r="K140" s="566"/>
    </row>
    <row r="141" spans="2:11" ht="14">
      <c r="B141" s="564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71" t="s">
        <v>464</v>
      </c>
      <c r="C158" s="571"/>
      <c r="D158" s="571"/>
      <c r="E158" s="571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1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1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1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1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1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1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1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71" t="s">
        <v>474</v>
      </c>
      <c r="C170" s="571"/>
      <c r="D170" s="571"/>
      <c r="E170" s="571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639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31" t="s">
        <v>509</v>
      </c>
      <c r="M16" s="431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7" t="s">
        <v>640</v>
      </c>
    </row>
    <row r="25" spans="12:13" ht="15" customHeight="1">
      <c r="L25" s="457" t="s">
        <v>641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47" t="s">
        <v>355</v>
      </c>
      <c r="B1" s="547"/>
      <c r="C1" s="547"/>
      <c r="D1" s="547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50" t="s">
        <v>217</v>
      </c>
      <c r="B3" s="550"/>
      <c r="C3" s="550"/>
      <c r="D3" s="550"/>
      <c r="E3" s="550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4"/>
      <c r="B6" s="409" t="s">
        <v>375</v>
      </c>
      <c r="C6" s="425">
        <v>0</v>
      </c>
      <c r="D6" s="424">
        <v>0</v>
      </c>
      <c r="E6" s="411">
        <f t="shared" ref="E6:E13" si="0">+D6*C6</f>
        <v>0</v>
      </c>
      <c r="F6" s="403">
        <f t="shared" ref="F6:F22" si="1">IF(B6="si",D6*$F$4,0)</f>
        <v>0</v>
      </c>
      <c r="G6" s="413">
        <f t="shared" ref="G6:G13" si="2">(D6+F6)*$G$4</f>
        <v>0</v>
      </c>
      <c r="H6" s="413">
        <f t="shared" ref="H6:H13" si="3">(D6+F6+G6)*$H$4</f>
        <v>0</v>
      </c>
      <c r="I6" s="403">
        <f t="shared" ref="I6:I22" si="4">IF(B6="si",(D6+F6+G6+H6)*$I$4,0)</f>
        <v>0</v>
      </c>
      <c r="J6" s="413">
        <f t="shared" ref="J6:J13" si="5">D6+F6+G6+H6+I6</f>
        <v>0</v>
      </c>
      <c r="K6" s="403">
        <f t="shared" ref="K6:K22" si="6">J6*$K$4</f>
        <v>0</v>
      </c>
      <c r="L6" s="405">
        <f t="shared" ref="L6:L22" si="7">(J6+K6)*C6</f>
        <v>0</v>
      </c>
      <c r="M6" s="413">
        <f>(J6+K6)*$M$4/(1-$M$4)</f>
        <v>0</v>
      </c>
      <c r="N6" s="413">
        <f>M6+J6+K6</f>
        <v>0</v>
      </c>
      <c r="O6" s="413">
        <f t="shared" ref="O6:O13" si="8">N6*C6</f>
        <v>0</v>
      </c>
    </row>
    <row r="7" spans="1:15">
      <c r="A7" s="414"/>
      <c r="B7" s="409" t="s">
        <v>375</v>
      </c>
      <c r="C7" s="425">
        <v>0</v>
      </c>
      <c r="D7" s="424">
        <v>0</v>
      </c>
      <c r="E7" s="411">
        <f t="shared" si="0"/>
        <v>0</v>
      </c>
      <c r="F7" s="403">
        <f t="shared" si="1"/>
        <v>0</v>
      </c>
      <c r="G7" s="413">
        <f t="shared" si="2"/>
        <v>0</v>
      </c>
      <c r="H7" s="413">
        <f t="shared" si="3"/>
        <v>0</v>
      </c>
      <c r="I7" s="403">
        <f t="shared" si="4"/>
        <v>0</v>
      </c>
      <c r="J7" s="413">
        <f t="shared" si="5"/>
        <v>0</v>
      </c>
      <c r="K7" s="403">
        <f t="shared" si="6"/>
        <v>0</v>
      </c>
      <c r="L7" s="405">
        <f t="shared" si="7"/>
        <v>0</v>
      </c>
      <c r="M7" s="413">
        <f t="shared" ref="M7:M22" si="9">(J7+K7)*$M$4/(1-$M$4)</f>
        <v>0</v>
      </c>
      <c r="N7" s="413">
        <f t="shared" ref="N7:N22" si="10">M7+J7+K7</f>
        <v>0</v>
      </c>
      <c r="O7" s="413">
        <f t="shared" si="8"/>
        <v>0</v>
      </c>
    </row>
    <row r="8" spans="1:15">
      <c r="A8" s="414"/>
      <c r="B8" s="409" t="s">
        <v>375</v>
      </c>
      <c r="C8" s="425">
        <v>0</v>
      </c>
      <c r="D8" s="424">
        <v>0</v>
      </c>
      <c r="E8" s="411">
        <f t="shared" si="0"/>
        <v>0</v>
      </c>
      <c r="F8" s="403">
        <f t="shared" si="1"/>
        <v>0</v>
      </c>
      <c r="G8" s="413">
        <f t="shared" si="2"/>
        <v>0</v>
      </c>
      <c r="H8" s="413">
        <f t="shared" si="3"/>
        <v>0</v>
      </c>
      <c r="I8" s="403">
        <f t="shared" si="4"/>
        <v>0</v>
      </c>
      <c r="J8" s="413">
        <f t="shared" si="5"/>
        <v>0</v>
      </c>
      <c r="K8" s="403">
        <f t="shared" si="6"/>
        <v>0</v>
      </c>
      <c r="L8" s="405">
        <f t="shared" si="7"/>
        <v>0</v>
      </c>
      <c r="M8" s="413">
        <f t="shared" si="9"/>
        <v>0</v>
      </c>
      <c r="N8" s="413">
        <f t="shared" si="10"/>
        <v>0</v>
      </c>
      <c r="O8" s="413">
        <f t="shared" si="8"/>
        <v>0</v>
      </c>
    </row>
    <row r="9" spans="1:15">
      <c r="A9" s="414"/>
      <c r="B9" s="409" t="s">
        <v>375</v>
      </c>
      <c r="C9" s="425">
        <v>0</v>
      </c>
      <c r="D9" s="424">
        <v>0</v>
      </c>
      <c r="E9" s="411">
        <f t="shared" ref="E9:E11" si="11">+D9*C9</f>
        <v>0</v>
      </c>
      <c r="F9" s="403">
        <f t="shared" ref="F9:F11" si="12">IF(B9="si",D9*$F$4,0)</f>
        <v>0</v>
      </c>
      <c r="G9" s="413">
        <f t="shared" ref="G9:G11" si="13">(D9+F9)*$G$4</f>
        <v>0</v>
      </c>
      <c r="H9" s="413">
        <f t="shared" ref="H9:H11" si="14">(D9+F9+G9)*$H$4</f>
        <v>0</v>
      </c>
      <c r="I9" s="403">
        <f t="shared" ref="I9:I11" si="15">IF(B9="si",(D9+F9+G9+H9)*$I$4,0)</f>
        <v>0</v>
      </c>
      <c r="J9" s="413">
        <f t="shared" ref="J9:J11" si="16">D9+F9+G9+H9+I9</f>
        <v>0</v>
      </c>
      <c r="K9" s="403">
        <f t="shared" ref="K9:K11" si="17">J9*$K$4</f>
        <v>0</v>
      </c>
      <c r="L9" s="405">
        <f t="shared" si="7"/>
        <v>0</v>
      </c>
      <c r="M9" s="413">
        <f t="shared" si="9"/>
        <v>0</v>
      </c>
      <c r="N9" s="413">
        <f t="shared" si="10"/>
        <v>0</v>
      </c>
      <c r="O9" s="413">
        <f t="shared" ref="O9:O11" si="18">N9*C9</f>
        <v>0</v>
      </c>
    </row>
    <row r="10" spans="1:15">
      <c r="A10" s="414"/>
      <c r="B10" s="409" t="s">
        <v>375</v>
      </c>
      <c r="C10" s="425">
        <v>0</v>
      </c>
      <c r="D10" s="424">
        <v>0</v>
      </c>
      <c r="E10" s="411">
        <f t="shared" si="11"/>
        <v>0</v>
      </c>
      <c r="F10" s="403">
        <f t="shared" si="12"/>
        <v>0</v>
      </c>
      <c r="G10" s="413">
        <f t="shared" si="13"/>
        <v>0</v>
      </c>
      <c r="H10" s="413">
        <f t="shared" si="14"/>
        <v>0</v>
      </c>
      <c r="I10" s="403">
        <f t="shared" si="15"/>
        <v>0</v>
      </c>
      <c r="J10" s="413">
        <f t="shared" si="16"/>
        <v>0</v>
      </c>
      <c r="K10" s="403">
        <f t="shared" si="17"/>
        <v>0</v>
      </c>
      <c r="L10" s="405">
        <f t="shared" si="7"/>
        <v>0</v>
      </c>
      <c r="M10" s="413">
        <f t="shared" si="9"/>
        <v>0</v>
      </c>
      <c r="N10" s="413">
        <f t="shared" si="10"/>
        <v>0</v>
      </c>
      <c r="O10" s="413">
        <f t="shared" si="18"/>
        <v>0</v>
      </c>
    </row>
    <row r="11" spans="1:15">
      <c r="A11" s="414"/>
      <c r="B11" s="409" t="s">
        <v>375</v>
      </c>
      <c r="C11" s="425">
        <v>0</v>
      </c>
      <c r="D11" s="424">
        <v>0</v>
      </c>
      <c r="E11" s="411">
        <f t="shared" si="11"/>
        <v>0</v>
      </c>
      <c r="F11" s="403">
        <f t="shared" si="12"/>
        <v>0</v>
      </c>
      <c r="G11" s="413">
        <f t="shared" si="13"/>
        <v>0</v>
      </c>
      <c r="H11" s="413">
        <f t="shared" si="14"/>
        <v>0</v>
      </c>
      <c r="I11" s="403">
        <f t="shared" si="15"/>
        <v>0</v>
      </c>
      <c r="J11" s="413">
        <f t="shared" si="16"/>
        <v>0</v>
      </c>
      <c r="K11" s="403">
        <f t="shared" si="17"/>
        <v>0</v>
      </c>
      <c r="L11" s="405">
        <f t="shared" si="7"/>
        <v>0</v>
      </c>
      <c r="M11" s="413">
        <f t="shared" si="9"/>
        <v>0</v>
      </c>
      <c r="N11" s="413">
        <f t="shared" si="10"/>
        <v>0</v>
      </c>
      <c r="O11" s="413">
        <f t="shared" si="18"/>
        <v>0</v>
      </c>
    </row>
    <row r="12" spans="1:15">
      <c r="A12" s="414"/>
      <c r="B12" s="409" t="s">
        <v>375</v>
      </c>
      <c r="C12" s="425">
        <v>0</v>
      </c>
      <c r="D12" s="424">
        <v>0</v>
      </c>
      <c r="E12" s="411">
        <f t="shared" ref="E12" si="19">+D12*C12</f>
        <v>0</v>
      </c>
      <c r="F12" s="403">
        <f t="shared" ref="F12" si="20">IF(B12="si",D12*$F$4,0)</f>
        <v>0</v>
      </c>
      <c r="G12" s="413">
        <f t="shared" ref="G12" si="21">(D12+F12)*$G$4</f>
        <v>0</v>
      </c>
      <c r="H12" s="413">
        <f t="shared" ref="H12" si="22">(D12+F12+G12)*$H$4</f>
        <v>0</v>
      </c>
      <c r="I12" s="403">
        <f t="shared" ref="I12" si="23">IF(B12="si",(D12+F12+G12+H12)*$I$4,0)</f>
        <v>0</v>
      </c>
      <c r="J12" s="413">
        <f t="shared" ref="J12" si="24">D12+F12+G12+H12+I12</f>
        <v>0</v>
      </c>
      <c r="K12" s="403">
        <f t="shared" ref="K12" si="25">J12*$K$4</f>
        <v>0</v>
      </c>
      <c r="L12" s="405">
        <f t="shared" si="7"/>
        <v>0</v>
      </c>
      <c r="M12" s="413">
        <f t="shared" si="9"/>
        <v>0</v>
      </c>
      <c r="N12" s="413">
        <f t="shared" si="10"/>
        <v>0</v>
      </c>
      <c r="O12" s="413">
        <f t="shared" ref="O12" si="26">N12*C12</f>
        <v>0</v>
      </c>
    </row>
    <row r="13" spans="1:15">
      <c r="A13" s="414"/>
      <c r="B13" s="409" t="s">
        <v>375</v>
      </c>
      <c r="C13" s="425">
        <v>0</v>
      </c>
      <c r="D13" s="424">
        <v>0</v>
      </c>
      <c r="E13" s="411">
        <f t="shared" si="0"/>
        <v>0</v>
      </c>
      <c r="F13" s="403">
        <f t="shared" si="1"/>
        <v>0</v>
      </c>
      <c r="G13" s="413">
        <f t="shared" si="2"/>
        <v>0</v>
      </c>
      <c r="H13" s="413">
        <f t="shared" si="3"/>
        <v>0</v>
      </c>
      <c r="I13" s="403">
        <f t="shared" si="4"/>
        <v>0</v>
      </c>
      <c r="J13" s="413">
        <f t="shared" si="5"/>
        <v>0</v>
      </c>
      <c r="K13" s="403">
        <f t="shared" si="6"/>
        <v>0</v>
      </c>
      <c r="L13" s="405">
        <f t="shared" si="7"/>
        <v>0</v>
      </c>
      <c r="M13" s="413">
        <f t="shared" si="9"/>
        <v>0</v>
      </c>
      <c r="N13" s="413">
        <f t="shared" si="10"/>
        <v>0</v>
      </c>
      <c r="O13" s="413">
        <f t="shared" si="8"/>
        <v>0</v>
      </c>
    </row>
    <row r="14" spans="1:15">
      <c r="A14" s="210"/>
      <c r="B14" s="409" t="s">
        <v>375</v>
      </c>
      <c r="C14" s="425">
        <v>0</v>
      </c>
      <c r="D14" s="424">
        <v>0</v>
      </c>
      <c r="E14" s="411">
        <f t="shared" ref="E14" si="27">+D14*C14</f>
        <v>0</v>
      </c>
      <c r="F14" s="403">
        <f t="shared" ref="F14" si="28">IF(B14="si",D14*$F$4,0)</f>
        <v>0</v>
      </c>
      <c r="G14" s="413">
        <f t="shared" ref="G14" si="29">(D14+F14)*$G$4</f>
        <v>0</v>
      </c>
      <c r="H14" s="413">
        <f t="shared" ref="H14" si="30">(D14+F14+G14)*$H$4</f>
        <v>0</v>
      </c>
      <c r="I14" s="403">
        <f t="shared" ref="I14" si="31">IF(B14="si",(D14+F14+G14+H14)*$I$4,0)</f>
        <v>0</v>
      </c>
      <c r="J14" s="413">
        <f t="shared" ref="J14" si="32">D14+F14+G14+H14+I14</f>
        <v>0</v>
      </c>
      <c r="K14" s="403">
        <f t="shared" ref="K14" si="33">J14*$K$4</f>
        <v>0</v>
      </c>
      <c r="L14" s="405">
        <f t="shared" si="7"/>
        <v>0</v>
      </c>
      <c r="M14" s="413">
        <f t="shared" si="9"/>
        <v>0</v>
      </c>
      <c r="N14" s="413">
        <f t="shared" si="10"/>
        <v>0</v>
      </c>
      <c r="O14" s="413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9"/>
      <c r="B16" s="409" t="s">
        <v>375</v>
      </c>
      <c r="C16" s="425">
        <v>0</v>
      </c>
      <c r="D16" s="424">
        <v>0</v>
      </c>
      <c r="E16" s="404">
        <f>+C16*D16*(1-C25)</f>
        <v>0</v>
      </c>
      <c r="F16" s="403">
        <f t="shared" si="1"/>
        <v>0</v>
      </c>
      <c r="G16" s="403">
        <f t="shared" ref="G16:G20" si="35">(D16+F16)*$G$4</f>
        <v>0</v>
      </c>
      <c r="H16" s="403">
        <f t="shared" ref="H16:H20" si="36">(D16+F16+G16)*$H$4</f>
        <v>0</v>
      </c>
      <c r="I16" s="403">
        <f t="shared" si="4"/>
        <v>0</v>
      </c>
      <c r="J16" s="403">
        <f t="shared" ref="J16:J20" si="37">D16+F16+G16+H16+I16</f>
        <v>0</v>
      </c>
      <c r="K16" s="403">
        <f t="shared" si="6"/>
        <v>0</v>
      </c>
      <c r="L16" s="405">
        <f t="shared" si="7"/>
        <v>0</v>
      </c>
      <c r="M16" s="413">
        <f t="shared" si="9"/>
        <v>0</v>
      </c>
      <c r="N16" s="413">
        <f t="shared" si="10"/>
        <v>0</v>
      </c>
      <c r="O16" s="403">
        <f t="shared" ref="O16:O20" si="38">N16*C16</f>
        <v>0</v>
      </c>
    </row>
    <row r="17" spans="1:18">
      <c r="A17" s="415"/>
      <c r="B17" s="409" t="s">
        <v>375</v>
      </c>
      <c r="C17" s="425">
        <v>0</v>
      </c>
      <c r="D17" s="424">
        <v>0</v>
      </c>
      <c r="E17" s="404">
        <f>+C17*D17</f>
        <v>0</v>
      </c>
      <c r="F17" s="403">
        <f t="shared" si="1"/>
        <v>0</v>
      </c>
      <c r="G17" s="403">
        <f t="shared" si="35"/>
        <v>0</v>
      </c>
      <c r="H17" s="403">
        <f t="shared" si="36"/>
        <v>0</v>
      </c>
      <c r="I17" s="403">
        <f t="shared" si="4"/>
        <v>0</v>
      </c>
      <c r="J17" s="403">
        <f t="shared" si="37"/>
        <v>0</v>
      </c>
      <c r="K17" s="403">
        <f t="shared" si="6"/>
        <v>0</v>
      </c>
      <c r="L17" s="405">
        <f t="shared" si="7"/>
        <v>0</v>
      </c>
      <c r="M17" s="413">
        <f t="shared" si="9"/>
        <v>0</v>
      </c>
      <c r="N17" s="413">
        <f t="shared" si="10"/>
        <v>0</v>
      </c>
      <c r="O17" s="403">
        <f t="shared" si="38"/>
        <v>0</v>
      </c>
    </row>
    <row r="18" spans="1:18">
      <c r="A18" s="415"/>
      <c r="B18" s="409" t="s">
        <v>375</v>
      </c>
      <c r="C18" s="425">
        <v>0</v>
      </c>
      <c r="D18" s="424">
        <v>0</v>
      </c>
      <c r="E18" s="404">
        <f>+C18*D18</f>
        <v>0</v>
      </c>
      <c r="F18" s="403">
        <f t="shared" si="1"/>
        <v>0</v>
      </c>
      <c r="G18" s="403">
        <f t="shared" si="35"/>
        <v>0</v>
      </c>
      <c r="H18" s="403">
        <f t="shared" si="36"/>
        <v>0</v>
      </c>
      <c r="I18" s="403">
        <f t="shared" si="4"/>
        <v>0</v>
      </c>
      <c r="J18" s="403">
        <f t="shared" si="37"/>
        <v>0</v>
      </c>
      <c r="K18" s="403">
        <f t="shared" si="6"/>
        <v>0</v>
      </c>
      <c r="L18" s="405">
        <f t="shared" si="7"/>
        <v>0</v>
      </c>
      <c r="M18" s="413">
        <f t="shared" si="9"/>
        <v>0</v>
      </c>
      <c r="N18" s="413">
        <f t="shared" si="10"/>
        <v>0</v>
      </c>
      <c r="O18" s="403">
        <f t="shared" si="38"/>
        <v>0</v>
      </c>
    </row>
    <row r="19" spans="1:18">
      <c r="A19" s="416"/>
      <c r="B19" s="409" t="s">
        <v>375</v>
      </c>
      <c r="C19" s="425">
        <v>0</v>
      </c>
      <c r="D19" s="424">
        <v>0</v>
      </c>
      <c r="E19" s="404">
        <f>+C19*D19</f>
        <v>0</v>
      </c>
      <c r="F19" s="403">
        <f t="shared" si="1"/>
        <v>0</v>
      </c>
      <c r="G19" s="403">
        <f t="shared" si="35"/>
        <v>0</v>
      </c>
      <c r="H19" s="403">
        <f t="shared" si="36"/>
        <v>0</v>
      </c>
      <c r="I19" s="403">
        <f t="shared" si="4"/>
        <v>0</v>
      </c>
      <c r="J19" s="403">
        <f t="shared" si="37"/>
        <v>0</v>
      </c>
      <c r="K19" s="403">
        <f t="shared" si="6"/>
        <v>0</v>
      </c>
      <c r="L19" s="405">
        <f t="shared" si="7"/>
        <v>0</v>
      </c>
      <c r="M19" s="413">
        <f t="shared" si="9"/>
        <v>0</v>
      </c>
      <c r="N19" s="413">
        <f t="shared" si="10"/>
        <v>0</v>
      </c>
      <c r="O19" s="403">
        <f t="shared" si="38"/>
        <v>0</v>
      </c>
    </row>
    <row r="20" spans="1:18">
      <c r="A20" s="416"/>
      <c r="B20" s="409" t="s">
        <v>375</v>
      </c>
      <c r="C20" s="425">
        <v>0</v>
      </c>
      <c r="D20" s="424">
        <v>0</v>
      </c>
      <c r="E20" s="404">
        <f>+C20*D20</f>
        <v>0</v>
      </c>
      <c r="F20" s="403">
        <f t="shared" si="1"/>
        <v>0</v>
      </c>
      <c r="G20" s="403">
        <f t="shared" si="35"/>
        <v>0</v>
      </c>
      <c r="H20" s="403">
        <f t="shared" si="36"/>
        <v>0</v>
      </c>
      <c r="I20" s="403">
        <f t="shared" si="4"/>
        <v>0</v>
      </c>
      <c r="J20" s="403">
        <f t="shared" si="37"/>
        <v>0</v>
      </c>
      <c r="K20" s="403">
        <f t="shared" si="6"/>
        <v>0</v>
      </c>
      <c r="L20" s="405">
        <f t="shared" si="7"/>
        <v>0</v>
      </c>
      <c r="M20" s="413">
        <f t="shared" si="9"/>
        <v>0</v>
      </c>
      <c r="N20" s="413">
        <f t="shared" si="10"/>
        <v>0</v>
      </c>
      <c r="O20" s="403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6"/>
      <c r="B22" s="409" t="s">
        <v>375</v>
      </c>
      <c r="C22" s="425">
        <v>0</v>
      </c>
      <c r="D22" s="424">
        <v>0</v>
      </c>
      <c r="E22" s="404">
        <f>+C22*D22</f>
        <v>0</v>
      </c>
      <c r="F22" s="403">
        <f t="shared" si="1"/>
        <v>0</v>
      </c>
      <c r="G22" s="403">
        <f t="shared" ref="G22" si="39">(D22+F22)*$G$4</f>
        <v>0</v>
      </c>
      <c r="H22" s="403">
        <f t="shared" ref="H22" si="40">(D22+F22+G22)*$H$4</f>
        <v>0</v>
      </c>
      <c r="I22" s="403">
        <f t="shared" si="4"/>
        <v>0</v>
      </c>
      <c r="J22" s="403">
        <f t="shared" ref="J22" si="41">D22+F22+G22+H22+I22</f>
        <v>0</v>
      </c>
      <c r="K22" s="403">
        <f t="shared" si="6"/>
        <v>0</v>
      </c>
      <c r="L22" s="405">
        <f t="shared" si="7"/>
        <v>0</v>
      </c>
      <c r="M22" s="413">
        <f t="shared" si="9"/>
        <v>0</v>
      </c>
      <c r="N22" s="413">
        <f t="shared" si="10"/>
        <v>0</v>
      </c>
      <c r="O22" s="403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55" customWidth="1"/>
    <col min="4" max="4" width="44.6328125" style="455" customWidth="1"/>
  </cols>
  <sheetData>
    <row r="1" spans="1:4" ht="20">
      <c r="A1" s="449" t="s">
        <v>573</v>
      </c>
    </row>
    <row r="2" spans="1:4" ht="13">
      <c r="A2" s="450" t="s">
        <v>574</v>
      </c>
    </row>
    <row r="4" spans="1:4" ht="13">
      <c r="A4" s="451" t="s">
        <v>575</v>
      </c>
    </row>
    <row r="5" spans="1:4" ht="13">
      <c r="A5" t="s">
        <v>576</v>
      </c>
      <c r="B5" s="452"/>
      <c r="C5" s="456" t="s">
        <v>577</v>
      </c>
      <c r="D5" s="455" t="s">
        <v>578</v>
      </c>
    </row>
    <row r="6" spans="1:4" ht="13">
      <c r="A6" t="s">
        <v>485</v>
      </c>
      <c r="B6" s="452"/>
      <c r="C6" s="456"/>
    </row>
    <row r="7" spans="1:4" ht="13">
      <c r="A7" t="s">
        <v>579</v>
      </c>
      <c r="B7" s="452"/>
      <c r="C7" s="456"/>
    </row>
    <row r="8" spans="1:4" ht="13">
      <c r="A8" t="s">
        <v>580</v>
      </c>
      <c r="B8" s="452"/>
      <c r="C8" s="456" t="s">
        <v>581</v>
      </c>
    </row>
    <row r="9" spans="1:4" ht="13">
      <c r="A9" t="s">
        <v>582</v>
      </c>
      <c r="B9" s="452"/>
      <c r="C9" s="456"/>
      <c r="D9" s="455" t="s">
        <v>583</v>
      </c>
    </row>
    <row r="10" spans="1:4" ht="13">
      <c r="A10" t="s">
        <v>584</v>
      </c>
      <c r="B10" s="453">
        <f ca="1">TODAY()</f>
        <v>46293</v>
      </c>
      <c r="C10" s="456"/>
    </row>
    <row r="11" spans="1:4" ht="13">
      <c r="A11" t="s">
        <v>585</v>
      </c>
      <c r="B11" s="452"/>
      <c r="C11" s="456"/>
    </row>
    <row r="12" spans="1:4" ht="13">
      <c r="A12" t="s">
        <v>586</v>
      </c>
      <c r="B12" s="452"/>
      <c r="C12" s="456"/>
    </row>
    <row r="14" spans="1:4" ht="13">
      <c r="A14" s="451" t="s">
        <v>587</v>
      </c>
      <c r="D14" s="455" t="s">
        <v>588</v>
      </c>
    </row>
    <row r="15" spans="1:4" ht="13">
      <c r="A15" t="s">
        <v>589</v>
      </c>
      <c r="B15" s="452"/>
      <c r="C15" s="456" t="s">
        <v>590</v>
      </c>
      <c r="D15" s="455" t="s">
        <v>591</v>
      </c>
    </row>
    <row r="16" spans="1:4" ht="13">
      <c r="A16" t="s">
        <v>592</v>
      </c>
      <c r="B16" s="452"/>
      <c r="C16" s="456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55" t="s">
        <v>593</v>
      </c>
    </row>
    <row r="17" spans="1:4" ht="13">
      <c r="A17" t="s">
        <v>594</v>
      </c>
      <c r="B17" s="452"/>
      <c r="C17" s="456"/>
      <c r="D17" s="455" t="s">
        <v>595</v>
      </c>
    </row>
    <row r="19" spans="1:4" ht="13">
      <c r="A19" s="451" t="s">
        <v>596</v>
      </c>
      <c r="D19" s="455" t="s">
        <v>597</v>
      </c>
    </row>
    <row r="20" spans="1:4" ht="13">
      <c r="A20" t="s">
        <v>598</v>
      </c>
      <c r="B20" s="452"/>
      <c r="C20" s="456" t="s">
        <v>590</v>
      </c>
      <c r="D20" s="455" t="s">
        <v>599</v>
      </c>
    </row>
    <row r="21" spans="1:4" ht="13">
      <c r="A21" t="s">
        <v>600</v>
      </c>
      <c r="B21" s="452"/>
      <c r="C21" s="456"/>
    </row>
    <row r="22" spans="1:4" ht="13">
      <c r="A22" t="s">
        <v>601</v>
      </c>
      <c r="B22" s="452"/>
      <c r="C22" s="456"/>
    </row>
    <row r="23" spans="1:4" ht="13">
      <c r="A23" t="s">
        <v>602</v>
      </c>
      <c r="B23" s="452"/>
      <c r="C23" s="456"/>
      <c r="D23" s="455" t="s">
        <v>603</v>
      </c>
    </row>
    <row r="24" spans="1:4" ht="13">
      <c r="A24" t="s">
        <v>604</v>
      </c>
      <c r="B24" s="452"/>
      <c r="C24" s="456" t="s">
        <v>921</v>
      </c>
      <c r="D24" s="455" t="s">
        <v>605</v>
      </c>
    </row>
    <row r="26" spans="1:4" ht="13">
      <c r="A26" s="451" t="s">
        <v>606</v>
      </c>
      <c r="D26" s="455" t="s">
        <v>607</v>
      </c>
    </row>
    <row r="27" spans="1:4" ht="13">
      <c r="A27" t="s">
        <v>608</v>
      </c>
      <c r="B27" s="454">
        <f>Equipos!G4</f>
        <v>0.1</v>
      </c>
      <c r="C27" s="456"/>
    </row>
    <row r="28" spans="1:4" ht="13">
      <c r="A28" t="s">
        <v>609</v>
      </c>
      <c r="B28" s="454">
        <f>Equipos!H4</f>
        <v>0.03</v>
      </c>
      <c r="C28" s="456"/>
    </row>
    <row r="29" spans="1:4" ht="13">
      <c r="A29" t="s">
        <v>610</v>
      </c>
      <c r="B29" s="454">
        <f>Equipos!I4</f>
        <v>0</v>
      </c>
      <c r="C29" s="456"/>
      <c r="D29" s="455" t="s">
        <v>611</v>
      </c>
    </row>
    <row r="30" spans="1:4" ht="13">
      <c r="A30" t="s">
        <v>612</v>
      </c>
      <c r="B30" s="454">
        <f>Equipos!J4</f>
        <v>0.15</v>
      </c>
      <c r="C30" s="456"/>
    </row>
    <row r="31" spans="1:4" ht="13">
      <c r="A31" t="s">
        <v>613</v>
      </c>
      <c r="B31" s="454">
        <f>Equipos!L4</f>
        <v>0.03</v>
      </c>
      <c r="C31" s="456"/>
    </row>
    <row r="32" spans="1:4" ht="13">
      <c r="A32" t="s">
        <v>614</v>
      </c>
      <c r="B32" s="454">
        <f>Equipos!N4</f>
        <v>0.27400000000000002</v>
      </c>
      <c r="C32" s="456"/>
      <c r="D32" s="455" t="s">
        <v>615</v>
      </c>
    </row>
    <row r="33" spans="1:4" ht="13">
      <c r="A33" t="s">
        <v>616</v>
      </c>
      <c r="B33" s="454">
        <f>MATERIALES!M4</f>
        <v>0.3</v>
      </c>
      <c r="C33" s="456"/>
    </row>
    <row r="35" spans="1:4" ht="13">
      <c r="A35" s="451" t="s">
        <v>617</v>
      </c>
      <c r="D35" s="455" t="s">
        <v>618</v>
      </c>
    </row>
    <row r="36" spans="1:4" ht="13">
      <c r="A36" t="s">
        <v>619</v>
      </c>
      <c r="B36" s="452"/>
      <c r="C36" s="456" t="s">
        <v>620</v>
      </c>
    </row>
    <row r="37" spans="1:4" ht="13">
      <c r="A37" t="s">
        <v>621</v>
      </c>
      <c r="B37" s="452"/>
      <c r="C37" s="456"/>
      <c r="D37" s="455" t="s">
        <v>622</v>
      </c>
    </row>
    <row r="38" spans="1:4" ht="13">
      <c r="A38" t="s">
        <v>623</v>
      </c>
      <c r="B38" s="452"/>
      <c r="C38" s="456"/>
      <c r="D38" s="455" t="s">
        <v>624</v>
      </c>
    </row>
    <row r="39" spans="1:4" ht="13">
      <c r="A39" t="s">
        <v>625</v>
      </c>
      <c r="B39" s="452"/>
      <c r="C39" s="456"/>
      <c r="D39" s="455" t="s">
        <v>626</v>
      </c>
    </row>
    <row r="41" spans="1:4" ht="13">
      <c r="A41" s="451" t="s">
        <v>627</v>
      </c>
      <c r="D41" s="455" t="s">
        <v>628</v>
      </c>
    </row>
    <row r="42" spans="1:4" ht="13">
      <c r="A42" t="s">
        <v>629</v>
      </c>
      <c r="B42" s="452"/>
      <c r="C42" s="456" t="s">
        <v>590</v>
      </c>
      <c r="D42" s="455" t="s">
        <v>630</v>
      </c>
    </row>
    <row r="43" spans="1:4" ht="13">
      <c r="A43" t="s">
        <v>631</v>
      </c>
      <c r="B43" s="452"/>
      <c r="C43" s="456"/>
      <c r="D43" s="455" t="s">
        <v>632</v>
      </c>
    </row>
    <row r="44" spans="1:4" ht="13">
      <c r="A44" t="s">
        <v>633</v>
      </c>
      <c r="B44" s="452"/>
      <c r="C44" s="456"/>
      <c r="D44" s="455" t="s">
        <v>632</v>
      </c>
    </row>
    <row r="46" spans="1:4" ht="13">
      <c r="A46" s="451" t="s">
        <v>634</v>
      </c>
      <c r="D46" s="455" t="s">
        <v>635</v>
      </c>
    </row>
    <row r="47" spans="1:4" ht="13">
      <c r="A47" t="s">
        <v>636</v>
      </c>
      <c r="B47" s="452"/>
      <c r="C47" s="456"/>
      <c r="D47" s="455" t="s">
        <v>637</v>
      </c>
    </row>
    <row r="48" spans="1:4" ht="13">
      <c r="A48" t="s">
        <v>638</v>
      </c>
      <c r="B48" s="452"/>
      <c r="C48" s="45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1.6328125" style="458" customWidth="1"/>
    <col min="3" max="3" width="40.6328125" style="458" customWidth="1"/>
    <col min="4" max="4" width="44.6328125" style="458" customWidth="1"/>
    <col min="5" max="5" width="42.6328125" style="458" customWidth="1"/>
    <col min="6" max="6" width="46.6328125" style="458" customWidth="1"/>
    <col min="7" max="16384" width="8.7265625" style="458"/>
  </cols>
  <sheetData>
    <row r="1" spans="2:6" ht="32" customHeight="1">
      <c r="B1" s="459" t="s">
        <v>654</v>
      </c>
    </row>
    <row r="2" spans="2:6" ht="16" customHeight="1">
      <c r="B2" s="460" t="s">
        <v>804</v>
      </c>
    </row>
    <row r="3" spans="2:6" ht="8" customHeight="1"/>
    <row r="4" spans="2:6">
      <c r="B4" s="471" t="s">
        <v>655</v>
      </c>
      <c r="C4" s="471" t="s">
        <v>656</v>
      </c>
      <c r="D4" s="471" t="s">
        <v>657</v>
      </c>
      <c r="E4" s="471" t="s">
        <v>658</v>
      </c>
      <c r="F4" s="471" t="s">
        <v>659</v>
      </c>
    </row>
    <row r="5" spans="2:6" ht="29">
      <c r="B5" s="472" t="s">
        <v>660</v>
      </c>
      <c r="C5" s="465" t="s">
        <v>661</v>
      </c>
      <c r="D5" s="465" t="s">
        <v>662</v>
      </c>
      <c r="E5" s="465" t="s">
        <v>663</v>
      </c>
      <c r="F5" s="465" t="s">
        <v>664</v>
      </c>
    </row>
    <row r="6" spans="2:6" ht="29">
      <c r="B6" s="473" t="s">
        <v>665</v>
      </c>
      <c r="C6" s="467" t="s">
        <v>666</v>
      </c>
      <c r="D6" s="467" t="s">
        <v>667</v>
      </c>
      <c r="E6" s="467" t="s">
        <v>668</v>
      </c>
      <c r="F6" s="467" t="s">
        <v>669</v>
      </c>
    </row>
    <row r="7" spans="2:6" ht="29">
      <c r="B7" s="472" t="s">
        <v>670</v>
      </c>
      <c r="C7" s="465" t="s">
        <v>671</v>
      </c>
      <c r="D7" s="465" t="s">
        <v>662</v>
      </c>
      <c r="E7" s="465" t="s">
        <v>672</v>
      </c>
      <c r="F7" s="465" t="s">
        <v>673</v>
      </c>
    </row>
    <row r="8" spans="2:6" ht="43.5">
      <c r="B8" s="473" t="s">
        <v>516</v>
      </c>
      <c r="C8" s="467" t="s">
        <v>674</v>
      </c>
      <c r="D8" s="467" t="s">
        <v>675</v>
      </c>
      <c r="E8" s="467" t="s">
        <v>676</v>
      </c>
      <c r="F8" s="467" t="s">
        <v>677</v>
      </c>
    </row>
    <row r="9" spans="2:6" ht="29">
      <c r="B9" s="472" t="s">
        <v>376</v>
      </c>
      <c r="C9" s="465" t="s">
        <v>678</v>
      </c>
      <c r="D9" s="465" t="s">
        <v>679</v>
      </c>
      <c r="E9" s="465" t="s">
        <v>680</v>
      </c>
      <c r="F9" s="465" t="s">
        <v>681</v>
      </c>
    </row>
    <row r="10" spans="2:6" ht="43.5">
      <c r="B10" s="473" t="s">
        <v>682</v>
      </c>
      <c r="C10" s="467" t="s">
        <v>683</v>
      </c>
      <c r="D10" s="467" t="s">
        <v>684</v>
      </c>
      <c r="E10" s="467" t="s">
        <v>680</v>
      </c>
      <c r="F10" s="467" t="s">
        <v>681</v>
      </c>
    </row>
    <row r="11" spans="2:6" ht="43.5">
      <c r="B11" s="472" t="s">
        <v>685</v>
      </c>
      <c r="C11" s="465" t="s">
        <v>686</v>
      </c>
      <c r="D11" s="465" t="s">
        <v>687</v>
      </c>
      <c r="E11" s="465" t="s">
        <v>688</v>
      </c>
      <c r="F11" s="465" t="s">
        <v>689</v>
      </c>
    </row>
    <row r="12" spans="2:6" ht="29">
      <c r="B12" s="473" t="s">
        <v>690</v>
      </c>
      <c r="C12" s="467" t="s">
        <v>691</v>
      </c>
      <c r="D12" s="467" t="s">
        <v>692</v>
      </c>
      <c r="E12" s="467" t="s">
        <v>693</v>
      </c>
      <c r="F12" s="467" t="s">
        <v>694</v>
      </c>
    </row>
    <row r="13" spans="2:6" ht="29">
      <c r="B13" s="472" t="s">
        <v>695</v>
      </c>
      <c r="C13" s="465" t="s">
        <v>696</v>
      </c>
      <c r="D13" s="465" t="s">
        <v>662</v>
      </c>
      <c r="E13" s="465" t="s">
        <v>697</v>
      </c>
      <c r="F13" s="465" t="s">
        <v>698</v>
      </c>
    </row>
    <row r="14" spans="2:6" ht="29">
      <c r="B14" s="473" t="s">
        <v>421</v>
      </c>
      <c r="C14" s="467" t="s">
        <v>699</v>
      </c>
      <c r="D14" s="467" t="s">
        <v>700</v>
      </c>
      <c r="E14" s="467" t="s">
        <v>701</v>
      </c>
      <c r="F14" s="467" t="s">
        <v>702</v>
      </c>
    </row>
    <row r="15" spans="2:6" ht="29">
      <c r="B15" s="472" t="s">
        <v>703</v>
      </c>
      <c r="C15" s="465" t="s">
        <v>704</v>
      </c>
      <c r="D15" s="465" t="s">
        <v>705</v>
      </c>
      <c r="E15" s="465" t="s">
        <v>706</v>
      </c>
      <c r="F15" s="465" t="s">
        <v>707</v>
      </c>
    </row>
    <row r="16" spans="2:6" ht="29">
      <c r="B16" s="473" t="s">
        <v>357</v>
      </c>
      <c r="C16" s="467" t="s">
        <v>708</v>
      </c>
      <c r="D16" s="467" t="s">
        <v>709</v>
      </c>
      <c r="E16" s="467" t="s">
        <v>710</v>
      </c>
      <c r="F16" s="467" t="s">
        <v>805</v>
      </c>
    </row>
    <row r="17" spans="2:6" ht="29">
      <c r="B17" s="472" t="s">
        <v>711</v>
      </c>
      <c r="C17" s="465" t="s">
        <v>712</v>
      </c>
      <c r="D17" s="465" t="s">
        <v>679</v>
      </c>
      <c r="E17" s="465" t="s">
        <v>713</v>
      </c>
      <c r="F17" s="465" t="s">
        <v>714</v>
      </c>
    </row>
    <row r="18" spans="2:6" ht="43.5">
      <c r="B18" s="473" t="s">
        <v>715</v>
      </c>
      <c r="C18" s="467" t="s">
        <v>716</v>
      </c>
      <c r="D18" s="467" t="s">
        <v>717</v>
      </c>
      <c r="E18" s="467" t="s">
        <v>718</v>
      </c>
      <c r="F18" s="467" t="s">
        <v>719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8" customWidth="1"/>
    <col min="2" max="2" width="26.6328125" style="458" customWidth="1"/>
    <col min="3" max="3" width="50.6328125" style="474" customWidth="1"/>
    <col min="4" max="4" width="78.6328125" style="458" customWidth="1"/>
    <col min="5" max="16384" width="8.7265625" style="458"/>
  </cols>
  <sheetData>
    <row r="1" spans="2:4" ht="32" customHeight="1">
      <c r="B1" s="459" t="s">
        <v>720</v>
      </c>
    </row>
    <row r="2" spans="2:4" ht="16" customHeight="1">
      <c r="B2" s="460" t="s">
        <v>806</v>
      </c>
    </row>
    <row r="3" spans="2:4" ht="8" customHeight="1"/>
    <row r="4" spans="2:4">
      <c r="B4" s="471" t="s">
        <v>721</v>
      </c>
      <c r="C4" s="475" t="s">
        <v>722</v>
      </c>
      <c r="D4" s="471" t="s">
        <v>723</v>
      </c>
    </row>
    <row r="5" spans="2:4" ht="15.5">
      <c r="B5" s="572" t="s">
        <v>807</v>
      </c>
      <c r="C5" s="573"/>
      <c r="D5" s="573"/>
    </row>
    <row r="6" spans="2:4">
      <c r="B6" s="476" t="s">
        <v>808</v>
      </c>
      <c r="C6" s="477" t="s">
        <v>724</v>
      </c>
      <c r="D6" s="465" t="s">
        <v>725</v>
      </c>
    </row>
    <row r="7" spans="2:4">
      <c r="B7" s="478" t="s">
        <v>809</v>
      </c>
      <c r="C7" s="479" t="s">
        <v>726</v>
      </c>
      <c r="D7" s="467" t="s">
        <v>727</v>
      </c>
    </row>
    <row r="8" spans="2:4">
      <c r="B8" s="476" t="s">
        <v>810</v>
      </c>
      <c r="C8" s="477" t="s">
        <v>728</v>
      </c>
      <c r="D8" s="465" t="s">
        <v>729</v>
      </c>
    </row>
    <row r="9" spans="2:4">
      <c r="B9" s="478" t="s">
        <v>811</v>
      </c>
      <c r="C9" s="479" t="s">
        <v>730</v>
      </c>
      <c r="D9" s="467" t="s">
        <v>731</v>
      </c>
    </row>
    <row r="10" spans="2:4">
      <c r="B10" s="480" t="s">
        <v>812</v>
      </c>
      <c r="C10" s="574" t="s">
        <v>813</v>
      </c>
      <c r="D10" s="575"/>
    </row>
    <row r="11" spans="2:4">
      <c r="B11" s="476" t="s">
        <v>814</v>
      </c>
      <c r="C11" s="477" t="s">
        <v>732</v>
      </c>
      <c r="D11" s="465" t="s">
        <v>733</v>
      </c>
    </row>
    <row r="12" spans="2:4">
      <c r="B12" s="478" t="s">
        <v>815</v>
      </c>
      <c r="C12" s="479" t="s">
        <v>734</v>
      </c>
      <c r="D12" s="467" t="s">
        <v>735</v>
      </c>
    </row>
    <row r="13" spans="2:4">
      <c r="B13" s="476" t="s">
        <v>816</v>
      </c>
      <c r="C13" s="477" t="s">
        <v>736</v>
      </c>
      <c r="D13" s="465" t="s">
        <v>737</v>
      </c>
    </row>
    <row r="14" spans="2:4" ht="29">
      <c r="B14" s="478" t="s">
        <v>817</v>
      </c>
      <c r="C14" s="479" t="s">
        <v>738</v>
      </c>
      <c r="D14" s="467" t="s">
        <v>818</v>
      </c>
    </row>
    <row r="15" spans="2:4">
      <c r="B15" s="480" t="s">
        <v>812</v>
      </c>
      <c r="C15" s="574" t="s">
        <v>819</v>
      </c>
      <c r="D15" s="575"/>
    </row>
    <row r="16" spans="2:4">
      <c r="B16" s="476" t="s">
        <v>820</v>
      </c>
      <c r="C16" s="477" t="s">
        <v>739</v>
      </c>
      <c r="D16" s="465" t="s">
        <v>740</v>
      </c>
    </row>
    <row r="17" spans="2:4">
      <c r="B17" s="478" t="s">
        <v>821</v>
      </c>
      <c r="C17" s="479" t="s">
        <v>741</v>
      </c>
      <c r="D17" s="467" t="s">
        <v>742</v>
      </c>
    </row>
    <row r="18" spans="2:4">
      <c r="B18" s="476" t="s">
        <v>822</v>
      </c>
      <c r="C18" s="477" t="s">
        <v>743</v>
      </c>
      <c r="D18" s="465" t="s">
        <v>744</v>
      </c>
    </row>
    <row r="19" spans="2:4" ht="15.5">
      <c r="B19" s="572" t="s">
        <v>823</v>
      </c>
      <c r="C19" s="573"/>
      <c r="D19" s="573"/>
    </row>
    <row r="20" spans="2:4">
      <c r="B20" s="476" t="s">
        <v>824</v>
      </c>
      <c r="C20" s="477" t="s">
        <v>745</v>
      </c>
      <c r="D20" s="465" t="s">
        <v>746</v>
      </c>
    </row>
    <row r="21" spans="2:4">
      <c r="B21" s="478" t="s">
        <v>825</v>
      </c>
      <c r="C21" s="479" t="s">
        <v>747</v>
      </c>
      <c r="D21" s="467" t="s">
        <v>748</v>
      </c>
    </row>
    <row r="22" spans="2:4">
      <c r="B22" s="476" t="s">
        <v>826</v>
      </c>
      <c r="C22" s="477" t="s">
        <v>749</v>
      </c>
      <c r="D22" s="465" t="s">
        <v>750</v>
      </c>
    </row>
    <row r="23" spans="2:4">
      <c r="B23" s="478" t="s">
        <v>827</v>
      </c>
      <c r="C23" s="479" t="s">
        <v>751</v>
      </c>
      <c r="D23" s="467" t="s">
        <v>742</v>
      </c>
    </row>
    <row r="24" spans="2:4" ht="29">
      <c r="B24" s="476" t="s">
        <v>828</v>
      </c>
      <c r="C24" s="477" t="s">
        <v>752</v>
      </c>
      <c r="D24" s="465" t="s">
        <v>829</v>
      </c>
    </row>
    <row r="25" spans="2:4" ht="60">
      <c r="B25" s="478" t="s">
        <v>830</v>
      </c>
      <c r="C25" s="479" t="s">
        <v>831</v>
      </c>
      <c r="D25" s="467" t="s">
        <v>832</v>
      </c>
    </row>
    <row r="26" spans="2:4">
      <c r="B26" s="476" t="s">
        <v>833</v>
      </c>
      <c r="C26" s="477" t="s">
        <v>753</v>
      </c>
      <c r="D26" s="465" t="s">
        <v>834</v>
      </c>
    </row>
    <row r="27" spans="2:4" ht="15.5">
      <c r="B27" s="572" t="s">
        <v>835</v>
      </c>
      <c r="C27" s="573"/>
      <c r="D27" s="573"/>
    </row>
    <row r="28" spans="2:4" ht="29">
      <c r="B28" s="476" t="s">
        <v>836</v>
      </c>
      <c r="C28" s="477" t="s">
        <v>754</v>
      </c>
      <c r="D28" s="465" t="s">
        <v>837</v>
      </c>
    </row>
    <row r="29" spans="2:4">
      <c r="B29" s="480" t="s">
        <v>812</v>
      </c>
      <c r="C29" s="574" t="s">
        <v>838</v>
      </c>
      <c r="D29" s="575"/>
    </row>
    <row r="30" spans="2:4">
      <c r="B30" s="476" t="s">
        <v>839</v>
      </c>
      <c r="C30" s="477" t="s">
        <v>755</v>
      </c>
      <c r="D30" s="465" t="s">
        <v>756</v>
      </c>
    </row>
    <row r="31" spans="2:4">
      <c r="B31" s="478" t="s">
        <v>840</v>
      </c>
      <c r="C31" s="479" t="s">
        <v>757</v>
      </c>
      <c r="D31" s="467" t="s">
        <v>841</v>
      </c>
    </row>
    <row r="32" spans="2:4" ht="29">
      <c r="B32" s="476" t="s">
        <v>758</v>
      </c>
      <c r="C32" s="477" t="s">
        <v>759</v>
      </c>
      <c r="D32" s="465" t="s">
        <v>842</v>
      </c>
    </row>
    <row r="33" spans="2:4" ht="15.5">
      <c r="B33" s="572" t="s">
        <v>843</v>
      </c>
      <c r="C33" s="573"/>
      <c r="D33" s="573"/>
    </row>
    <row r="34" spans="2:4" ht="36">
      <c r="B34" s="476" t="s">
        <v>844</v>
      </c>
      <c r="C34" s="477" t="s">
        <v>760</v>
      </c>
      <c r="D34" s="465" t="s">
        <v>761</v>
      </c>
    </row>
    <row r="35" spans="2:4" ht="29">
      <c r="B35" s="478" t="s">
        <v>845</v>
      </c>
      <c r="C35" s="479" t="s">
        <v>762</v>
      </c>
      <c r="D35" s="467" t="s">
        <v>763</v>
      </c>
    </row>
    <row r="36" spans="2:4" ht="15.5">
      <c r="B36" s="572" t="s">
        <v>846</v>
      </c>
      <c r="C36" s="573"/>
      <c r="D36" s="573"/>
    </row>
    <row r="37" spans="2:4">
      <c r="B37" s="476" t="s">
        <v>847</v>
      </c>
      <c r="C37" s="477" t="s">
        <v>764</v>
      </c>
      <c r="D37" s="465" t="s">
        <v>765</v>
      </c>
    </row>
    <row r="38" spans="2:4">
      <c r="B38" s="478" t="s">
        <v>848</v>
      </c>
      <c r="C38" s="479" t="s">
        <v>766</v>
      </c>
      <c r="D38" s="467" t="s">
        <v>849</v>
      </c>
    </row>
    <row r="39" spans="2:4" ht="15.5">
      <c r="B39" s="572" t="s">
        <v>850</v>
      </c>
      <c r="C39" s="573"/>
      <c r="D39" s="573"/>
    </row>
    <row r="40" spans="2:4" ht="29">
      <c r="B40" s="476" t="s">
        <v>851</v>
      </c>
      <c r="C40" s="477" t="s">
        <v>766</v>
      </c>
      <c r="D40" s="465" t="s">
        <v>852</v>
      </c>
    </row>
    <row r="41" spans="2:4">
      <c r="B41" s="478" t="s">
        <v>853</v>
      </c>
      <c r="C41" s="479" t="s">
        <v>767</v>
      </c>
      <c r="D41" s="467" t="s">
        <v>768</v>
      </c>
    </row>
    <row r="42" spans="2:4">
      <c r="B42" s="476" t="s">
        <v>854</v>
      </c>
      <c r="C42" s="477" t="s">
        <v>769</v>
      </c>
      <c r="D42" s="465" t="s">
        <v>770</v>
      </c>
    </row>
    <row r="43" spans="2:4">
      <c r="B43" s="478" t="s">
        <v>855</v>
      </c>
      <c r="C43" s="479" t="s">
        <v>771</v>
      </c>
      <c r="D43" s="467" t="s">
        <v>772</v>
      </c>
    </row>
    <row r="44" spans="2:4">
      <c r="B44" s="476" t="s">
        <v>856</v>
      </c>
      <c r="C44" s="477" t="s">
        <v>773</v>
      </c>
      <c r="D44" s="465" t="s">
        <v>774</v>
      </c>
    </row>
    <row r="45" spans="2:4">
      <c r="B45" s="480" t="s">
        <v>812</v>
      </c>
      <c r="C45" s="574" t="s">
        <v>857</v>
      </c>
      <c r="D45" s="575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D006C-3B24-4AA9-84C7-1D167816632A}">
  <sheetPr>
    <tabColor rgb="FF7030A0"/>
  </sheetPr>
  <dimension ref="B1:E30"/>
  <sheetViews>
    <sheetView showGridLines="0" tabSelected="1" workbookViewId="0"/>
  </sheetViews>
  <sheetFormatPr defaultRowHeight="14.5"/>
  <cols>
    <col min="1" max="1" width="3.1796875" style="458" customWidth="1"/>
    <col min="2" max="2" width="24.6328125" style="458" customWidth="1"/>
    <col min="3" max="3" width="52.6328125" style="458" customWidth="1"/>
    <col min="4" max="4" width="50.6328125" style="458" customWidth="1"/>
    <col min="5" max="5" width="22.6328125" style="458" customWidth="1"/>
    <col min="6" max="16384" width="8.7265625" style="458"/>
  </cols>
  <sheetData>
    <row r="1" spans="2:5" ht="32" customHeight="1">
      <c r="B1" s="459" t="s">
        <v>858</v>
      </c>
    </row>
    <row r="2" spans="2:5" ht="16" customHeight="1">
      <c r="B2" s="460" t="s">
        <v>859</v>
      </c>
    </row>
    <row r="3" spans="2:5" ht="8" customHeight="1"/>
    <row r="4" spans="2:5" ht="15.5">
      <c r="B4" s="489" t="s">
        <v>860</v>
      </c>
      <c r="C4" s="490"/>
      <c r="D4" s="490"/>
      <c r="E4" s="490"/>
    </row>
    <row r="5" spans="2:5">
      <c r="B5" s="491" t="s">
        <v>861</v>
      </c>
      <c r="C5" s="491"/>
      <c r="D5" s="491"/>
      <c r="E5" s="491"/>
    </row>
    <row r="6" spans="2:5">
      <c r="B6" s="491" t="s">
        <v>862</v>
      </c>
      <c r="C6" s="491"/>
      <c r="D6" s="491"/>
      <c r="E6" s="491"/>
    </row>
    <row r="7" spans="2:5">
      <c r="B7" s="491" t="s">
        <v>863</v>
      </c>
      <c r="C7" s="491"/>
      <c r="D7" s="491"/>
      <c r="E7" s="491"/>
    </row>
    <row r="9" spans="2:5" ht="15.5">
      <c r="B9" s="489" t="s">
        <v>864</v>
      </c>
      <c r="C9" s="490"/>
      <c r="D9" s="490"/>
      <c r="E9" s="490"/>
    </row>
    <row r="10" spans="2:5">
      <c r="B10" s="471" t="s">
        <v>865</v>
      </c>
      <c r="C10" s="471" t="s">
        <v>656</v>
      </c>
      <c r="D10" s="471" t="s">
        <v>866</v>
      </c>
      <c r="E10" s="471" t="s">
        <v>867</v>
      </c>
    </row>
    <row r="11" spans="2:5" ht="87">
      <c r="B11" s="481" t="s">
        <v>868</v>
      </c>
      <c r="C11" s="465" t="s">
        <v>915</v>
      </c>
      <c r="D11" s="482" t="s">
        <v>869</v>
      </c>
      <c r="E11" s="465" t="s">
        <v>870</v>
      </c>
    </row>
    <row r="12" spans="2:5" ht="101.5">
      <c r="B12" s="483" t="s">
        <v>871</v>
      </c>
      <c r="C12" s="467" t="s">
        <v>916</v>
      </c>
      <c r="D12" s="484" t="s">
        <v>872</v>
      </c>
      <c r="E12" s="467" t="s">
        <v>870</v>
      </c>
    </row>
    <row r="13" spans="2:5" ht="72.5">
      <c r="B13" s="481" t="s">
        <v>873</v>
      </c>
      <c r="C13" s="465" t="s">
        <v>917</v>
      </c>
      <c r="D13" s="482" t="s">
        <v>874</v>
      </c>
      <c r="E13" s="465" t="s">
        <v>870</v>
      </c>
    </row>
    <row r="14" spans="2:5" ht="72.5">
      <c r="B14" s="483" t="s">
        <v>875</v>
      </c>
      <c r="C14" s="467" t="s">
        <v>922</v>
      </c>
      <c r="D14" s="484" t="s">
        <v>876</v>
      </c>
      <c r="E14" s="467" t="s">
        <v>870</v>
      </c>
    </row>
    <row r="15" spans="2:5" ht="58">
      <c r="B15" s="481" t="s">
        <v>877</v>
      </c>
      <c r="C15" s="465" t="s">
        <v>878</v>
      </c>
      <c r="D15" s="482" t="s">
        <v>879</v>
      </c>
      <c r="E15" s="465" t="s">
        <v>870</v>
      </c>
    </row>
    <row r="16" spans="2:5" ht="58">
      <c r="B16" s="483" t="s">
        <v>880</v>
      </c>
      <c r="C16" s="467" t="s">
        <v>881</v>
      </c>
      <c r="D16" s="484" t="s">
        <v>882</v>
      </c>
      <c r="E16" s="467" t="s">
        <v>870</v>
      </c>
    </row>
    <row r="17" spans="2:5" ht="58">
      <c r="B17" s="481" t="s">
        <v>883</v>
      </c>
      <c r="C17" s="465" t="s">
        <v>918</v>
      </c>
      <c r="D17" s="482" t="s">
        <v>884</v>
      </c>
      <c r="E17" s="485" t="s">
        <v>919</v>
      </c>
    </row>
    <row r="18" spans="2:5" ht="29">
      <c r="B18" s="483" t="s">
        <v>885</v>
      </c>
      <c r="C18" s="467" t="s">
        <v>886</v>
      </c>
      <c r="D18" s="484" t="s">
        <v>887</v>
      </c>
      <c r="E18" s="486" t="s">
        <v>888</v>
      </c>
    </row>
    <row r="20" spans="2:5" ht="15.5">
      <c r="B20" s="489" t="s">
        <v>889</v>
      </c>
      <c r="C20" s="490"/>
      <c r="D20" s="490"/>
      <c r="E20" s="490"/>
    </row>
    <row r="21" spans="2:5">
      <c r="B21" s="491" t="s">
        <v>890</v>
      </c>
      <c r="C21" s="491"/>
      <c r="D21" s="491"/>
      <c r="E21" s="491"/>
    </row>
    <row r="22" spans="2:5">
      <c r="B22" s="491" t="s">
        <v>891</v>
      </c>
      <c r="C22" s="491"/>
      <c r="D22" s="491"/>
      <c r="E22" s="491"/>
    </row>
    <row r="23" spans="2:5">
      <c r="B23" s="491" t="s">
        <v>892</v>
      </c>
      <c r="C23" s="491"/>
      <c r="D23" s="491"/>
      <c r="E23" s="491"/>
    </row>
    <row r="24" spans="2:5">
      <c r="B24" s="491" t="s">
        <v>893</v>
      </c>
      <c r="C24" s="491"/>
      <c r="D24" s="491"/>
      <c r="E24" s="491"/>
    </row>
    <row r="25" spans="2:5">
      <c r="B25" s="491" t="s">
        <v>894</v>
      </c>
      <c r="C25" s="491"/>
      <c r="D25" s="491"/>
      <c r="E25" s="491"/>
    </row>
    <row r="27" spans="2:5" ht="15.5">
      <c r="B27" s="489" t="s">
        <v>895</v>
      </c>
      <c r="C27" s="490"/>
      <c r="D27" s="490"/>
      <c r="E27" s="490"/>
    </row>
    <row r="28" spans="2:5">
      <c r="B28" s="491" t="s">
        <v>896</v>
      </c>
      <c r="C28" s="491"/>
      <c r="D28" s="491"/>
      <c r="E28" s="491"/>
    </row>
    <row r="29" spans="2:5">
      <c r="B29" s="491" t="s">
        <v>897</v>
      </c>
      <c r="C29" s="491"/>
      <c r="D29" s="491"/>
      <c r="E29" s="491"/>
    </row>
    <row r="30" spans="2:5">
      <c r="B30" s="491" t="s">
        <v>898</v>
      </c>
      <c r="C30" s="491"/>
      <c r="D30" s="491"/>
      <c r="E30" s="491"/>
    </row>
  </sheetData>
  <mergeCells count="15">
    <mergeCell ref="B28:E28"/>
    <mergeCell ref="B29:E29"/>
    <mergeCell ref="B30:E30"/>
    <mergeCell ref="B21:E21"/>
    <mergeCell ref="B22:E22"/>
    <mergeCell ref="B23:E23"/>
    <mergeCell ref="B24:E24"/>
    <mergeCell ref="B25:E25"/>
    <mergeCell ref="B27:E27"/>
    <mergeCell ref="B20:E20"/>
    <mergeCell ref="B4:E4"/>
    <mergeCell ref="B5:E5"/>
    <mergeCell ref="B6:E6"/>
    <mergeCell ref="B7:E7"/>
    <mergeCell ref="B9:E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2</vt:i4>
      </vt:variant>
    </vt:vector>
  </HeadingPairs>
  <TitlesOfParts>
    <vt:vector size="36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Guia de skills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2026-09-28T14:04:30Z</dcterms:modified>
  <cp:category/>
  <cp:contentStatus/>
</cp:coreProperties>
</file>